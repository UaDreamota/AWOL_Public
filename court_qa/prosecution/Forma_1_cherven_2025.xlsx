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5\06\Злочинність 2025.06\на сайт 2025.06\"/>
    </mc:Choice>
  </mc:AlternateContent>
  <xr:revisionPtr revIDLastSave="0" documentId="13_ncr:1_{D4F4543F-4D1D-4AF1-9F08-8E67C03E9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<sst xmlns="http://schemas.openxmlformats.org/spreadsheetml/2006/main" count="4564" uniqueCount="1151">
  <si>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</si>
  <si>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</si>
  <si>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</si>
  <si>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</si>
  <si>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</si>
  <si>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</si>
  <si>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</si>
  <si>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</si>
  <si>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</si>
  <si>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</si>
  <si>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</si>
  <si>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</si>
  <si>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</si>
  <si>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</si>
  <si>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</si>
  <si>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</si>
  <si>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</si>
  <si>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</si>
  <si>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</si>
  <si>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</si>
  <si>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</si>
  <si>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</si>
  <si>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</si>
  <si>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</si>
  <si>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</si>
  <si>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</si>
  <si>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</si>
  <si>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</si>
  <si>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</si>
  <si>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</si>
  <si>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</si>
  <si>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</si>
  <si>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</si>
  <si>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</si>
  <si>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</si>
  <si>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</si>
  <si>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</si>
  <si>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</si>
  <si>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</si>
  <si>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</si>
  <si>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</si>
  <si>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</si>
  <si>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</si>
  <si>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</si>
  <si>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</si>
  <si>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</si>
  <si>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</si>
  <si>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</si>
  <si>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</si>
  <si>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</si>
  <si>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</si>
  <si>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</si>
  <si>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</si>
  <si>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</si>
  <si>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</si>
  <si>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</si>
  <si>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</si>
  <si>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</si>
  <si>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</si>
  <si>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</si>
  <si>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</si>
  <si>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</si>
  <si>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</si>
  <si>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</si>
  <si>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</si>
  <si>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</si>
  <si>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</si>
  <si>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</si>
  <si>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</si>
  <si>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</si>
  <si>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</si>
  <si>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</si>
  <si>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</si>
  <si>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</si>
  <si>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</si>
  <si>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</si>
  <si>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</si>
  <si>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</si>
  <si>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</si>
  <si>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</si>
  <si>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</si>
  <si>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</si>
  <si>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</si>
  <si>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</si>
  <si>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</si>
  <si>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</si>
  <si>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</si>
  <si>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</si>
  <si>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</si>
  <si>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</si>
  <si>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</si>
  <si>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</si>
  <si>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</si>
  <si>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</si>
  <si>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</si>
  <si>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</si>
  <si>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</si>
  <si>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</si>
  <si>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</si>
  <si>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</si>
  <si>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</si>
  <si>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</si>
  <si>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</si>
  <si>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</si>
  <si>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</si>
  <si>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</si>
  <si>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</si>
  <si>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</si>
  <si>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</si>
  <si>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</si>
  <si>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</si>
  <si>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</si>
  <si>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</si>
  <si>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</si>
  <si>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</si>
  <si>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</si>
  <si>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</si>
  <si>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</si>
  <si>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</si>
  <si>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</si>
  <si>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</si>
  <si>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</si>
  <si>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</si>
  <si>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</si>
  <si>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</si>
  <si>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</si>
  <si>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</si>
  <si>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</si>
  <si>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</si>
  <si>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</si>
  <si>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</si>
  <si>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</si>
  <si>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</si>
  <si>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</si>
  <si>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</si>
  <si>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</si>
  <si>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</si>
  <si>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</si>
  <si>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</si>
  <si>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</si>
  <si>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</si>
  <si>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</si>
  <si>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</si>
  <si>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</si>
  <si>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</si>
  <si>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</si>
  <si>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</si>
  <si>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</si>
  <si>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</si>
  <si>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</si>
  <si>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</si>
  <si>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</si>
  <si>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</si>
  <si>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</si>
  <si>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</si>
  <si>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</si>
  <si>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</si>
  <si>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</si>
  <si>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</si>
  <si>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</si>
  <si>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</si>
  <si>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</si>
  <si>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</si>
  <si>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</si>
  <si>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</si>
  <si>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</si>
  <si>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</si>
  <si>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</si>
  <si>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</si>
  <si>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</si>
  <si>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</si>
  <si>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</si>
  <si>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</si>
  <si>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</si>
  <si>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</si>
  <si>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</si>
  <si>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</si>
  <si>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</si>
  <si>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</si>
  <si>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</si>
  <si>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</si>
  <si>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</si>
  <si>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</si>
  <si>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</si>
  <si>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</si>
  <si>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</si>
  <si>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</si>
  <si>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</si>
  <si>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</si>
  <si>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</si>
  <si>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</si>
  <si>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</si>
  <si>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</si>
  <si>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</si>
  <si>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</si>
  <si>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</si>
  <si>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</si>
  <si>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</si>
  <si>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</si>
  <si>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</si>
  <si>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</si>
  <si>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</si>
  <si>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</si>
  <si>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</si>
  <si>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</si>
  <si>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</si>
  <si>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</si>
  <si>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</si>
  <si>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</si>
  <si>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</si>
  <si>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</si>
  <si>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</si>
  <si>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</si>
  <si>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</si>
  <si>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</si>
  <si>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</si>
  <si>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</si>
  <si>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</si>
  <si>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</si>
  <si>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</si>
  <si>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</si>
  <si>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</si>
  <si>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</si>
  <si>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</si>
  <si>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</si>
  <si>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</si>
  <si>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</si>
  <si>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</si>
  <si>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</si>
  <si>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</si>
  <si>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</si>
  <si>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</si>
  <si>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</si>
  <si>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</si>
  <si>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</si>
  <si>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</si>
  <si>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</si>
  <si>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</si>
  <si>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</si>
  <si>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</si>
  <si>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</si>
  <si>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</si>
  <si>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</si>
  <si>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</si>
  <si>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</si>
  <si>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</si>
  <si>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</si>
  <si>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</si>
  <si>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</si>
  <si>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</si>
  <si>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</si>
  <si>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</si>
  <si>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</si>
  <si>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</si>
  <si>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</si>
  <si>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</si>
  <si>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</si>
  <si>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</si>
  <si>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</si>
  <si>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</si>
  <si>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</si>
  <si>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</si>
  <si>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</si>
  <si>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</si>
  <si>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</si>
  <si>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</si>
  <si>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</si>
  <si>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</si>
  <si>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</si>
  <si>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</si>
  <si>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</si>
  <si>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</si>
  <si>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</si>
  <si>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</si>
  <si>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</si>
  <si>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</si>
  <si>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</si>
  <si>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</si>
  <si>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</si>
  <si>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</si>
  <si>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</si>
  <si>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</si>
  <si>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</si>
  <si>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</si>
  <si>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</si>
  <si>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</si>
  <si>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</si>
  <si>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</si>
  <si>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</si>
  <si>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</si>
  <si>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</si>
  <si>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</si>
  <si>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</si>
  <si>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</si>
  <si>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</si>
  <si>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</si>
  <si>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</si>
  <si>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</si>
  <si>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</si>
  <si>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</si>
  <si>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</si>
  <si>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</si>
  <si>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</si>
  <si>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</si>
  <si>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</si>
  <si>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</si>
  <si>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</si>
  <si>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</si>
  <si>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</si>
  <si>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</si>
  <si>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</si>
  <si>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</si>
  <si>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</si>
  <si>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</si>
  <si>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</si>
  <si>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</si>
  <si>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</si>
  <si>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</si>
  <si>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</si>
  <si>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</si>
  <si>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</si>
  <si>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</si>
  <si>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</si>
  <si>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</si>
  <si>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</si>
  <si>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</si>
  <si>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</si>
  <si>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</si>
  <si>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</si>
  <si>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</si>
  <si>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</si>
  <si>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</si>
  <si>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</si>
  <si>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</si>
  <si>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</si>
  <si>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</si>
  <si>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</si>
  <si>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</si>
  <si>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</si>
  <si>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</si>
  <si>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</si>
  <si>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</si>
  <si>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</si>
  <si>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</si>
  <si>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</si>
  <si>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</si>
  <si>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</si>
  <si>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</si>
  <si>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</si>
  <si>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</si>
  <si>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</si>
  <si>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</si>
  <si>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</si>
  <si>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</si>
  <si>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</si>
  <si>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</si>
  <si>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</si>
  <si>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</si>
  <si>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</si>
  <si>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</si>
  <si>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</si>
  <si>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</si>
  <si>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</si>
  <si>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</si>
  <si>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</si>
  <si>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</si>
  <si>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</si>
  <si>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</si>
  <si>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</si>
  <si>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</si>
  <si>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</si>
  <si>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</si>
  <si>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</si>
  <si>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</si>
  <si>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</si>
  <si>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</si>
  <si>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</si>
  <si>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</si>
  <si>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</si>
  <si>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</si>
  <si>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</si>
  <si>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</si>
  <si>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</si>
  <si>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</si>
  <si>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</si>
  <si>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</si>
  <si>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</si>
  <si>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</si>
  <si>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</si>
  <si>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</si>
  <si>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</si>
  <si>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</si>
  <si>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</si>
  <si>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</si>
  <si>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</si>
  <si>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</si>
  <si>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</si>
  <si>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</si>
  <si>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</si>
  <si>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</si>
  <si>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</si>
  <si>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</si>
  <si>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</si>
  <si>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</si>
  <si>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</si>
  <si>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</si>
  <si>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</si>
  <si>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</si>
  <si>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</si>
  <si>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</si>
  <si>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</si>
  <si>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</si>
  <si>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</si>
  <si>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</si>
  <si>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</si>
  <si>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</si>
  <si>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</si>
  <si>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</si>
  <si>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</si>
  <si>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</si>
  <si>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</si>
  <si>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</si>
  <si>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</si>
  <si>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</si>
  <si>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</si>
  <si>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</si>
  <si>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</si>
  <si>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</si>
  <si>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</si>
  <si>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</si>
  <si>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</si>
  <si>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</si>
  <si>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</si>
  <si>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</si>
  <si>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</si>
  <si>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</si>
  <si>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</si>
  <si>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</si>
  <si>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</si>
  <si>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</si>
  <si>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</si>
  <si>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</si>
  <si>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</si>
  <si>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</si>
  <si>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</si>
  <si>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</si>
  <si>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</si>
  <si>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</si>
  <si>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</si>
  <si>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</si>
  <si>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</si>
  <si>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</si>
  <si>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</si>
  <si>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</si>
  <si>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</si>
  <si>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</si>
  <si>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</si>
  <si>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</si>
  <si>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</si>
  <si>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</si>
  <si>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</si>
  <si>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</si>
  <si>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</si>
  <si>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</si>
  <si>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</si>
  <si>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</si>
  <si>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</si>
  <si>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</si>
  <si>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</si>
  <si>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</si>
  <si>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</si>
  <si>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</si>
  <si>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</si>
  <si>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</si>
  <si>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</si>
  <si>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</si>
  <si>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</si>
  <si>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</si>
  <si>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</si>
  <si>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</si>
  <si>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</si>
  <si>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</si>
  <si>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</si>
  <si>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</si>
  <si>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</si>
  <si>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</si>
  <si>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</si>
  <si>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</si>
  <si>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</si>
  <si>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</si>
  <si>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</si>
  <si>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</si>
  <si>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</si>
  <si>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</si>
  <si>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</si>
  <si>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</si>
  <si>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</si>
  <si>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</si>
  <si>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</si>
  <si>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</si>
  <si>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</si>
  <si>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</si>
  <si>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</si>
  <si>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</si>
  <si>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</si>
  <si>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</si>
  <si>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</si>
  <si>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</si>
  <si>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</si>
  <si>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</si>
  <si>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</si>
  <si>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</si>
  <si>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</si>
  <si>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</si>
  <si>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</si>
  <si>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</si>
  <si>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</si>
  <si>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</si>
  <si>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</si>
  <si>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</si>
  <si>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</si>
  <si>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</si>
  <si>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</si>
  <si>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</si>
  <si>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</si>
  <si>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</si>
  <si>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</si>
  <si>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</si>
  <si>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</si>
  <si>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</si>
  <si>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</si>
  <si>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</si>
  <si>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</si>
  <si>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</si>
  <si>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</si>
  <si>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</si>
  <si>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</si>
  <si>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</si>
  <si>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</si>
  <si>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</si>
  <si>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</si>
  <si>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</si>
  <si>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</si>
  <si>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</si>
  <si>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</si>
  <si>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</si>
  <si>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</si>
  <si>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</si>
  <si>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</si>
  <si>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</si>
  <si>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</si>
  <si>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</si>
  <si>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</si>
  <si>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</si>
  <si>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</si>
  <si>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</si>
  <si>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</si>
  <si>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</si>
  <si>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</si>
  <si>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</si>
  <si>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</si>
  <si>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</si>
  <si>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</si>
  <si>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</si>
  <si>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</si>
  <si>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</si>
  <si>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</si>
  <si>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</si>
  <si>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</si>
  <si>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</si>
  <si>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</si>
  <si>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</si>
  <si>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</si>
  <si>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</si>
  <si>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</si>
  <si>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</si>
  <si>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</si>
  <si>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</si>
  <si>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</si>
  <si>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</si>
  <si>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</si>
  <si>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</si>
  <si>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</si>
  <si>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</si>
  <si>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</si>
  <si>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</si>
  <si>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</si>
  <si>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</si>
  <si>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</si>
  <si>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</si>
  <si>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</si>
  <si>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</si>
  <si>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</si>
  <si>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</si>
  <si>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</si>
  <si>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</si>
  <si>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</si>
  <si>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</si>
  <si>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</si>
  <si>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</si>
  <si>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</si>
  <si>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</si>
  <si>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</si>
  <si>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</si>
  <si>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</si>
  <si>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</si>
  <si>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</si>
  <si>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</si>
  <si>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</si>
  <si>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</si>
  <si>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</si>
  <si>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</si>
  <si>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</si>
  <si>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</si>
  <si>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</si>
  <si>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</si>
  <si>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</si>
  <si>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</si>
  <si>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</si>
  <si>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</si>
  <si>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</si>
  <si>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</si>
  <si>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</si>
  <si>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</si>
  <si>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</si>
  <si>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</si>
  <si>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</si>
  <si>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</si>
  <si>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</si>
  <si>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</si>
  <si>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</si>
  <si>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</si>
  <si>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</si>
  <si>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</si>
  <si>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</si>
  <si>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</si>
  <si>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</si>
  <si>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</si>
  <si>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</si>
  <si>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</si>
  <si>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</si>
  <si>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</si>
  <si>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</si>
  <si>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</si>
  <si>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</si>
  <si>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</si>
  <si>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</si>
  <si>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</si>
  <si>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</si>
  <si>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</si>
  <si>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</si>
  <si>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</si>
  <si>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</si>
  <si>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</si>
  <si>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</si>
  <si>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</si>
  <si>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</si>
  <si>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</si>
  <si>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</si>
  <si>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</si>
  <si>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</si>
  <si>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</si>
  <si>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</si>
  <si>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</si>
  <si>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</si>
  <si>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</si>
  <si>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</si>
  <si>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</si>
  <si>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</si>
  <si>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</si>
  <si>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</si>
  <si>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</si>
  <si>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</si>
  <si>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</si>
  <si>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</si>
  <si>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</si>
  <si>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</si>
  <si>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</si>
  <si>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</si>
  <si>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</si>
  <si>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</si>
  <si>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</si>
  <si>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</si>
  <si>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</si>
  <si>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</si>
  <si>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</si>
  <si>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</si>
  <si>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</si>
  <si>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</si>
  <si>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</si>
  <si>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</si>
  <si>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</si>
  <si>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</si>
  <si>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</si>
  <si>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</si>
  <si>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</si>
  <si>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</si>
  <si>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</si>
  <si>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</si>
  <si>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</si>
  <si>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</si>
  <si>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</si>
  <si>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</si>
  <si>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</si>
  <si>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</si>
  <si>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</si>
  <si>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</si>
  <si>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</si>
  <si>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</si>
  <si>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</si>
  <si>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</si>
  <si>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</si>
  <si>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</si>
  <si>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</si>
  <si>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</si>
  <si>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</si>
  <si>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</si>
  <si>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</si>
  <si>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</si>
  <si>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</si>
  <si>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</si>
  <si>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</si>
  <si>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</si>
  <si>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</si>
  <si>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</si>
  <si>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</si>
  <si>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</si>
  <si>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</si>
  <si>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</si>
  <si>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</si>
  <si>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</si>
  <si>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</si>
  <si>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</si>
  <si>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</si>
  <si>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</si>
  <si>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</si>
  <si>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</si>
  <si>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</si>
  <si>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</si>
  <si>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</si>
  <si>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</si>
  <si>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</si>
  <si>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</si>
  <si>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</si>
  <si>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</si>
  <si>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</si>
  <si>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</si>
  <si>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</si>
  <si>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</si>
  <si>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</si>
  <si>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</si>
  <si>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</si>
  <si>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</si>
  <si>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</si>
  <si>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</si>
  <si>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</si>
  <si>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</si>
  <si>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</si>
  <si>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</si>
  <si>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</si>
  <si>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</si>
  <si>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</si>
  <si>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</si>
  <si>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</si>
  <si>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</si>
  <si>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</si>
  <si>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</si>
  <si>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</si>
  <si>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</si>
  <si>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</si>
  <si>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</si>
  <si>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</si>
  <si>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</si>
  <si>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</si>
  <si>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</si>
  <si>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</si>
  <si>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</si>
  <si>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</si>
  <si>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</si>
  <si>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</si>
  <si>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</si>
  <si>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</si>
  <si>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</si>
  <si>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</si>
  <si>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</si>
  <si>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</si>
  <si>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</si>
  <si>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</si>
  <si>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</si>
  <si>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</si>
  <si>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</si>
  <si>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</si>
  <si>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</si>
  <si>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</si>
  <si>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</si>
  <si>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</si>
  <si>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</si>
  <si>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</si>
  <si>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</si>
  <si>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</si>
  <si>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</si>
  <si>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</si>
  <si>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</si>
  <si>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</si>
  <si>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</si>
  <si>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</si>
  <si>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</si>
  <si>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</si>
  <si>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</si>
  <si>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</si>
  <si>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</si>
  <si>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</si>
  <si>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</si>
  <si>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</si>
  <si>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</si>
  <si>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</si>
  <si>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</si>
  <si>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</si>
  <si>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</si>
  <si>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</si>
  <si>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</si>
  <si>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</si>
  <si>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</si>
  <si>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</si>
  <si>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</si>
  <si>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</si>
  <si>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</si>
  <si>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</si>
  <si>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</si>
  <si>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</si>
  <si>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</si>
  <si>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</si>
  <si>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</si>
  <si>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</si>
  <si>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</si>
  <si>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</si>
  <si>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</si>
  <si>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</si>
  <si>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</si>
  <si>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</si>
  <si>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</si>
  <si>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</si>
  <si>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</si>
  <si>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</si>
  <si>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</si>
  <si>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</si>
  <si>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</si>
  <si>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</si>
  <si>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</si>
  <si>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</si>
  <si>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</si>
  <si>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</si>
  <si>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</si>
  <si>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</si>
  <si>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</si>
  <si>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</si>
  <si>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</si>
  <si>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</si>
  <si>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</si>
  <si>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</si>
  <si>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</si>
  <si>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</si>
  <si>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</si>
  <si>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</si>
  <si>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</si>
  <si>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</si>
  <si>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</si>
  <si>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</si>
  <si>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</si>
  <si>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</si>
  <si>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</si>
  <si>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</si>
  <si>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</si>
  <si>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</si>
  <si>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</si>
  <si>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</si>
  <si>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</si>
  <si>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</si>
  <si>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</si>
  <si>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</si>
  <si>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</si>
  <si>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</si>
  <si>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</si>
  <si>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</si>
  <si>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</si>
  <si>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</si>
  <si>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</si>
  <si>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</si>
  <si>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</si>
  <si>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</si>
  <si>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</si>
  <si>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</si>
  <si>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</si>
  <si>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</si>
  <si>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</si>
  <si>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</si>
  <si>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</si>
  <si>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</si>
  <si>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</si>
  <si>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</si>
  <si>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</si>
  <si>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</si>
  <si>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</si>
  <si>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</si>
  <si>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</si>
  <si>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</si>
  <si>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</si>
  <si>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</si>
  <si>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</si>
  <si>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</si>
  <si>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</si>
  <si>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</si>
  <si>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</si>
  <si>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</si>
  <si>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</si>
  <si>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</si>
  <si>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</si>
  <si>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</si>
  <si>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</si>
  <si>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</si>
  <si>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</si>
  <si>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</si>
  <si>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</si>
  <si>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</si>
  <si>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</si>
  <si>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</si>
  <si>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</si>
  <si>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</si>
  <si>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</si>
  <si>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</si>
  <si>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</si>
  <si>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</si>
  <si>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</si>
  <si>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</si>
  <si>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</si>
  <si>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</si>
  <si>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</si>
  <si>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</si>
  <si>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</si>
  <si>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</si>
  <si>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</si>
  <si>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</si>
  <si>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</si>
  <si>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</si>
  <si>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</si>
  <si>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</si>
  <si>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</si>
  <si>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</si>
  <si>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</si>
  <si>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</si>
  <si>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</si>
  <si>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</si>
  <si>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</si>
  <si>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</si>
  <si>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</si>
  <si>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</si>
  <si>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</si>
  <si>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</si>
  <si>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</si>
  <si>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</si>
  <si>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</si>
  <si>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</si>
  <si>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</si>
  <si>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</si>
  <si>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</si>
  <si>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</si>
  <si>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</si>
  <si>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</si>
  <si>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</si>
  <si>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</si>
  <si>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</si>
  <si>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</si>
  <si>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</si>
  <si>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</si>
  <si>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</si>
  <si>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</si>
  <si>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</si>
  <si>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</si>
  <si>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</si>
  <si>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</si>
  <si>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</si>
  <si>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</si>
  <si>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</si>
  <si>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</si>
  <si>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</si>
  <si>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</si>
  <si>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</si>
  <si>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</si>
  <si>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</si>
  <si>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</si>
  <si>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</si>
  <si>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</si>
  <si>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</si>
  <si>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</si>
  <si>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</si>
  <si>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</si>
  <si>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</si>
  <si>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</si>
  <si>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</si>
  <si>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</si>
  <si>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</si>
  <si>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</si>
  <si>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</si>
  <si>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</si>
  <si>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</si>
  <si>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</si>
  <si>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</si>
  <si>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</si>
  <si>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</si>
  <si>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</si>
  <si>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</si>
  <si>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</si>
  <si>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</si>
  <si>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</si>
  <si>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</si>
  <si>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</si>
  <si>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</si>
  <si>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</si>
  <si>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</si>
  <si>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</si>
  <si>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</si>
  <si>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</si>
  <si>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</si>
  <si>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</si>
  <si>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</si>
  <si>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</si>
  <si>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</si>
  <si>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</si>
  <si>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</si>
  <si>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</si>
  <si>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</si>
  <si>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</si>
  <si>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</si>
  <si>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</si>
  <si>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</si>
  <si>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</si>
  <si>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</si>
  <si>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</si>
  <si>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</si>
  <si>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</si>
  <si>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</si>
  <si>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</si>
  <si>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</si>
  <si>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</si>
  <si>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</si>
  <si>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</si>
  <si>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</si>
  <si>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</si>
  <si>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</si>
  <si>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</si>
  <si>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</si>
  <si>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</si>
  <si>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</si>
  <si>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</si>
  <si>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</si>
  <si>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</si>
  <si>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</si>
  <si>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</si>
  <si>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</si>
  <si>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</si>
  <si>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</si>
  <si>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</si>
  <si>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</si>
  <si>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</si>
  <si>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</si>
  <si>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</si>
  <si>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</si>
  <si>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</si>
  <si>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</si>
  <si>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</si>
  <si>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</si>
  <si>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</si>
  <si>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</si>
  <si>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</si>
  <si>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</si>
  <si>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</si>
  <si>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</si>
  <si>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</si>
  <si>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</si>
  <si>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</si>
  <si>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</si>
  <si>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</si>
  <si>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</si>
  <si>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</si>
  <si>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</si>
  <si>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</si>
  <si>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</si>
  <si>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</si>
  <si>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</si>
  <si>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</si>
  <si>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</si>
  <si>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</si>
  <si>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</si>
  <si>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</si>
  <si>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</si>
  <si>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</si>
  <si>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</si>
  <si>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</si>
  <si>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</si>
  <si>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</si>
  <si>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</si>
  <si>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</si>
  <si>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</si>
  <si>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</si>
  <si>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</si>
  <si>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</si>
  <si>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</si>
  <si>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</si>
  <si>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</si>
  <si>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</si>
  <si>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</si>
  <si>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</si>
  <si>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</si>
  <si>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</si>
  <si>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</si>
  <si>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</si>
  <si>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</si>
  <si>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</si>
  <si>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</si>
  <si>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</si>
  <si>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</si>
  <si>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</si>
  <si>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</si>
  <si>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</si>
  <si>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</si>
  <si>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</si>
  <si>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</si>
  <si>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</si>
  <si>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</si>
  <si>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</si>
  <si>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</si>
  <si>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</si>
  <si>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</si>
  <si>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</si>
  <si>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</si>
  <si>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</si>
  <si>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</si>
  <si>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</si>
  <si>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</si>
  <si>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</si>
  <si>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січень-червень 2025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</si>
  <si>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</si>
  <si>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</si>
  <si>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</si>
  <si>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sz val="11"/>
        <rFont val="Times New Roman CYR"/>
        <charset val="204"/>
      </rPr>
      <t xml:space="preserve">(місячна)
ЗАТВЕРДЖЕНО Наказ Генерального прокурора від 30 червня 2020 р. № 299
За погодженням з Держстатом </t>
    </r>
  </si>
  <si>
    <t>Злочин агресії, ст. 437</t>
  </si>
  <si>
    <t>Воєнні злочини, ст. 438</t>
  </si>
  <si>
    <t>поєднані з умисним вбивством (ч. 2 ст. 438)</t>
  </si>
  <si>
    <t>Обліковано кримінальних правопорушень зу ітному періоді</t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</si>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</sst>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32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12" xfId="42" applyFont="1" applyBorder="1" applyAlignment="1">
      <alignment horizontal="left" vertical="center"/>
    </xf>
    <xf numFmtId="0" fontId="29" fillId="0" borderId="14" xfId="42" applyFont="1" applyBorder="1" applyAlignment="1">
      <alignment horizontal="left" vertical="center"/>
    </xf>
    <xf numFmtId="0" fontId="29" fillId="0" borderId="13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32" fillId="0" borderId="14" xfId="42" applyFont="1" applyBorder="1" applyAlignment="1">
      <alignment horizontal="left" vertical="center"/>
    </xf>
    <xf numFmtId="0" fontId="32" fillId="0" borderId="13" xfId="42" applyFont="1" applyBorder="1" applyAlignment="1">
      <alignment horizontal="left" vertical="center"/>
    </xf>
    <xf numFmtId="0" fontId="32" fillId="0" borderId="12" xfId="44" applyFont="1" applyBorder="1" applyAlignment="1">
      <alignment horizontal="left"/>
    </xf>
    <xf numFmtId="0" fontId="32" fillId="0" borderId="14" xfId="44" applyFont="1" applyBorder="1" applyAlignment="1">
      <alignment horizontal="left"/>
    </xf>
    <xf numFmtId="0" fontId="32" fillId="0" borderId="13" xfId="44" applyFont="1" applyBorder="1" applyAlignment="1">
      <alignment horizontal="left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80" zoomScaleNormal="100" zoomScaleSheetLayoutView="80" workbookViewId="0">
      <selection activeCell="A5" sqref="A5:O5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31" t="s">
        <v>0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32" t="s">
        <v>1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33" t="s">
        <v>1140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25" t="s">
        <v>2</v>
      </c>
      <c r="B10" s="126"/>
      <c r="C10" s="126"/>
      <c r="D10" s="127"/>
      <c r="E10" s="125" t="s">
        <v>3</v>
      </c>
      <c r="F10" s="126"/>
      <c r="G10" s="126"/>
      <c r="H10" s="127"/>
      <c r="I10" s="8"/>
      <c r="J10" s="134" t="s">
        <v>1144</v>
      </c>
      <c r="K10" s="134"/>
      <c r="L10" s="134"/>
      <c r="M10" s="134"/>
      <c r="N10" s="134"/>
      <c r="O10" s="9"/>
    </row>
    <row r="11" spans="1:19" ht="41.25" customHeight="1" x14ac:dyDescent="0.2">
      <c r="A11" s="125" t="s">
        <v>4</v>
      </c>
      <c r="B11" s="126"/>
      <c r="C11" s="126"/>
      <c r="D11" s="127"/>
      <c r="E11" s="128" t="s">
        <v>5</v>
      </c>
      <c r="F11" s="129"/>
      <c r="G11" s="129"/>
      <c r="H11" s="130"/>
      <c r="I11" s="10"/>
      <c r="J11" s="134"/>
      <c r="K11" s="134"/>
      <c r="L11" s="134"/>
      <c r="M11" s="134"/>
      <c r="N11" s="134"/>
      <c r="O11" s="9"/>
    </row>
    <row r="12" spans="1:19" ht="41.25" customHeight="1" x14ac:dyDescent="0.2">
      <c r="A12" s="125" t="s">
        <v>6</v>
      </c>
      <c r="B12" s="126"/>
      <c r="C12" s="126"/>
      <c r="D12" s="127"/>
      <c r="E12" s="128" t="s">
        <v>5</v>
      </c>
      <c r="F12" s="129"/>
      <c r="G12" s="129"/>
      <c r="H12" s="130"/>
      <c r="I12" s="10"/>
      <c r="J12" s="134"/>
      <c r="K12" s="134"/>
      <c r="L12" s="134"/>
      <c r="M12" s="134"/>
      <c r="N12" s="134"/>
      <c r="O12" s="9"/>
    </row>
    <row r="13" spans="1:19" ht="41.25" customHeight="1" x14ac:dyDescent="0.2">
      <c r="A13" s="125" t="s">
        <v>7</v>
      </c>
      <c r="B13" s="126"/>
      <c r="C13" s="126"/>
      <c r="D13" s="127"/>
      <c r="E13" s="128" t="s">
        <v>5</v>
      </c>
      <c r="F13" s="129"/>
      <c r="G13" s="129"/>
      <c r="H13" s="130"/>
      <c r="I13" s="10"/>
      <c r="J13" s="134"/>
      <c r="K13" s="134"/>
      <c r="L13" s="134"/>
      <c r="M13" s="134"/>
      <c r="N13" s="134"/>
      <c r="O13" s="9"/>
    </row>
    <row r="14" spans="1:19" ht="41.25" customHeight="1" x14ac:dyDescent="0.2">
      <c r="A14" s="125" t="s">
        <v>8</v>
      </c>
      <c r="B14" s="126"/>
      <c r="C14" s="126"/>
      <c r="D14" s="127"/>
      <c r="E14" s="128" t="s">
        <v>9</v>
      </c>
      <c r="F14" s="129"/>
      <c r="G14" s="129"/>
      <c r="H14" s="130"/>
      <c r="J14" s="134"/>
      <c r="K14" s="134"/>
      <c r="L14" s="134"/>
      <c r="M14" s="134"/>
      <c r="N14" s="134"/>
    </row>
    <row r="15" spans="1:19" ht="41.25" customHeight="1" x14ac:dyDescent="0.2">
      <c r="A15" s="125" t="s">
        <v>10</v>
      </c>
      <c r="B15" s="126"/>
      <c r="C15" s="126"/>
      <c r="D15" s="127"/>
      <c r="E15" s="128" t="s">
        <v>9</v>
      </c>
      <c r="F15" s="129"/>
      <c r="G15" s="129"/>
      <c r="H15" s="130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7" t="s">
        <v>1141</v>
      </c>
      <c r="B17" s="108"/>
      <c r="C17" s="108"/>
      <c r="D17" s="108"/>
      <c r="E17" s="108"/>
      <c r="F17" s="109"/>
      <c r="G17" s="11"/>
      <c r="H17" s="11"/>
    </row>
    <row r="18" spans="1:8" ht="18" customHeight="1" x14ac:dyDescent="0.2">
      <c r="A18" s="110" t="s">
        <v>1142</v>
      </c>
      <c r="B18" s="111"/>
      <c r="C18" s="111"/>
      <c r="D18" s="111"/>
      <c r="E18" s="111"/>
      <c r="F18" s="112"/>
    </row>
    <row r="19" spans="1:8" ht="18" customHeight="1" x14ac:dyDescent="0.25">
      <c r="A19" s="113" t="s">
        <v>1143</v>
      </c>
      <c r="B19" s="114"/>
      <c r="C19" s="114"/>
      <c r="D19" s="114"/>
      <c r="E19" s="114"/>
      <c r="F19" s="115"/>
    </row>
    <row r="20" spans="1:8" ht="18" customHeight="1" x14ac:dyDescent="0.2">
      <c r="A20" s="116"/>
      <c r="B20" s="117"/>
      <c r="C20" s="117"/>
      <c r="D20" s="117"/>
      <c r="E20" s="117"/>
      <c r="F20" s="118"/>
    </row>
    <row r="21" spans="1:8" x14ac:dyDescent="0.2">
      <c r="A21" s="119" t="s">
        <v>11</v>
      </c>
      <c r="B21" s="120"/>
      <c r="C21" s="120"/>
      <c r="D21" s="120"/>
      <c r="E21" s="120"/>
      <c r="F21" s="121"/>
    </row>
    <row r="22" spans="1:8" ht="18" customHeight="1" x14ac:dyDescent="0.2">
      <c r="A22" s="122"/>
      <c r="B22" s="123"/>
      <c r="C22" s="123"/>
      <c r="D22" s="123"/>
      <c r="E22" s="123"/>
      <c r="F22" s="124"/>
    </row>
    <row r="23" spans="1:8" x14ac:dyDescent="0.2">
      <c r="A23" s="101" t="s">
        <v>12</v>
      </c>
      <c r="B23" s="102"/>
      <c r="C23" s="102"/>
      <c r="D23" s="102"/>
      <c r="E23" s="102"/>
      <c r="F23" s="103"/>
    </row>
    <row r="24" spans="1:8" ht="18" customHeight="1" x14ac:dyDescent="0.2">
      <c r="A24" s="104"/>
      <c r="B24" s="105"/>
      <c r="C24" s="105"/>
      <c r="D24" s="105"/>
      <c r="E24" s="105"/>
      <c r="F24" s="106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80" zoomScaleNormal="100" zoomScaleSheetLayoutView="8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30.8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41" t="s">
        <v>13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</row>
    <row r="2" spans="1:28" ht="19.5" customHeight="1" x14ac:dyDescent="0.25">
      <c r="A2" s="14" t="s">
        <v>14</v>
      </c>
    </row>
    <row r="3" spans="1:28" ht="38.1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8" t="s">
        <v>1148</v>
      </c>
      <c r="J3" s="168" t="s">
        <v>16</v>
      </c>
      <c r="K3" s="168" t="s">
        <v>17</v>
      </c>
      <c r="L3" s="171" t="s">
        <v>18</v>
      </c>
      <c r="M3" s="172"/>
      <c r="N3" s="173"/>
      <c r="O3" s="168" t="s">
        <v>19</v>
      </c>
      <c r="P3" s="171" t="s">
        <v>20</v>
      </c>
      <c r="Q3" s="172"/>
      <c r="R3" s="172"/>
      <c r="S3" s="173"/>
      <c r="T3" s="168" t="s">
        <v>21</v>
      </c>
      <c r="U3" s="171" t="s">
        <v>22</v>
      </c>
      <c r="V3" s="172"/>
      <c r="W3" s="172"/>
      <c r="X3" s="173"/>
      <c r="Y3" s="171" t="s">
        <v>23</v>
      </c>
      <c r="Z3" s="172"/>
      <c r="AA3" s="173"/>
      <c r="AB3" s="168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0"/>
      <c r="J4" s="170"/>
      <c r="K4" s="170"/>
      <c r="L4" s="168" t="s">
        <v>25</v>
      </c>
      <c r="M4" s="168" t="s">
        <v>26</v>
      </c>
      <c r="N4" s="168" t="s">
        <v>27</v>
      </c>
      <c r="O4" s="170"/>
      <c r="P4" s="168" t="s">
        <v>28</v>
      </c>
      <c r="Q4" s="168" t="s">
        <v>29</v>
      </c>
      <c r="R4" s="168" t="s">
        <v>30</v>
      </c>
      <c r="S4" s="168" t="s">
        <v>31</v>
      </c>
      <c r="T4" s="170"/>
      <c r="U4" s="171" t="s">
        <v>32</v>
      </c>
      <c r="V4" s="172"/>
      <c r="W4" s="172"/>
      <c r="X4" s="173"/>
      <c r="Y4" s="168" t="s">
        <v>33</v>
      </c>
      <c r="Z4" s="171" t="s">
        <v>34</v>
      </c>
      <c r="AA4" s="173"/>
      <c r="AB4" s="170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9" t="s">
        <v>35</v>
      </c>
      <c r="V5" s="16" t="s">
        <v>36</v>
      </c>
      <c r="W5" s="16" t="s">
        <v>37</v>
      </c>
      <c r="X5" s="16" t="s">
        <v>38</v>
      </c>
      <c r="Y5" s="169"/>
      <c r="Z5" s="18" t="s">
        <v>39</v>
      </c>
      <c r="AA5" s="17" t="s">
        <v>40</v>
      </c>
      <c r="AB5" s="169"/>
    </row>
    <row r="6" spans="1:28" ht="14.25" customHeight="1" x14ac:dyDescent="0.2">
      <c r="A6" s="150" t="s">
        <v>41</v>
      </c>
      <c r="B6" s="151"/>
      <c r="C6" s="151"/>
      <c r="D6" s="151"/>
      <c r="E6" s="151"/>
      <c r="F6" s="151"/>
      <c r="G6" s="15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3" t="s">
        <v>43</v>
      </c>
      <c r="B7" s="154"/>
      <c r="C7" s="154"/>
      <c r="D7" s="154"/>
      <c r="E7" s="154"/>
      <c r="F7" s="154"/>
      <c r="G7" s="155"/>
      <c r="H7" s="23">
        <v>1</v>
      </c>
      <c r="I7" s="24">
        <v>327847</v>
      </c>
      <c r="J7" s="24">
        <v>101399</v>
      </c>
      <c r="K7" s="24">
        <v>2053</v>
      </c>
      <c r="L7" s="24">
        <v>9</v>
      </c>
      <c r="M7" s="24">
        <v>1945</v>
      </c>
      <c r="N7" s="24">
        <v>8</v>
      </c>
      <c r="O7" s="24">
        <v>84782</v>
      </c>
      <c r="P7" s="24">
        <v>82144</v>
      </c>
      <c r="Q7" s="24">
        <v>2048</v>
      </c>
      <c r="R7" s="24">
        <v>465</v>
      </c>
      <c r="S7" s="24">
        <v>125</v>
      </c>
      <c r="T7" s="24">
        <v>40</v>
      </c>
      <c r="U7" s="24">
        <v>15197</v>
      </c>
      <c r="V7" s="24">
        <v>5274</v>
      </c>
      <c r="W7" s="24">
        <v>3132</v>
      </c>
      <c r="X7" s="24">
        <v>906</v>
      </c>
      <c r="Y7" s="25">
        <v>75008</v>
      </c>
      <c r="Z7" s="25">
        <v>74653</v>
      </c>
      <c r="AA7" s="25">
        <v>0</v>
      </c>
      <c r="AB7" s="24">
        <v>240617</v>
      </c>
    </row>
    <row r="8" spans="1:28" ht="27.2" customHeight="1" x14ac:dyDescent="0.2">
      <c r="A8" s="295" t="s">
        <v>44</v>
      </c>
      <c r="B8" s="165" t="s">
        <v>45</v>
      </c>
      <c r="C8" s="166"/>
      <c r="D8" s="166"/>
      <c r="E8" s="166"/>
      <c r="F8" s="166"/>
      <c r="G8" s="167"/>
      <c r="H8" s="23">
        <v>2</v>
      </c>
      <c r="I8" s="24">
        <v>357</v>
      </c>
      <c r="J8" s="24">
        <v>357</v>
      </c>
      <c r="K8" s="24">
        <v>0</v>
      </c>
      <c r="L8" s="24">
        <v>0</v>
      </c>
      <c r="M8" s="24">
        <v>0</v>
      </c>
      <c r="N8" s="24">
        <v>0</v>
      </c>
      <c r="O8" s="24">
        <v>330</v>
      </c>
      <c r="P8" s="24">
        <v>330</v>
      </c>
      <c r="Q8" s="24">
        <v>0</v>
      </c>
      <c r="R8" s="24">
        <v>0</v>
      </c>
      <c r="S8" s="24">
        <v>0</v>
      </c>
      <c r="T8" s="24">
        <v>0</v>
      </c>
      <c r="U8" s="24">
        <v>19</v>
      </c>
      <c r="V8" s="24">
        <v>40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27</v>
      </c>
    </row>
    <row r="9" spans="1:28" ht="20.25" customHeight="1" x14ac:dyDescent="0.2">
      <c r="A9" s="296"/>
      <c r="B9" s="165" t="s">
        <v>46</v>
      </c>
      <c r="C9" s="166"/>
      <c r="D9" s="166"/>
      <c r="E9" s="166"/>
      <c r="F9" s="166"/>
      <c r="G9" s="167"/>
      <c r="H9" s="23">
        <v>3</v>
      </c>
      <c r="I9" s="24">
        <v>71377</v>
      </c>
      <c r="J9" s="24">
        <v>6081</v>
      </c>
      <c r="K9" s="24">
        <v>139</v>
      </c>
      <c r="L9" s="24">
        <v>1</v>
      </c>
      <c r="M9" s="24">
        <v>132</v>
      </c>
      <c r="N9" s="24">
        <v>6</v>
      </c>
      <c r="O9" s="24">
        <v>4172</v>
      </c>
      <c r="P9" s="24">
        <v>4118</v>
      </c>
      <c r="Q9" s="24">
        <v>15</v>
      </c>
      <c r="R9" s="24">
        <v>31</v>
      </c>
      <c r="S9" s="24">
        <v>8</v>
      </c>
      <c r="T9" s="24">
        <v>0</v>
      </c>
      <c r="U9" s="24">
        <v>434</v>
      </c>
      <c r="V9" s="24">
        <v>1820</v>
      </c>
      <c r="W9" s="24">
        <v>163</v>
      </c>
      <c r="X9" s="24">
        <v>119</v>
      </c>
      <c r="Y9" s="26">
        <v>40975</v>
      </c>
      <c r="Z9" s="26">
        <v>40946</v>
      </c>
      <c r="AA9" s="26">
        <v>0</v>
      </c>
      <c r="AB9" s="24">
        <v>67037</v>
      </c>
    </row>
    <row r="10" spans="1:28" ht="20.25" customHeight="1" x14ac:dyDescent="0.2">
      <c r="A10" s="296"/>
      <c r="B10" s="165" t="s">
        <v>47</v>
      </c>
      <c r="C10" s="166"/>
      <c r="D10" s="166"/>
      <c r="E10" s="166"/>
      <c r="F10" s="166"/>
      <c r="G10" s="167"/>
      <c r="H10" s="23">
        <v>4</v>
      </c>
      <c r="I10" s="24">
        <v>165205</v>
      </c>
      <c r="J10" s="24">
        <v>43786</v>
      </c>
      <c r="K10" s="24">
        <v>1297</v>
      </c>
      <c r="L10" s="24">
        <v>4</v>
      </c>
      <c r="M10" s="24">
        <v>1253</v>
      </c>
      <c r="N10" s="24">
        <v>2</v>
      </c>
      <c r="O10" s="24">
        <v>35044</v>
      </c>
      <c r="P10" s="24">
        <v>32965</v>
      </c>
      <c r="Q10" s="24">
        <v>1819</v>
      </c>
      <c r="R10" s="24">
        <v>217</v>
      </c>
      <c r="S10" s="24">
        <v>43</v>
      </c>
      <c r="T10" s="24">
        <v>0</v>
      </c>
      <c r="U10" s="24">
        <v>7624</v>
      </c>
      <c r="V10" s="24">
        <v>1836</v>
      </c>
      <c r="W10" s="24">
        <v>636</v>
      </c>
      <c r="X10" s="24">
        <v>427</v>
      </c>
      <c r="Y10" s="24">
        <v>9479</v>
      </c>
      <c r="Z10" s="24">
        <v>9230</v>
      </c>
      <c r="AA10" s="24">
        <v>0</v>
      </c>
      <c r="AB10" s="24">
        <v>128615</v>
      </c>
    </row>
    <row r="11" spans="1:28" ht="20.25" customHeight="1" x14ac:dyDescent="0.2">
      <c r="A11" s="296"/>
      <c r="B11" s="165" t="s">
        <v>48</v>
      </c>
      <c r="C11" s="166"/>
      <c r="D11" s="166"/>
      <c r="E11" s="166"/>
      <c r="F11" s="166"/>
      <c r="G11" s="167"/>
      <c r="H11" s="23">
        <v>5</v>
      </c>
      <c r="I11" s="24">
        <v>43404</v>
      </c>
      <c r="J11" s="24">
        <v>26117</v>
      </c>
      <c r="K11" s="24">
        <v>452</v>
      </c>
      <c r="L11" s="24">
        <v>2</v>
      </c>
      <c r="M11" s="24">
        <v>409</v>
      </c>
      <c r="N11" s="24">
        <v>0</v>
      </c>
      <c r="O11" s="24">
        <v>21635</v>
      </c>
      <c r="P11" s="24">
        <v>21417</v>
      </c>
      <c r="Q11" s="24">
        <v>127</v>
      </c>
      <c r="R11" s="24">
        <v>74</v>
      </c>
      <c r="S11" s="24">
        <v>17</v>
      </c>
      <c r="T11" s="24">
        <v>2</v>
      </c>
      <c r="U11" s="24">
        <v>3341</v>
      </c>
      <c r="V11" s="24">
        <v>1222</v>
      </c>
      <c r="W11" s="24">
        <v>985</v>
      </c>
      <c r="X11" s="24">
        <v>155</v>
      </c>
      <c r="Y11" s="24">
        <v>6533</v>
      </c>
      <c r="Z11" s="24">
        <v>6491</v>
      </c>
      <c r="AA11" s="24">
        <v>0</v>
      </c>
      <c r="AB11" s="24">
        <v>21273</v>
      </c>
    </row>
    <row r="12" spans="1:28" s="27" customFormat="1" ht="20.25" customHeight="1" x14ac:dyDescent="0.2">
      <c r="A12" s="296"/>
      <c r="B12" s="298" t="s">
        <v>49</v>
      </c>
      <c r="C12" s="299"/>
      <c r="D12" s="299"/>
      <c r="E12" s="299"/>
      <c r="F12" s="299"/>
      <c r="G12" s="300"/>
      <c r="H12" s="23">
        <v>6</v>
      </c>
      <c r="I12" s="28">
        <v>47546</v>
      </c>
      <c r="J12" s="28">
        <v>25187</v>
      </c>
      <c r="K12" s="28">
        <v>123</v>
      </c>
      <c r="L12" s="28">
        <v>2</v>
      </c>
      <c r="M12" s="28">
        <v>109</v>
      </c>
      <c r="N12" s="28">
        <v>0</v>
      </c>
      <c r="O12" s="28">
        <v>23817</v>
      </c>
      <c r="P12" s="28">
        <v>23530</v>
      </c>
      <c r="Q12" s="28">
        <v>87</v>
      </c>
      <c r="R12" s="28">
        <v>143</v>
      </c>
      <c r="S12" s="28">
        <v>57</v>
      </c>
      <c r="T12" s="28">
        <v>38</v>
      </c>
      <c r="U12" s="28">
        <v>3795</v>
      </c>
      <c r="V12" s="28">
        <v>387</v>
      </c>
      <c r="W12" s="28">
        <v>1348</v>
      </c>
      <c r="X12" s="28">
        <v>205</v>
      </c>
      <c r="Y12" s="28">
        <v>18003</v>
      </c>
      <c r="Z12" s="28">
        <v>17968</v>
      </c>
      <c r="AA12" s="28">
        <v>0</v>
      </c>
      <c r="AB12" s="28">
        <v>23533</v>
      </c>
    </row>
    <row r="13" spans="1:28" ht="27.2" customHeight="1" x14ac:dyDescent="0.2">
      <c r="A13" s="296"/>
      <c r="B13" s="153" t="s">
        <v>50</v>
      </c>
      <c r="C13" s="154"/>
      <c r="D13" s="154"/>
      <c r="E13" s="154"/>
      <c r="F13" s="154"/>
      <c r="G13" s="155"/>
      <c r="H13" s="23">
        <v>7</v>
      </c>
      <c r="I13" s="29">
        <v>160</v>
      </c>
      <c r="J13" s="29">
        <v>100</v>
      </c>
      <c r="K13" s="29">
        <v>0</v>
      </c>
      <c r="L13" s="29">
        <v>0</v>
      </c>
      <c r="M13" s="29">
        <v>0</v>
      </c>
      <c r="N13" s="29">
        <v>0</v>
      </c>
      <c r="O13" s="29">
        <v>87</v>
      </c>
      <c r="P13" s="29">
        <v>84</v>
      </c>
      <c r="Q13" s="29">
        <v>0</v>
      </c>
      <c r="R13" s="29">
        <v>2</v>
      </c>
      <c r="S13" s="29">
        <v>1</v>
      </c>
      <c r="T13" s="29">
        <v>0</v>
      </c>
      <c r="U13" s="29">
        <v>23</v>
      </c>
      <c r="V13" s="29">
        <v>15</v>
      </c>
      <c r="W13" s="29">
        <v>5</v>
      </c>
      <c r="X13" s="29">
        <v>6</v>
      </c>
      <c r="Y13" s="29">
        <v>6</v>
      </c>
      <c r="Z13" s="29">
        <v>5</v>
      </c>
      <c r="AA13" s="29">
        <v>0</v>
      </c>
      <c r="AB13" s="29">
        <v>72</v>
      </c>
    </row>
    <row r="14" spans="1:28" ht="20.25" customHeight="1" x14ac:dyDescent="0.2">
      <c r="A14" s="296"/>
      <c r="B14" s="224" t="s">
        <v>32</v>
      </c>
      <c r="C14" s="165" t="s">
        <v>51</v>
      </c>
      <c r="D14" s="166"/>
      <c r="E14" s="166"/>
      <c r="F14" s="166"/>
      <c r="G14" s="167"/>
      <c r="H14" s="23">
        <v>8</v>
      </c>
      <c r="I14" s="24">
        <v>59</v>
      </c>
      <c r="J14" s="24">
        <v>27</v>
      </c>
      <c r="K14" s="24">
        <v>0</v>
      </c>
      <c r="L14" s="24">
        <v>0</v>
      </c>
      <c r="M14" s="24">
        <v>0</v>
      </c>
      <c r="N14" s="24">
        <v>0</v>
      </c>
      <c r="O14" s="24">
        <v>19</v>
      </c>
      <c r="P14" s="24">
        <v>18</v>
      </c>
      <c r="Q14" s="24">
        <v>0</v>
      </c>
      <c r="R14" s="24">
        <v>1</v>
      </c>
      <c r="S14" s="24">
        <v>0</v>
      </c>
      <c r="T14" s="24">
        <v>0</v>
      </c>
      <c r="U14" s="24">
        <v>3</v>
      </c>
      <c r="V14" s="24">
        <v>9</v>
      </c>
      <c r="W14" s="24">
        <v>2</v>
      </c>
      <c r="X14" s="24">
        <v>3</v>
      </c>
      <c r="Y14" s="24">
        <v>2</v>
      </c>
      <c r="Z14" s="24">
        <v>1</v>
      </c>
      <c r="AA14" s="24">
        <v>0</v>
      </c>
      <c r="AB14" s="24">
        <v>39</v>
      </c>
    </row>
    <row r="15" spans="1:28" ht="20.25" customHeight="1" x14ac:dyDescent="0.2">
      <c r="A15" s="296"/>
      <c r="B15" s="225"/>
      <c r="C15" s="165" t="s">
        <v>52</v>
      </c>
      <c r="D15" s="166"/>
      <c r="E15" s="166"/>
      <c r="F15" s="166"/>
      <c r="G15" s="167"/>
      <c r="H15" s="23">
        <v>9</v>
      </c>
      <c r="I15" s="24">
        <v>81</v>
      </c>
      <c r="J15" s="24">
        <v>61</v>
      </c>
      <c r="K15" s="24">
        <v>0</v>
      </c>
      <c r="L15" s="24">
        <v>0</v>
      </c>
      <c r="M15" s="24">
        <v>0</v>
      </c>
      <c r="N15" s="24">
        <v>0</v>
      </c>
      <c r="O15" s="24">
        <v>56</v>
      </c>
      <c r="P15" s="24">
        <v>54</v>
      </c>
      <c r="Q15" s="24">
        <v>0</v>
      </c>
      <c r="R15" s="24">
        <v>1</v>
      </c>
      <c r="S15" s="24">
        <v>1</v>
      </c>
      <c r="T15" s="24">
        <v>0</v>
      </c>
      <c r="U15" s="24">
        <v>20</v>
      </c>
      <c r="V15" s="24">
        <v>6</v>
      </c>
      <c r="W15" s="24">
        <v>2</v>
      </c>
      <c r="X15" s="24">
        <v>3</v>
      </c>
      <c r="Y15" s="24">
        <v>4</v>
      </c>
      <c r="Z15" s="24">
        <v>4</v>
      </c>
      <c r="AA15" s="24">
        <v>0</v>
      </c>
      <c r="AB15" s="24">
        <v>25</v>
      </c>
    </row>
    <row r="16" spans="1:28" ht="20.25" customHeight="1" x14ac:dyDescent="0.2">
      <c r="A16" s="296"/>
      <c r="B16" s="226"/>
      <c r="C16" s="165" t="s">
        <v>53</v>
      </c>
      <c r="D16" s="166"/>
      <c r="E16" s="166"/>
      <c r="F16" s="166"/>
      <c r="G16" s="167"/>
      <c r="H16" s="23">
        <v>10</v>
      </c>
      <c r="I16" s="24">
        <v>32</v>
      </c>
      <c r="J16" s="24">
        <v>8</v>
      </c>
      <c r="K16" s="24">
        <v>0</v>
      </c>
      <c r="L16" s="24">
        <v>0</v>
      </c>
      <c r="M16" s="24">
        <v>0</v>
      </c>
      <c r="N16" s="24">
        <v>0</v>
      </c>
      <c r="O16" s="24">
        <v>6</v>
      </c>
      <c r="P16" s="24">
        <v>5</v>
      </c>
      <c r="Q16" s="24">
        <v>0</v>
      </c>
      <c r="R16" s="24">
        <v>1</v>
      </c>
      <c r="S16" s="24">
        <v>0</v>
      </c>
      <c r="T16" s="24">
        <v>0</v>
      </c>
      <c r="U16" s="24">
        <v>2</v>
      </c>
      <c r="V16" s="24">
        <v>0</v>
      </c>
      <c r="W16" s="24">
        <v>2</v>
      </c>
      <c r="X16" s="24">
        <v>0</v>
      </c>
      <c r="Y16" s="24">
        <v>0</v>
      </c>
      <c r="Z16" s="24">
        <v>0</v>
      </c>
      <c r="AA16" s="24">
        <v>0</v>
      </c>
      <c r="AB16" s="24">
        <v>26</v>
      </c>
    </row>
    <row r="17" spans="1:28" ht="20.25" customHeight="1" x14ac:dyDescent="0.2">
      <c r="A17" s="296"/>
      <c r="B17" s="292" t="s">
        <v>54</v>
      </c>
      <c r="C17" s="153" t="s">
        <v>55</v>
      </c>
      <c r="D17" s="154"/>
      <c r="E17" s="154"/>
      <c r="F17" s="154"/>
      <c r="G17" s="155"/>
      <c r="H17" s="23">
        <v>11</v>
      </c>
      <c r="I17" s="24">
        <v>215453</v>
      </c>
      <c r="J17" s="24">
        <v>80164</v>
      </c>
      <c r="K17" s="24">
        <v>1822</v>
      </c>
      <c r="L17" s="24">
        <v>7</v>
      </c>
      <c r="M17" s="24">
        <v>1730</v>
      </c>
      <c r="N17" s="24">
        <v>8</v>
      </c>
      <c r="O17" s="24">
        <v>66483</v>
      </c>
      <c r="P17" s="24">
        <v>64910</v>
      </c>
      <c r="Q17" s="24">
        <v>1120</v>
      </c>
      <c r="R17" s="24">
        <v>355</v>
      </c>
      <c r="S17" s="24">
        <v>98</v>
      </c>
      <c r="T17" s="24">
        <v>33</v>
      </c>
      <c r="U17" s="24">
        <v>12728</v>
      </c>
      <c r="V17" s="24">
        <v>4329</v>
      </c>
      <c r="W17" s="24">
        <v>1677</v>
      </c>
      <c r="X17" s="24">
        <v>680</v>
      </c>
      <c r="Y17" s="24">
        <v>56890</v>
      </c>
      <c r="Z17" s="24">
        <v>56633</v>
      </c>
      <c r="AA17" s="24">
        <v>0</v>
      </c>
      <c r="AB17" s="24">
        <v>146858</v>
      </c>
    </row>
    <row r="18" spans="1:28" ht="19.5" customHeight="1" x14ac:dyDescent="0.2">
      <c r="A18" s="296"/>
      <c r="B18" s="293"/>
      <c r="C18" s="30" t="s">
        <v>32</v>
      </c>
      <c r="D18" s="165" t="s">
        <v>56</v>
      </c>
      <c r="E18" s="166"/>
      <c r="F18" s="166"/>
      <c r="G18" s="167"/>
      <c r="H18" s="23">
        <v>12</v>
      </c>
      <c r="I18" s="24">
        <v>59161</v>
      </c>
      <c r="J18" s="24">
        <v>27700</v>
      </c>
      <c r="K18" s="24">
        <v>466</v>
      </c>
      <c r="L18" s="24">
        <v>2</v>
      </c>
      <c r="M18" s="24">
        <v>461</v>
      </c>
      <c r="N18" s="24">
        <v>0</v>
      </c>
      <c r="O18" s="24">
        <v>23532</v>
      </c>
      <c r="P18" s="24">
        <v>23054</v>
      </c>
      <c r="Q18" s="24">
        <v>291</v>
      </c>
      <c r="R18" s="24">
        <v>145</v>
      </c>
      <c r="S18" s="24">
        <v>42</v>
      </c>
      <c r="T18" s="24">
        <v>21</v>
      </c>
      <c r="U18" s="24">
        <v>5256</v>
      </c>
      <c r="V18" s="24">
        <v>1820</v>
      </c>
      <c r="W18" s="24">
        <v>443</v>
      </c>
      <c r="X18" s="24">
        <v>267</v>
      </c>
      <c r="Y18" s="24">
        <v>23994</v>
      </c>
      <c r="Z18" s="24">
        <v>23943</v>
      </c>
      <c r="AA18" s="24">
        <v>0</v>
      </c>
      <c r="AB18" s="24">
        <v>35091</v>
      </c>
    </row>
    <row r="19" spans="1:28" ht="20.25" customHeight="1" x14ac:dyDescent="0.2">
      <c r="A19" s="296"/>
      <c r="B19" s="293"/>
      <c r="C19" s="153" t="s">
        <v>57</v>
      </c>
      <c r="D19" s="154"/>
      <c r="E19" s="154"/>
      <c r="F19" s="154"/>
      <c r="G19" s="155"/>
      <c r="H19" s="23">
        <v>13</v>
      </c>
      <c r="I19" s="24">
        <v>102180</v>
      </c>
      <c r="J19" s="24">
        <v>19133</v>
      </c>
      <c r="K19" s="24">
        <v>222</v>
      </c>
      <c r="L19" s="24">
        <v>2</v>
      </c>
      <c r="M19" s="24">
        <v>206</v>
      </c>
      <c r="N19" s="24">
        <v>0</v>
      </c>
      <c r="O19" s="24">
        <v>16483</v>
      </c>
      <c r="P19" s="24">
        <v>15461</v>
      </c>
      <c r="Q19" s="24">
        <v>895</v>
      </c>
      <c r="R19" s="24">
        <v>104</v>
      </c>
      <c r="S19" s="24">
        <v>23</v>
      </c>
      <c r="T19" s="24">
        <v>7</v>
      </c>
      <c r="U19" s="24">
        <v>2189</v>
      </c>
      <c r="V19" s="24">
        <v>660</v>
      </c>
      <c r="W19" s="24">
        <v>1345</v>
      </c>
      <c r="X19" s="24">
        <v>216</v>
      </c>
      <c r="Y19" s="24">
        <v>16635</v>
      </c>
      <c r="Z19" s="24">
        <v>16596</v>
      </c>
      <c r="AA19" s="24">
        <v>0</v>
      </c>
      <c r="AB19" s="24">
        <v>85429</v>
      </c>
    </row>
    <row r="20" spans="1:28" ht="20.25" customHeight="1" x14ac:dyDescent="0.2">
      <c r="A20" s="296"/>
      <c r="B20" s="293"/>
      <c r="C20" s="153" t="s">
        <v>58</v>
      </c>
      <c r="D20" s="154"/>
      <c r="E20" s="154"/>
      <c r="F20" s="154"/>
      <c r="G20" s="155"/>
      <c r="H20" s="23">
        <v>14</v>
      </c>
      <c r="I20" s="24">
        <v>9334</v>
      </c>
      <c r="J20" s="24">
        <v>1691</v>
      </c>
      <c r="K20" s="24">
        <v>7</v>
      </c>
      <c r="L20" s="24">
        <v>0</v>
      </c>
      <c r="M20" s="24">
        <v>7</v>
      </c>
      <c r="N20" s="24">
        <v>0</v>
      </c>
      <c r="O20" s="24">
        <v>1458</v>
      </c>
      <c r="P20" s="24">
        <v>1419</v>
      </c>
      <c r="Q20" s="24">
        <v>33</v>
      </c>
      <c r="R20" s="24">
        <v>2</v>
      </c>
      <c r="S20" s="24">
        <v>4</v>
      </c>
      <c r="T20" s="24">
        <v>0</v>
      </c>
      <c r="U20" s="24">
        <v>132</v>
      </c>
      <c r="V20" s="24">
        <v>232</v>
      </c>
      <c r="W20" s="24">
        <v>108</v>
      </c>
      <c r="X20" s="24">
        <v>9</v>
      </c>
      <c r="Y20" s="24">
        <v>1208</v>
      </c>
      <c r="Z20" s="24">
        <v>1151</v>
      </c>
      <c r="AA20" s="24">
        <v>0</v>
      </c>
      <c r="AB20" s="24">
        <v>7812</v>
      </c>
    </row>
    <row r="21" spans="1:28" ht="20.25" customHeight="1" x14ac:dyDescent="0.2">
      <c r="A21" s="296"/>
      <c r="B21" s="293"/>
      <c r="C21" s="153" t="s">
        <v>59</v>
      </c>
      <c r="D21" s="154"/>
      <c r="E21" s="154"/>
      <c r="F21" s="154"/>
      <c r="G21" s="155"/>
      <c r="H21" s="23">
        <v>15</v>
      </c>
      <c r="I21" s="24">
        <v>15728</v>
      </c>
      <c r="J21" s="24">
        <v>11329</v>
      </c>
      <c r="K21" s="24">
        <v>117</v>
      </c>
      <c r="L21" s="24">
        <v>1</v>
      </c>
      <c r="M21" s="24">
        <v>111</v>
      </c>
      <c r="N21" s="24">
        <v>0</v>
      </c>
      <c r="O21" s="24">
        <v>10566</v>
      </c>
      <c r="P21" s="24">
        <v>10361</v>
      </c>
      <c r="Q21" s="24">
        <v>36</v>
      </c>
      <c r="R21" s="24">
        <v>127</v>
      </c>
      <c r="S21" s="24">
        <v>42</v>
      </c>
      <c r="T21" s="24">
        <v>0</v>
      </c>
      <c r="U21" s="24">
        <v>2260</v>
      </c>
      <c r="V21" s="24">
        <v>400</v>
      </c>
      <c r="W21" s="24">
        <v>574</v>
      </c>
      <c r="X21" s="24">
        <v>244</v>
      </c>
      <c r="Y21" s="24">
        <v>5062</v>
      </c>
      <c r="Z21" s="24">
        <v>5013</v>
      </c>
      <c r="AA21" s="24">
        <v>0</v>
      </c>
      <c r="AB21" s="24">
        <v>4996</v>
      </c>
    </row>
    <row r="22" spans="1:28" ht="27.2" customHeight="1" x14ac:dyDescent="0.2">
      <c r="A22" s="296"/>
      <c r="B22" s="294"/>
      <c r="C22" s="30" t="s">
        <v>32</v>
      </c>
      <c r="D22" s="165" t="s">
        <v>60</v>
      </c>
      <c r="E22" s="166"/>
      <c r="F22" s="166"/>
      <c r="G22" s="167"/>
      <c r="H22" s="23">
        <v>16</v>
      </c>
      <c r="I22" s="24">
        <v>11623</v>
      </c>
      <c r="J22" s="24">
        <v>8367</v>
      </c>
      <c r="K22" s="24">
        <v>44</v>
      </c>
      <c r="L22" s="24">
        <v>1</v>
      </c>
      <c r="M22" s="24">
        <v>38</v>
      </c>
      <c r="N22" s="24">
        <v>0</v>
      </c>
      <c r="O22" s="24">
        <v>7828</v>
      </c>
      <c r="P22" s="24">
        <v>7690</v>
      </c>
      <c r="Q22" s="24">
        <v>30</v>
      </c>
      <c r="R22" s="24">
        <v>78</v>
      </c>
      <c r="S22" s="24">
        <v>30</v>
      </c>
      <c r="T22" s="24">
        <v>0</v>
      </c>
      <c r="U22" s="24">
        <v>1514</v>
      </c>
      <c r="V22" s="24">
        <v>321</v>
      </c>
      <c r="W22" s="24">
        <v>450</v>
      </c>
      <c r="X22" s="24">
        <v>171</v>
      </c>
      <c r="Y22" s="24">
        <v>3962</v>
      </c>
      <c r="Z22" s="24">
        <v>3918</v>
      </c>
      <c r="AA22" s="24">
        <v>0</v>
      </c>
      <c r="AB22" s="24">
        <v>3707</v>
      </c>
    </row>
    <row r="23" spans="1:28" ht="30.75" customHeight="1" x14ac:dyDescent="0.2">
      <c r="A23" s="296"/>
      <c r="B23" s="153" t="s">
        <v>61</v>
      </c>
      <c r="C23" s="154"/>
      <c r="D23" s="154"/>
      <c r="E23" s="154"/>
      <c r="F23" s="154"/>
      <c r="G23" s="155"/>
      <c r="H23" s="23">
        <v>17</v>
      </c>
      <c r="I23" s="24">
        <v>88</v>
      </c>
      <c r="J23" s="24">
        <v>43</v>
      </c>
      <c r="K23" s="24">
        <v>1</v>
      </c>
      <c r="L23" s="24">
        <v>0</v>
      </c>
      <c r="M23" s="24">
        <v>1</v>
      </c>
      <c r="N23" s="24">
        <v>0</v>
      </c>
      <c r="O23" s="24">
        <v>39</v>
      </c>
      <c r="P23" s="24">
        <v>39</v>
      </c>
      <c r="Q23" s="24">
        <v>0</v>
      </c>
      <c r="R23" s="24">
        <v>0</v>
      </c>
      <c r="S23" s="24">
        <v>0</v>
      </c>
      <c r="T23" s="24">
        <v>0</v>
      </c>
      <c r="U23" s="24">
        <v>3</v>
      </c>
      <c r="V23" s="24">
        <v>0</v>
      </c>
      <c r="W23" s="24">
        <v>1</v>
      </c>
      <c r="X23" s="24">
        <v>0</v>
      </c>
      <c r="Y23" s="24">
        <v>3</v>
      </c>
      <c r="Z23" s="24">
        <v>3</v>
      </c>
      <c r="AA23" s="24">
        <v>0</v>
      </c>
      <c r="AB23" s="24">
        <v>48</v>
      </c>
    </row>
    <row r="24" spans="1:28" ht="27.2" customHeight="1" x14ac:dyDescent="0.2">
      <c r="A24" s="296"/>
      <c r="B24" s="153" t="s">
        <v>62</v>
      </c>
      <c r="C24" s="154"/>
      <c r="D24" s="154"/>
      <c r="E24" s="154"/>
      <c r="F24" s="154"/>
      <c r="G24" s="155"/>
      <c r="H24" s="23">
        <v>18</v>
      </c>
      <c r="I24" s="25">
        <v>4671</v>
      </c>
      <c r="J24" s="25">
        <v>3956</v>
      </c>
      <c r="K24" s="25">
        <v>16</v>
      </c>
      <c r="L24" s="25">
        <v>0</v>
      </c>
      <c r="M24" s="25">
        <v>9</v>
      </c>
      <c r="N24" s="24">
        <v>4</v>
      </c>
      <c r="O24" s="24">
        <v>3690</v>
      </c>
      <c r="P24" s="24">
        <v>3639</v>
      </c>
      <c r="Q24" s="24">
        <v>1</v>
      </c>
      <c r="R24" s="24">
        <v>48</v>
      </c>
      <c r="S24" s="24">
        <v>2</v>
      </c>
      <c r="T24" s="24">
        <v>0</v>
      </c>
      <c r="U24" s="24">
        <v>777</v>
      </c>
      <c r="V24" s="24">
        <v>9</v>
      </c>
      <c r="W24" s="24">
        <v>802</v>
      </c>
      <c r="X24" s="24">
        <v>12</v>
      </c>
      <c r="Y24" s="24">
        <v>878</v>
      </c>
      <c r="Z24" s="24">
        <v>864</v>
      </c>
      <c r="AA24" s="24">
        <v>0</v>
      </c>
      <c r="AB24" s="24">
        <v>951</v>
      </c>
    </row>
    <row r="25" spans="1:28" ht="27" customHeight="1" x14ac:dyDescent="0.2">
      <c r="A25" s="296"/>
      <c r="B25" s="153" t="s">
        <v>63</v>
      </c>
      <c r="C25" s="154"/>
      <c r="D25" s="154"/>
      <c r="E25" s="154"/>
      <c r="F25" s="154"/>
      <c r="G25" s="155"/>
      <c r="H25" s="23">
        <v>19</v>
      </c>
      <c r="I25" s="24">
        <v>5313</v>
      </c>
      <c r="J25" s="24">
        <v>522</v>
      </c>
      <c r="K25" s="24">
        <v>2</v>
      </c>
      <c r="L25" s="24">
        <v>0</v>
      </c>
      <c r="M25" s="24">
        <v>2</v>
      </c>
      <c r="N25" s="24">
        <v>0</v>
      </c>
      <c r="O25" s="24">
        <v>382</v>
      </c>
      <c r="P25" s="24">
        <v>375</v>
      </c>
      <c r="Q25" s="24">
        <v>0</v>
      </c>
      <c r="R25" s="24">
        <v>7</v>
      </c>
      <c r="S25" s="24">
        <v>0</v>
      </c>
      <c r="T25" s="24">
        <v>0</v>
      </c>
      <c r="U25" s="24">
        <v>71</v>
      </c>
      <c r="V25" s="24">
        <v>25</v>
      </c>
      <c r="W25" s="24">
        <v>89</v>
      </c>
      <c r="X25" s="24">
        <v>11</v>
      </c>
      <c r="Y25" s="24">
        <v>250</v>
      </c>
      <c r="Z25" s="24">
        <v>242</v>
      </c>
      <c r="AA25" s="24">
        <v>0</v>
      </c>
      <c r="AB25" s="31">
        <v>4921</v>
      </c>
    </row>
    <row r="26" spans="1:28" ht="27.2" customHeight="1" x14ac:dyDescent="0.2">
      <c r="A26" s="296"/>
      <c r="B26" s="281" t="s">
        <v>32</v>
      </c>
      <c r="C26" s="268"/>
      <c r="D26" s="284" t="s">
        <v>64</v>
      </c>
      <c r="E26" s="285"/>
      <c r="F26" s="285"/>
      <c r="G26" s="286"/>
      <c r="H26" s="23">
        <v>20</v>
      </c>
      <c r="I26" s="24">
        <v>426</v>
      </c>
      <c r="J26" s="24">
        <v>173</v>
      </c>
      <c r="K26" s="24">
        <v>2</v>
      </c>
      <c r="L26" s="24">
        <v>0</v>
      </c>
      <c r="M26" s="24">
        <v>2</v>
      </c>
      <c r="N26" s="24">
        <v>0</v>
      </c>
      <c r="O26" s="24">
        <v>113</v>
      </c>
      <c r="P26" s="24">
        <v>111</v>
      </c>
      <c r="Q26" s="24">
        <v>0</v>
      </c>
      <c r="R26" s="24">
        <v>2</v>
      </c>
      <c r="S26" s="24">
        <v>0</v>
      </c>
      <c r="T26" s="24">
        <v>0</v>
      </c>
      <c r="U26" s="24">
        <v>14</v>
      </c>
      <c r="V26" s="24">
        <v>6</v>
      </c>
      <c r="W26" s="24">
        <v>34</v>
      </c>
      <c r="X26" s="24">
        <v>0</v>
      </c>
      <c r="Y26" s="24">
        <v>128</v>
      </c>
      <c r="Z26" s="24">
        <v>122</v>
      </c>
      <c r="AA26" s="24">
        <v>0</v>
      </c>
      <c r="AB26" s="24">
        <v>305</v>
      </c>
    </row>
    <row r="27" spans="1:28" ht="27.2" customHeight="1" x14ac:dyDescent="0.2">
      <c r="A27" s="296"/>
      <c r="B27" s="282"/>
      <c r="C27" s="270"/>
      <c r="D27" s="224" t="s">
        <v>32</v>
      </c>
      <c r="E27" s="258" t="s">
        <v>65</v>
      </c>
      <c r="F27" s="259"/>
      <c r="G27" s="260"/>
      <c r="H27" s="23">
        <v>21</v>
      </c>
      <c r="I27" s="24">
        <v>37</v>
      </c>
      <c r="J27" s="24">
        <v>25</v>
      </c>
      <c r="K27" s="24">
        <v>0</v>
      </c>
      <c r="L27" s="24">
        <v>0</v>
      </c>
      <c r="M27" s="24">
        <v>0</v>
      </c>
      <c r="N27" s="24">
        <v>0</v>
      </c>
      <c r="O27" s="24">
        <v>15</v>
      </c>
      <c r="P27" s="24">
        <v>14</v>
      </c>
      <c r="Q27" s="24">
        <v>0</v>
      </c>
      <c r="R27" s="24">
        <v>1</v>
      </c>
      <c r="S27" s="24">
        <v>0</v>
      </c>
      <c r="T27" s="24">
        <v>0</v>
      </c>
      <c r="U27" s="24">
        <v>2</v>
      </c>
      <c r="V27" s="24">
        <v>0</v>
      </c>
      <c r="W27" s="24">
        <v>5</v>
      </c>
      <c r="X27" s="24">
        <v>0</v>
      </c>
      <c r="Y27" s="24">
        <v>14</v>
      </c>
      <c r="Z27" s="24">
        <v>14</v>
      </c>
      <c r="AA27" s="24">
        <v>0</v>
      </c>
      <c r="AB27" s="24">
        <v>22</v>
      </c>
    </row>
    <row r="28" spans="1:28" ht="27.2" customHeight="1" x14ac:dyDescent="0.2">
      <c r="A28" s="296"/>
      <c r="B28" s="282"/>
      <c r="C28" s="270"/>
      <c r="D28" s="225"/>
      <c r="E28" s="165" t="s">
        <v>53</v>
      </c>
      <c r="F28" s="166"/>
      <c r="G28" s="167"/>
      <c r="H28" s="23">
        <v>22</v>
      </c>
      <c r="I28" s="24">
        <v>102</v>
      </c>
      <c r="J28" s="24">
        <v>57</v>
      </c>
      <c r="K28" s="24">
        <v>0</v>
      </c>
      <c r="L28" s="24">
        <v>0</v>
      </c>
      <c r="M28" s="24">
        <v>0</v>
      </c>
      <c r="N28" s="24">
        <v>0</v>
      </c>
      <c r="O28" s="24">
        <v>27</v>
      </c>
      <c r="P28" s="24">
        <v>26</v>
      </c>
      <c r="Q28" s="24">
        <v>0</v>
      </c>
      <c r="R28" s="24">
        <v>1</v>
      </c>
      <c r="S28" s="24">
        <v>0</v>
      </c>
      <c r="T28" s="24">
        <v>0</v>
      </c>
      <c r="U28" s="24">
        <v>5</v>
      </c>
      <c r="V28" s="24">
        <v>1</v>
      </c>
      <c r="W28" s="24">
        <v>17</v>
      </c>
      <c r="X28" s="24">
        <v>0</v>
      </c>
      <c r="Y28" s="24">
        <v>4</v>
      </c>
      <c r="Z28" s="24">
        <v>1</v>
      </c>
      <c r="AA28" s="24">
        <v>0</v>
      </c>
      <c r="AB28" s="24">
        <v>72</v>
      </c>
    </row>
    <row r="29" spans="1:28" ht="27.2" customHeight="1" x14ac:dyDescent="0.2">
      <c r="A29" s="296"/>
      <c r="B29" s="282"/>
      <c r="C29" s="270"/>
      <c r="D29" s="225"/>
      <c r="E29" s="165" t="s">
        <v>66</v>
      </c>
      <c r="F29" s="166"/>
      <c r="G29" s="167"/>
      <c r="H29" s="23">
        <v>23</v>
      </c>
      <c r="I29" s="24">
        <v>8</v>
      </c>
      <c r="J29" s="24">
        <v>8</v>
      </c>
      <c r="K29" s="24">
        <v>0</v>
      </c>
      <c r="L29" s="24">
        <v>0</v>
      </c>
      <c r="M29" s="24">
        <v>0</v>
      </c>
      <c r="N29" s="24">
        <v>0</v>
      </c>
      <c r="O29" s="24">
        <v>6</v>
      </c>
      <c r="P29" s="24">
        <v>6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2</v>
      </c>
      <c r="X29" s="24">
        <v>0</v>
      </c>
      <c r="Y29" s="24">
        <v>0</v>
      </c>
      <c r="Z29" s="24">
        <v>0</v>
      </c>
      <c r="AA29" s="24">
        <v>0</v>
      </c>
      <c r="AB29" s="24">
        <v>2</v>
      </c>
    </row>
    <row r="30" spans="1:28" ht="27.2" customHeight="1" x14ac:dyDescent="0.2">
      <c r="A30" s="296"/>
      <c r="B30" s="282"/>
      <c r="C30" s="270"/>
      <c r="D30" s="226"/>
      <c r="E30" s="165" t="s">
        <v>67</v>
      </c>
      <c r="F30" s="166"/>
      <c r="G30" s="167"/>
      <c r="H30" s="23">
        <v>24</v>
      </c>
      <c r="I30" s="24">
        <v>7</v>
      </c>
      <c r="J30" s="24">
        <v>6</v>
      </c>
      <c r="K30" s="24">
        <v>0</v>
      </c>
      <c r="L30" s="24">
        <v>0</v>
      </c>
      <c r="M30" s="24">
        <v>0</v>
      </c>
      <c r="N30" s="24">
        <v>0</v>
      </c>
      <c r="O30" s="24">
        <v>3</v>
      </c>
      <c r="P30" s="24">
        <v>3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24">
        <v>4</v>
      </c>
    </row>
    <row r="31" spans="1:28" ht="27.2" customHeight="1" x14ac:dyDescent="0.2">
      <c r="A31" s="296"/>
      <c r="B31" s="282"/>
      <c r="C31" s="270"/>
      <c r="D31" s="284" t="s">
        <v>68</v>
      </c>
      <c r="E31" s="285"/>
      <c r="F31" s="285"/>
      <c r="G31" s="286"/>
      <c r="H31" s="23">
        <v>25</v>
      </c>
      <c r="I31" s="24">
        <v>142</v>
      </c>
      <c r="J31" s="24">
        <v>132</v>
      </c>
      <c r="K31" s="24">
        <v>0</v>
      </c>
      <c r="L31" s="24">
        <v>0</v>
      </c>
      <c r="M31" s="24">
        <v>0</v>
      </c>
      <c r="N31" s="24">
        <v>0</v>
      </c>
      <c r="O31" s="24">
        <v>110</v>
      </c>
      <c r="P31" s="24">
        <v>106</v>
      </c>
      <c r="Q31" s="24">
        <v>0</v>
      </c>
      <c r="R31" s="24">
        <v>4</v>
      </c>
      <c r="S31" s="24">
        <v>0</v>
      </c>
      <c r="T31" s="24">
        <v>0</v>
      </c>
      <c r="U31" s="24">
        <v>17</v>
      </c>
      <c r="V31" s="24">
        <v>5</v>
      </c>
      <c r="W31" s="24">
        <v>19</v>
      </c>
      <c r="X31" s="24">
        <v>0</v>
      </c>
      <c r="Y31" s="24">
        <v>47</v>
      </c>
      <c r="Z31" s="24">
        <v>46</v>
      </c>
      <c r="AA31" s="24">
        <v>0</v>
      </c>
      <c r="AB31" s="24">
        <v>31</v>
      </c>
    </row>
    <row r="32" spans="1:28" ht="27.2" customHeight="1" x14ac:dyDescent="0.2">
      <c r="A32" s="296"/>
      <c r="B32" s="282"/>
      <c r="C32" s="270"/>
      <c r="D32" s="289" t="s">
        <v>32</v>
      </c>
      <c r="E32" s="165" t="s">
        <v>53</v>
      </c>
      <c r="F32" s="166"/>
      <c r="G32" s="167"/>
      <c r="H32" s="23">
        <v>26</v>
      </c>
      <c r="I32" s="24">
        <v>17</v>
      </c>
      <c r="J32" s="24">
        <v>16</v>
      </c>
      <c r="K32" s="24">
        <v>0</v>
      </c>
      <c r="L32" s="24">
        <v>0</v>
      </c>
      <c r="M32" s="24">
        <v>0</v>
      </c>
      <c r="N32" s="24">
        <v>0</v>
      </c>
      <c r="O32" s="24">
        <v>11</v>
      </c>
      <c r="P32" s="24">
        <v>11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4</v>
      </c>
      <c r="X32" s="24">
        <v>0</v>
      </c>
      <c r="Y32" s="24">
        <v>1</v>
      </c>
      <c r="Z32" s="24">
        <v>0</v>
      </c>
      <c r="AA32" s="24">
        <v>0</v>
      </c>
      <c r="AB32" s="24">
        <v>5</v>
      </c>
    </row>
    <row r="33" spans="1:28" ht="27.2" customHeight="1" x14ac:dyDescent="0.2">
      <c r="A33" s="296"/>
      <c r="B33" s="282"/>
      <c r="C33" s="270"/>
      <c r="D33" s="290"/>
      <c r="E33" s="165" t="s">
        <v>66</v>
      </c>
      <c r="F33" s="166"/>
      <c r="G33" s="167"/>
      <c r="H33" s="23">
        <v>27</v>
      </c>
      <c r="I33" s="24">
        <v>20</v>
      </c>
      <c r="J33" s="24">
        <v>20</v>
      </c>
      <c r="K33" s="24">
        <v>0</v>
      </c>
      <c r="L33" s="24">
        <v>0</v>
      </c>
      <c r="M33" s="24">
        <v>0</v>
      </c>
      <c r="N33" s="24">
        <v>0</v>
      </c>
      <c r="O33" s="24">
        <v>13</v>
      </c>
      <c r="P33" s="24">
        <v>12</v>
      </c>
      <c r="Q33" s="24">
        <v>0</v>
      </c>
      <c r="R33" s="24">
        <v>1</v>
      </c>
      <c r="S33" s="24">
        <v>0</v>
      </c>
      <c r="T33" s="24">
        <v>0</v>
      </c>
      <c r="U33" s="24">
        <v>2</v>
      </c>
      <c r="V33" s="24">
        <v>0</v>
      </c>
      <c r="W33" s="24">
        <v>7</v>
      </c>
      <c r="X33" s="24">
        <v>0</v>
      </c>
      <c r="Y33" s="24">
        <v>0</v>
      </c>
      <c r="Z33" s="24">
        <v>0</v>
      </c>
      <c r="AA33" s="24">
        <v>0</v>
      </c>
      <c r="AB33" s="24">
        <v>7</v>
      </c>
    </row>
    <row r="34" spans="1:28" ht="27.2" customHeight="1" x14ac:dyDescent="0.2">
      <c r="A34" s="296"/>
      <c r="B34" s="282"/>
      <c r="C34" s="270"/>
      <c r="D34" s="291"/>
      <c r="E34" s="165" t="s">
        <v>67</v>
      </c>
      <c r="F34" s="166"/>
      <c r="G34" s="167"/>
      <c r="H34" s="23">
        <v>28</v>
      </c>
      <c r="I34" s="24">
        <v>2</v>
      </c>
      <c r="J34" s="24">
        <v>2</v>
      </c>
      <c r="K34" s="24">
        <v>0</v>
      </c>
      <c r="L34" s="24">
        <v>0</v>
      </c>
      <c r="M34" s="24">
        <v>0</v>
      </c>
      <c r="N34" s="24">
        <v>0</v>
      </c>
      <c r="O34" s="24">
        <v>2</v>
      </c>
      <c r="P34" s="24">
        <v>2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6"/>
      <c r="B35" s="282"/>
      <c r="C35" s="270"/>
      <c r="D35" s="153" t="s">
        <v>69</v>
      </c>
      <c r="E35" s="154"/>
      <c r="F35" s="154"/>
      <c r="G35" s="155"/>
      <c r="H35" s="23">
        <v>29</v>
      </c>
      <c r="I35" s="24">
        <v>74</v>
      </c>
      <c r="J35" s="24">
        <v>58</v>
      </c>
      <c r="K35" s="24">
        <v>0</v>
      </c>
      <c r="L35" s="24">
        <v>0</v>
      </c>
      <c r="M35" s="24">
        <v>0</v>
      </c>
      <c r="N35" s="24">
        <v>0</v>
      </c>
      <c r="O35" s="24">
        <v>43</v>
      </c>
      <c r="P35" s="24">
        <v>42</v>
      </c>
      <c r="Q35" s="24">
        <v>0</v>
      </c>
      <c r="R35" s="24">
        <v>1</v>
      </c>
      <c r="S35" s="24">
        <v>0</v>
      </c>
      <c r="T35" s="24">
        <v>0</v>
      </c>
      <c r="U35" s="24">
        <v>7</v>
      </c>
      <c r="V35" s="24">
        <v>2</v>
      </c>
      <c r="W35" s="24">
        <v>9</v>
      </c>
      <c r="X35" s="24">
        <v>3</v>
      </c>
      <c r="Y35" s="24">
        <v>17</v>
      </c>
      <c r="Z35" s="24">
        <v>17</v>
      </c>
      <c r="AA35" s="24">
        <v>0</v>
      </c>
      <c r="AB35" s="24">
        <v>31</v>
      </c>
    </row>
    <row r="36" spans="1:28" ht="22.5" customHeight="1" x14ac:dyDescent="0.2">
      <c r="A36" s="296"/>
      <c r="B36" s="282"/>
      <c r="C36" s="270"/>
      <c r="D36" s="284" t="s">
        <v>70</v>
      </c>
      <c r="E36" s="285"/>
      <c r="F36" s="285"/>
      <c r="G36" s="286"/>
      <c r="H36" s="23">
        <v>30</v>
      </c>
      <c r="I36" s="24">
        <v>38</v>
      </c>
      <c r="J36" s="24">
        <v>15</v>
      </c>
      <c r="K36" s="24">
        <v>0</v>
      </c>
      <c r="L36" s="24">
        <v>0</v>
      </c>
      <c r="M36" s="24">
        <v>0</v>
      </c>
      <c r="N36" s="24">
        <v>0</v>
      </c>
      <c r="O36" s="24">
        <v>11</v>
      </c>
      <c r="P36" s="24">
        <v>11</v>
      </c>
      <c r="Q36" s="24">
        <v>0</v>
      </c>
      <c r="R36" s="24">
        <v>0</v>
      </c>
      <c r="S36" s="24">
        <v>0</v>
      </c>
      <c r="T36" s="24">
        <v>0</v>
      </c>
      <c r="U36" s="24">
        <v>1</v>
      </c>
      <c r="V36" s="24">
        <v>1</v>
      </c>
      <c r="W36" s="24">
        <v>1</v>
      </c>
      <c r="X36" s="24">
        <v>0</v>
      </c>
      <c r="Y36" s="24">
        <v>3</v>
      </c>
      <c r="Z36" s="24">
        <v>3</v>
      </c>
      <c r="AA36" s="24">
        <v>0</v>
      </c>
      <c r="AB36" s="24">
        <v>27</v>
      </c>
    </row>
    <row r="37" spans="1:28" ht="27.2" customHeight="1" x14ac:dyDescent="0.2">
      <c r="A37" s="296"/>
      <c r="B37" s="282"/>
      <c r="C37" s="270"/>
      <c r="D37" s="224" t="s">
        <v>32</v>
      </c>
      <c r="E37" s="165" t="s">
        <v>53</v>
      </c>
      <c r="F37" s="166"/>
      <c r="G37" s="167"/>
      <c r="H37" s="23">
        <v>31</v>
      </c>
      <c r="I37" s="24">
        <v>9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9</v>
      </c>
    </row>
    <row r="38" spans="1:28" ht="27.2" customHeight="1" x14ac:dyDescent="0.2">
      <c r="A38" s="296"/>
      <c r="B38" s="282"/>
      <c r="C38" s="270"/>
      <c r="D38" s="226"/>
      <c r="E38" s="165" t="s">
        <v>66</v>
      </c>
      <c r="F38" s="166"/>
      <c r="G38" s="167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6"/>
      <c r="B39" s="282"/>
      <c r="C39" s="270"/>
      <c r="D39" s="287" t="s">
        <v>71</v>
      </c>
      <c r="E39" s="288"/>
      <c r="F39" s="165" t="s">
        <v>72</v>
      </c>
      <c r="G39" s="167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6"/>
      <c r="B40" s="283"/>
      <c r="C40" s="272"/>
      <c r="D40" s="153" t="s">
        <v>73</v>
      </c>
      <c r="E40" s="154"/>
      <c r="F40" s="154"/>
      <c r="G40" s="155"/>
      <c r="H40" s="23">
        <v>34</v>
      </c>
      <c r="I40" s="24">
        <v>4633</v>
      </c>
      <c r="J40" s="24">
        <v>144</v>
      </c>
      <c r="K40" s="24">
        <v>0</v>
      </c>
      <c r="L40" s="24">
        <v>0</v>
      </c>
      <c r="M40" s="24">
        <v>0</v>
      </c>
      <c r="N40" s="24">
        <v>0</v>
      </c>
      <c r="O40" s="24">
        <v>105</v>
      </c>
      <c r="P40" s="24">
        <v>105</v>
      </c>
      <c r="Q40" s="24">
        <v>0</v>
      </c>
      <c r="R40" s="24">
        <v>0</v>
      </c>
      <c r="S40" s="24">
        <v>0</v>
      </c>
      <c r="T40" s="24">
        <v>0</v>
      </c>
      <c r="U40" s="24">
        <v>32</v>
      </c>
      <c r="V40" s="24">
        <v>11</v>
      </c>
      <c r="W40" s="24">
        <v>26</v>
      </c>
      <c r="X40" s="24">
        <v>8</v>
      </c>
      <c r="Y40" s="24">
        <v>55</v>
      </c>
      <c r="Z40" s="24">
        <v>54</v>
      </c>
      <c r="AA40" s="24">
        <v>0</v>
      </c>
      <c r="AB40" s="24">
        <v>4527</v>
      </c>
    </row>
    <row r="41" spans="1:28" ht="27.2" customHeight="1" x14ac:dyDescent="0.2">
      <c r="A41" s="296"/>
      <c r="B41" s="281" t="s">
        <v>74</v>
      </c>
      <c r="C41" s="268"/>
      <c r="D41" s="258" t="s">
        <v>75</v>
      </c>
      <c r="E41" s="259"/>
      <c r="F41" s="259"/>
      <c r="G41" s="260"/>
      <c r="H41" s="23">
        <v>35</v>
      </c>
      <c r="I41" s="24">
        <v>407</v>
      </c>
      <c r="J41" s="24">
        <v>119</v>
      </c>
      <c r="K41" s="24">
        <v>0</v>
      </c>
      <c r="L41" s="24">
        <v>0</v>
      </c>
      <c r="M41" s="24">
        <v>0</v>
      </c>
      <c r="N41" s="24">
        <v>0</v>
      </c>
      <c r="O41" s="24">
        <v>106</v>
      </c>
      <c r="P41" s="24">
        <v>105</v>
      </c>
      <c r="Q41" s="24">
        <v>0</v>
      </c>
      <c r="R41" s="24">
        <v>1</v>
      </c>
      <c r="S41" s="24">
        <v>0</v>
      </c>
      <c r="T41" s="24">
        <v>0</v>
      </c>
      <c r="U41" s="24">
        <v>22</v>
      </c>
      <c r="V41" s="24">
        <v>3</v>
      </c>
      <c r="W41" s="24">
        <v>10</v>
      </c>
      <c r="X41" s="24">
        <v>0</v>
      </c>
      <c r="Y41" s="24">
        <v>79</v>
      </c>
      <c r="Z41" s="24">
        <v>78</v>
      </c>
      <c r="AA41" s="24">
        <v>0</v>
      </c>
      <c r="AB41" s="24">
        <v>300</v>
      </c>
    </row>
    <row r="42" spans="1:28" ht="27.2" customHeight="1" x14ac:dyDescent="0.2">
      <c r="A42" s="296"/>
      <c r="B42" s="282"/>
      <c r="C42" s="270"/>
      <c r="D42" s="165" t="s">
        <v>76</v>
      </c>
      <c r="E42" s="166"/>
      <c r="F42" s="166"/>
      <c r="G42" s="167"/>
      <c r="H42" s="23">
        <v>36</v>
      </c>
      <c r="I42" s="24">
        <v>389</v>
      </c>
      <c r="J42" s="24">
        <v>389</v>
      </c>
      <c r="K42" s="24">
        <v>0</v>
      </c>
      <c r="L42" s="24">
        <v>0</v>
      </c>
      <c r="M42" s="24">
        <v>0</v>
      </c>
      <c r="N42" s="24">
        <v>0</v>
      </c>
      <c r="O42" s="24">
        <v>389</v>
      </c>
      <c r="P42" s="24">
        <v>384</v>
      </c>
      <c r="Q42" s="24">
        <v>3</v>
      </c>
      <c r="R42" s="24">
        <v>2</v>
      </c>
      <c r="S42" s="24">
        <v>0</v>
      </c>
      <c r="T42" s="24">
        <v>0</v>
      </c>
      <c r="U42" s="24">
        <v>66</v>
      </c>
      <c r="V42" s="24">
        <v>36</v>
      </c>
      <c r="W42" s="24">
        <v>17</v>
      </c>
      <c r="X42" s="24">
        <v>3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6"/>
      <c r="B43" s="282"/>
      <c r="C43" s="270"/>
      <c r="D43" s="165" t="s">
        <v>77</v>
      </c>
      <c r="E43" s="166"/>
      <c r="F43" s="166"/>
      <c r="G43" s="167"/>
      <c r="H43" s="23">
        <v>37</v>
      </c>
      <c r="I43" s="24">
        <v>3051</v>
      </c>
      <c r="J43" s="24">
        <v>1659</v>
      </c>
      <c r="K43" s="24">
        <v>12</v>
      </c>
      <c r="L43" s="24">
        <v>0</v>
      </c>
      <c r="M43" s="24">
        <v>8</v>
      </c>
      <c r="N43" s="24">
        <v>4</v>
      </c>
      <c r="O43" s="24">
        <v>1505</v>
      </c>
      <c r="P43" s="24">
        <v>1437</v>
      </c>
      <c r="Q43" s="24">
        <v>9</v>
      </c>
      <c r="R43" s="24">
        <v>7</v>
      </c>
      <c r="S43" s="24">
        <v>52</v>
      </c>
      <c r="T43" s="24">
        <v>0</v>
      </c>
      <c r="U43" s="24">
        <v>187</v>
      </c>
      <c r="V43" s="24">
        <v>28</v>
      </c>
      <c r="W43" s="24">
        <v>155</v>
      </c>
      <c r="X43" s="24">
        <v>184</v>
      </c>
      <c r="Y43" s="24">
        <v>1222</v>
      </c>
      <c r="Z43" s="24">
        <v>1202</v>
      </c>
      <c r="AA43" s="24">
        <v>0</v>
      </c>
      <c r="AB43" s="24">
        <v>1514</v>
      </c>
    </row>
    <row r="44" spans="1:28" ht="27.2" customHeight="1" x14ac:dyDescent="0.2">
      <c r="A44" s="296"/>
      <c r="B44" s="282"/>
      <c r="C44" s="270"/>
      <c r="D44" s="165" t="s">
        <v>78</v>
      </c>
      <c r="E44" s="166"/>
      <c r="F44" s="166"/>
      <c r="G44" s="167"/>
      <c r="H44" s="23">
        <v>38</v>
      </c>
      <c r="I44" s="24">
        <v>36558</v>
      </c>
      <c r="J44" s="24">
        <v>13011</v>
      </c>
      <c r="K44" s="24">
        <v>186</v>
      </c>
      <c r="L44" s="24">
        <v>0</v>
      </c>
      <c r="M44" s="24">
        <v>154</v>
      </c>
      <c r="N44" s="24">
        <v>4</v>
      </c>
      <c r="O44" s="24">
        <v>11876</v>
      </c>
      <c r="P44" s="24">
        <v>11634</v>
      </c>
      <c r="Q44" s="24">
        <v>48</v>
      </c>
      <c r="R44" s="24">
        <v>160</v>
      </c>
      <c r="S44" s="24">
        <v>34</v>
      </c>
      <c r="T44" s="24">
        <v>0</v>
      </c>
      <c r="U44" s="24">
        <v>2864</v>
      </c>
      <c r="V44" s="24">
        <v>199</v>
      </c>
      <c r="W44" s="24">
        <v>1214</v>
      </c>
      <c r="X44" s="24">
        <v>202</v>
      </c>
      <c r="Y44" s="24">
        <v>9548</v>
      </c>
      <c r="Z44" s="24">
        <v>9476</v>
      </c>
      <c r="AA44" s="24">
        <v>0</v>
      </c>
      <c r="AB44" s="24">
        <v>24424</v>
      </c>
    </row>
    <row r="45" spans="1:28" ht="27.2" customHeight="1" x14ac:dyDescent="0.2">
      <c r="A45" s="296"/>
      <c r="B45" s="282"/>
      <c r="C45" s="270"/>
      <c r="D45" s="165" t="s">
        <v>79</v>
      </c>
      <c r="E45" s="166"/>
      <c r="F45" s="166"/>
      <c r="G45" s="167"/>
      <c r="H45" s="23">
        <v>39</v>
      </c>
      <c r="I45" s="24">
        <v>14846</v>
      </c>
      <c r="J45" s="24">
        <v>14818</v>
      </c>
      <c r="K45" s="24">
        <v>10</v>
      </c>
      <c r="L45" s="24">
        <v>0</v>
      </c>
      <c r="M45" s="24">
        <v>10</v>
      </c>
      <c r="N45" s="24">
        <v>0</v>
      </c>
      <c r="O45" s="24">
        <v>14632</v>
      </c>
      <c r="P45" s="24">
        <v>14486</v>
      </c>
      <c r="Q45" s="24">
        <v>71</v>
      </c>
      <c r="R45" s="24">
        <v>51</v>
      </c>
      <c r="S45" s="24">
        <v>24</v>
      </c>
      <c r="T45" s="24">
        <v>0</v>
      </c>
      <c r="U45" s="24">
        <v>1309</v>
      </c>
      <c r="V45" s="24">
        <v>1720</v>
      </c>
      <c r="W45" s="24">
        <v>246</v>
      </c>
      <c r="X45" s="24">
        <v>124</v>
      </c>
      <c r="Y45" s="24">
        <v>17</v>
      </c>
      <c r="Z45" s="24">
        <v>8</v>
      </c>
      <c r="AA45" s="24">
        <v>0</v>
      </c>
      <c r="AB45" s="24">
        <v>195</v>
      </c>
    </row>
    <row r="46" spans="1:28" ht="27.2" customHeight="1" x14ac:dyDescent="0.2">
      <c r="A46" s="296"/>
      <c r="B46" s="282"/>
      <c r="C46" s="270"/>
      <c r="D46" s="165" t="s">
        <v>80</v>
      </c>
      <c r="E46" s="166"/>
      <c r="F46" s="166"/>
      <c r="G46" s="167"/>
      <c r="H46" s="23">
        <v>40</v>
      </c>
      <c r="I46" s="24">
        <v>365</v>
      </c>
      <c r="J46" s="24">
        <v>190</v>
      </c>
      <c r="K46" s="24">
        <v>3</v>
      </c>
      <c r="L46" s="24">
        <v>0</v>
      </c>
      <c r="M46" s="24">
        <v>2</v>
      </c>
      <c r="N46" s="24">
        <v>0</v>
      </c>
      <c r="O46" s="24">
        <v>178</v>
      </c>
      <c r="P46" s="24">
        <v>176</v>
      </c>
      <c r="Q46" s="24">
        <v>0</v>
      </c>
      <c r="R46" s="24">
        <v>1</v>
      </c>
      <c r="S46" s="24">
        <v>1</v>
      </c>
      <c r="T46" s="24">
        <v>0</v>
      </c>
      <c r="U46" s="24">
        <v>66</v>
      </c>
      <c r="V46" s="24">
        <v>5</v>
      </c>
      <c r="W46" s="24">
        <v>26</v>
      </c>
      <c r="X46" s="24">
        <v>7</v>
      </c>
      <c r="Y46" s="24">
        <v>145</v>
      </c>
      <c r="Z46" s="24">
        <v>144</v>
      </c>
      <c r="AA46" s="24">
        <v>0</v>
      </c>
      <c r="AB46" s="24">
        <v>183</v>
      </c>
    </row>
    <row r="47" spans="1:28" ht="27.2" customHeight="1" x14ac:dyDescent="0.2">
      <c r="A47" s="296"/>
      <c r="B47" s="282"/>
      <c r="C47" s="270"/>
      <c r="D47" s="165" t="s">
        <v>81</v>
      </c>
      <c r="E47" s="166"/>
      <c r="F47" s="166"/>
      <c r="G47" s="167"/>
      <c r="H47" s="23">
        <v>41</v>
      </c>
      <c r="I47" s="24">
        <v>430</v>
      </c>
      <c r="J47" s="24">
        <v>430</v>
      </c>
      <c r="K47" s="24">
        <v>0</v>
      </c>
      <c r="L47" s="24">
        <v>0</v>
      </c>
      <c r="M47" s="24">
        <v>0</v>
      </c>
      <c r="N47" s="24">
        <v>0</v>
      </c>
      <c r="O47" s="24">
        <v>386</v>
      </c>
      <c r="P47" s="24">
        <v>356</v>
      </c>
      <c r="Q47" s="24">
        <v>2</v>
      </c>
      <c r="R47" s="24">
        <v>28</v>
      </c>
      <c r="S47" s="24">
        <v>0</v>
      </c>
      <c r="T47" s="24">
        <v>0</v>
      </c>
      <c r="U47" s="24">
        <v>71</v>
      </c>
      <c r="V47" s="24">
        <v>7</v>
      </c>
      <c r="W47" s="24">
        <v>43</v>
      </c>
      <c r="X47" s="24">
        <v>0</v>
      </c>
      <c r="Y47" s="24">
        <v>3</v>
      </c>
      <c r="Z47" s="24">
        <v>1</v>
      </c>
      <c r="AA47" s="24">
        <v>0</v>
      </c>
      <c r="AB47" s="24">
        <v>42</v>
      </c>
    </row>
    <row r="48" spans="1:28" ht="27.2" customHeight="1" x14ac:dyDescent="0.2">
      <c r="A48" s="296"/>
      <c r="B48" s="282"/>
      <c r="C48" s="270"/>
      <c r="D48" s="258" t="s">
        <v>82</v>
      </c>
      <c r="E48" s="259"/>
      <c r="F48" s="259"/>
      <c r="G48" s="260"/>
      <c r="H48" s="23">
        <v>42</v>
      </c>
      <c r="I48" s="24">
        <v>13729</v>
      </c>
      <c r="J48" s="24">
        <v>220</v>
      </c>
      <c r="K48" s="24">
        <v>4</v>
      </c>
      <c r="L48" s="24">
        <v>0</v>
      </c>
      <c r="M48" s="24">
        <v>4</v>
      </c>
      <c r="N48" s="24">
        <v>0</v>
      </c>
      <c r="O48" s="24">
        <v>185</v>
      </c>
      <c r="P48" s="24">
        <v>180</v>
      </c>
      <c r="Q48" s="24">
        <v>1</v>
      </c>
      <c r="R48" s="24">
        <v>4</v>
      </c>
      <c r="S48" s="24">
        <v>0</v>
      </c>
      <c r="T48" s="24">
        <v>0</v>
      </c>
      <c r="U48" s="24">
        <v>50</v>
      </c>
      <c r="V48" s="24">
        <v>9</v>
      </c>
      <c r="W48" s="24">
        <v>34</v>
      </c>
      <c r="X48" s="24">
        <v>7</v>
      </c>
      <c r="Y48" s="24">
        <v>409</v>
      </c>
      <c r="Z48" s="24">
        <v>403</v>
      </c>
      <c r="AA48" s="24">
        <v>0</v>
      </c>
      <c r="AB48" s="24">
        <v>13534</v>
      </c>
    </row>
    <row r="49" spans="1:28" ht="27.2" customHeight="1" x14ac:dyDescent="0.2">
      <c r="A49" s="296"/>
      <c r="B49" s="282"/>
      <c r="C49" s="270"/>
      <c r="D49" s="258" t="s">
        <v>83</v>
      </c>
      <c r="E49" s="259"/>
      <c r="F49" s="259"/>
      <c r="G49" s="260"/>
      <c r="H49" s="23">
        <v>43</v>
      </c>
      <c r="I49" s="24">
        <v>2928</v>
      </c>
      <c r="J49" s="24">
        <v>2916</v>
      </c>
      <c r="K49" s="24">
        <v>2</v>
      </c>
      <c r="L49" s="24">
        <v>0</v>
      </c>
      <c r="M49" s="24">
        <v>2</v>
      </c>
      <c r="N49" s="24">
        <v>0</v>
      </c>
      <c r="O49" s="24">
        <v>2881</v>
      </c>
      <c r="P49" s="24">
        <v>2664</v>
      </c>
      <c r="Q49" s="24">
        <v>212</v>
      </c>
      <c r="R49" s="24">
        <v>5</v>
      </c>
      <c r="S49" s="24">
        <v>0</v>
      </c>
      <c r="T49" s="24">
        <v>0</v>
      </c>
      <c r="U49" s="24">
        <v>332</v>
      </c>
      <c r="V49" s="24">
        <v>103</v>
      </c>
      <c r="W49" s="24">
        <v>182</v>
      </c>
      <c r="X49" s="24">
        <v>0</v>
      </c>
      <c r="Y49" s="24">
        <v>9</v>
      </c>
      <c r="Z49" s="24">
        <v>0</v>
      </c>
      <c r="AA49" s="24">
        <v>0</v>
      </c>
      <c r="AB49" s="24">
        <v>36</v>
      </c>
    </row>
    <row r="50" spans="1:28" ht="27.2" customHeight="1" x14ac:dyDescent="0.2">
      <c r="A50" s="296"/>
      <c r="B50" s="282"/>
      <c r="C50" s="270"/>
      <c r="D50" s="258" t="s">
        <v>84</v>
      </c>
      <c r="E50" s="259"/>
      <c r="F50" s="259"/>
      <c r="G50" s="260"/>
      <c r="H50" s="23">
        <v>44</v>
      </c>
      <c r="I50" s="24">
        <v>4657</v>
      </c>
      <c r="J50" s="24">
        <v>128</v>
      </c>
      <c r="K50" s="24">
        <v>0</v>
      </c>
      <c r="L50" s="24">
        <v>0</v>
      </c>
      <c r="M50" s="24">
        <v>0</v>
      </c>
      <c r="N50" s="24">
        <v>0</v>
      </c>
      <c r="O50" s="24">
        <v>113</v>
      </c>
      <c r="P50" s="24">
        <v>111</v>
      </c>
      <c r="Q50" s="24">
        <v>0</v>
      </c>
      <c r="R50" s="24">
        <v>2</v>
      </c>
      <c r="S50" s="24">
        <v>0</v>
      </c>
      <c r="T50" s="24">
        <v>0</v>
      </c>
      <c r="U50" s="24">
        <v>28</v>
      </c>
      <c r="V50" s="24">
        <v>5</v>
      </c>
      <c r="W50" s="24">
        <v>10</v>
      </c>
      <c r="X50" s="24">
        <v>4</v>
      </c>
      <c r="Y50" s="24">
        <v>113</v>
      </c>
      <c r="Z50" s="24">
        <v>112</v>
      </c>
      <c r="AA50" s="24">
        <v>0</v>
      </c>
      <c r="AB50" s="24">
        <v>4543</v>
      </c>
    </row>
    <row r="51" spans="1:28" ht="27.2" customHeight="1" x14ac:dyDescent="0.2">
      <c r="A51" s="296"/>
      <c r="B51" s="283"/>
      <c r="C51" s="272"/>
      <c r="D51" s="165" t="s">
        <v>85</v>
      </c>
      <c r="E51" s="166"/>
      <c r="F51" s="166"/>
      <c r="G51" s="167"/>
      <c r="H51" s="23">
        <v>45</v>
      </c>
      <c r="I51" s="24">
        <v>673</v>
      </c>
      <c r="J51" s="24">
        <v>665</v>
      </c>
      <c r="K51" s="24">
        <v>0</v>
      </c>
      <c r="L51" s="24">
        <v>0</v>
      </c>
      <c r="M51" s="24">
        <v>0</v>
      </c>
      <c r="N51" s="24">
        <v>0</v>
      </c>
      <c r="O51" s="24">
        <v>670</v>
      </c>
      <c r="P51" s="24">
        <v>657</v>
      </c>
      <c r="Q51" s="24">
        <v>3</v>
      </c>
      <c r="R51" s="24">
        <v>2</v>
      </c>
      <c r="S51" s="24">
        <v>8</v>
      </c>
      <c r="T51" s="24">
        <v>0</v>
      </c>
      <c r="U51" s="24">
        <v>183</v>
      </c>
      <c r="V51" s="24">
        <v>39</v>
      </c>
      <c r="W51" s="24">
        <v>39</v>
      </c>
      <c r="X51" s="24">
        <v>30</v>
      </c>
      <c r="Y51" s="24">
        <v>0</v>
      </c>
      <c r="Z51" s="24">
        <v>0</v>
      </c>
      <c r="AA51" s="24">
        <v>0</v>
      </c>
      <c r="AB51" s="24">
        <v>3</v>
      </c>
    </row>
    <row r="52" spans="1:28" ht="23.25" customHeight="1" x14ac:dyDescent="0.2">
      <c r="A52" s="296"/>
      <c r="B52" s="278" t="s">
        <v>86</v>
      </c>
      <c r="C52" s="262"/>
      <c r="D52" s="138" t="s">
        <v>87</v>
      </c>
      <c r="E52" s="139"/>
      <c r="F52" s="139"/>
      <c r="G52" s="140"/>
      <c r="H52" s="23">
        <v>46</v>
      </c>
      <c r="I52" s="24">
        <v>4331</v>
      </c>
      <c r="J52" s="24">
        <v>914</v>
      </c>
      <c r="K52" s="24">
        <v>7</v>
      </c>
      <c r="L52" s="24">
        <v>0</v>
      </c>
      <c r="M52" s="24">
        <v>6</v>
      </c>
      <c r="N52" s="24">
        <v>1</v>
      </c>
      <c r="O52" s="24">
        <v>799</v>
      </c>
      <c r="P52" s="24">
        <v>783</v>
      </c>
      <c r="Q52" s="24">
        <v>8</v>
      </c>
      <c r="R52" s="24">
        <v>6</v>
      </c>
      <c r="S52" s="24">
        <v>2</v>
      </c>
      <c r="T52" s="24">
        <v>9</v>
      </c>
      <c r="U52" s="24">
        <v>161</v>
      </c>
      <c r="V52" s="24">
        <v>37</v>
      </c>
      <c r="W52" s="24">
        <v>25</v>
      </c>
      <c r="X52" s="24">
        <v>8</v>
      </c>
      <c r="Y52" s="24">
        <v>854</v>
      </c>
      <c r="Z52" s="24">
        <v>852</v>
      </c>
      <c r="AA52" s="24">
        <v>0</v>
      </c>
      <c r="AB52" s="24">
        <v>3514</v>
      </c>
    </row>
    <row r="53" spans="1:28" ht="28.5" customHeight="1" x14ac:dyDescent="0.2">
      <c r="A53" s="296"/>
      <c r="B53" s="279"/>
      <c r="C53" s="264"/>
      <c r="D53" s="36" t="s">
        <v>34</v>
      </c>
      <c r="E53" s="138" t="s">
        <v>88</v>
      </c>
      <c r="F53" s="139"/>
      <c r="G53" s="140"/>
      <c r="H53" s="23">
        <v>47</v>
      </c>
      <c r="I53" s="24">
        <v>442</v>
      </c>
      <c r="J53" s="24">
        <v>90</v>
      </c>
      <c r="K53" s="24">
        <v>0</v>
      </c>
      <c r="L53" s="24">
        <v>0</v>
      </c>
      <c r="M53" s="24">
        <v>0</v>
      </c>
      <c r="N53" s="24">
        <v>0</v>
      </c>
      <c r="O53" s="24">
        <v>61</v>
      </c>
      <c r="P53" s="24">
        <v>57</v>
      </c>
      <c r="Q53" s="24">
        <v>4</v>
      </c>
      <c r="R53" s="24">
        <v>0</v>
      </c>
      <c r="S53" s="24">
        <v>0</v>
      </c>
      <c r="T53" s="24">
        <v>0</v>
      </c>
      <c r="U53" s="24">
        <v>1</v>
      </c>
      <c r="V53" s="24">
        <v>4</v>
      </c>
      <c r="W53" s="24">
        <v>1</v>
      </c>
      <c r="X53" s="24">
        <v>0</v>
      </c>
      <c r="Y53" s="24">
        <v>30</v>
      </c>
      <c r="Z53" s="24">
        <v>30</v>
      </c>
      <c r="AA53" s="24">
        <v>0</v>
      </c>
      <c r="AB53" s="24">
        <v>381</v>
      </c>
    </row>
    <row r="54" spans="1:28" ht="24" customHeight="1" x14ac:dyDescent="0.2">
      <c r="A54" s="296"/>
      <c r="B54" s="279"/>
      <c r="C54" s="264"/>
      <c r="D54" s="138" t="s">
        <v>89</v>
      </c>
      <c r="E54" s="139"/>
      <c r="F54" s="139"/>
      <c r="G54" s="140"/>
      <c r="H54" s="23">
        <v>48</v>
      </c>
      <c r="I54" s="24">
        <v>43452</v>
      </c>
      <c r="J54" s="24">
        <v>36086</v>
      </c>
      <c r="K54" s="24">
        <v>673</v>
      </c>
      <c r="L54" s="24">
        <v>2</v>
      </c>
      <c r="M54" s="24">
        <v>655</v>
      </c>
      <c r="N54" s="24">
        <v>4</v>
      </c>
      <c r="O54" s="24">
        <v>30011</v>
      </c>
      <c r="P54" s="24">
        <v>29851</v>
      </c>
      <c r="Q54" s="24">
        <v>59</v>
      </c>
      <c r="R54" s="24">
        <v>86</v>
      </c>
      <c r="S54" s="24">
        <v>15</v>
      </c>
      <c r="T54" s="24">
        <v>13</v>
      </c>
      <c r="U54" s="24">
        <v>4943</v>
      </c>
      <c r="V54" s="24">
        <v>3358</v>
      </c>
      <c r="W54" s="24">
        <v>359</v>
      </c>
      <c r="X54" s="24">
        <v>141</v>
      </c>
      <c r="Y54" s="24">
        <v>4398</v>
      </c>
      <c r="Z54" s="24">
        <v>4231</v>
      </c>
      <c r="AA54" s="24">
        <v>0</v>
      </c>
      <c r="AB54" s="24">
        <v>12588</v>
      </c>
    </row>
    <row r="55" spans="1:28" ht="23.25" customHeight="1" x14ac:dyDescent="0.2">
      <c r="A55" s="296"/>
      <c r="B55" s="279"/>
      <c r="C55" s="264"/>
      <c r="D55" s="138" t="s">
        <v>90</v>
      </c>
      <c r="E55" s="139"/>
      <c r="F55" s="139"/>
      <c r="G55" s="140"/>
      <c r="H55" s="23">
        <v>49</v>
      </c>
      <c r="I55" s="24">
        <v>6582</v>
      </c>
      <c r="J55" s="24">
        <v>2633</v>
      </c>
      <c r="K55" s="24">
        <v>111</v>
      </c>
      <c r="L55" s="24">
        <v>0</v>
      </c>
      <c r="M55" s="24">
        <v>108</v>
      </c>
      <c r="N55" s="24">
        <v>3</v>
      </c>
      <c r="O55" s="24">
        <v>1413</v>
      </c>
      <c r="P55" s="24">
        <v>1399</v>
      </c>
      <c r="Q55" s="24">
        <v>9</v>
      </c>
      <c r="R55" s="24">
        <v>4</v>
      </c>
      <c r="S55" s="24">
        <v>1</v>
      </c>
      <c r="T55" s="24">
        <v>0</v>
      </c>
      <c r="U55" s="24">
        <v>59</v>
      </c>
      <c r="V55" s="24">
        <v>221</v>
      </c>
      <c r="W55" s="24">
        <v>6</v>
      </c>
      <c r="X55" s="24">
        <v>25</v>
      </c>
      <c r="Y55" s="24">
        <v>130</v>
      </c>
      <c r="Z55" s="24">
        <v>129</v>
      </c>
      <c r="AA55" s="24">
        <v>0</v>
      </c>
      <c r="AB55" s="24">
        <v>5057</v>
      </c>
    </row>
    <row r="56" spans="1:28" ht="27.2" customHeight="1" x14ac:dyDescent="0.2">
      <c r="A56" s="296"/>
      <c r="B56" s="279"/>
      <c r="C56" s="264"/>
      <c r="D56" s="138" t="s">
        <v>91</v>
      </c>
      <c r="E56" s="139"/>
      <c r="F56" s="139"/>
      <c r="G56" s="140"/>
      <c r="H56" s="23">
        <v>50</v>
      </c>
      <c r="I56" s="24">
        <v>797</v>
      </c>
      <c r="J56" s="24">
        <v>228</v>
      </c>
      <c r="K56" s="24">
        <v>0</v>
      </c>
      <c r="L56" s="24">
        <v>0</v>
      </c>
      <c r="M56" s="24">
        <v>0</v>
      </c>
      <c r="N56" s="24">
        <v>0</v>
      </c>
      <c r="O56" s="24">
        <v>189</v>
      </c>
      <c r="P56" s="24">
        <v>140</v>
      </c>
      <c r="Q56" s="24">
        <v>49</v>
      </c>
      <c r="R56" s="24">
        <v>0</v>
      </c>
      <c r="S56" s="24">
        <v>0</v>
      </c>
      <c r="T56" s="24">
        <v>0</v>
      </c>
      <c r="U56" s="24">
        <v>6</v>
      </c>
      <c r="V56" s="24">
        <v>4</v>
      </c>
      <c r="W56" s="24">
        <v>0</v>
      </c>
      <c r="X56" s="24">
        <v>0</v>
      </c>
      <c r="Y56" s="24">
        <v>28</v>
      </c>
      <c r="Z56" s="24">
        <v>28</v>
      </c>
      <c r="AA56" s="24">
        <v>0</v>
      </c>
      <c r="AB56" s="24">
        <v>608</v>
      </c>
    </row>
    <row r="57" spans="1:28" ht="27.2" customHeight="1" x14ac:dyDescent="0.2">
      <c r="A57" s="296"/>
      <c r="B57" s="279"/>
      <c r="C57" s="264"/>
      <c r="D57" s="138" t="s">
        <v>92</v>
      </c>
      <c r="E57" s="139"/>
      <c r="F57" s="139"/>
      <c r="G57" s="140"/>
      <c r="H57" s="23">
        <v>51</v>
      </c>
      <c r="I57" s="24">
        <v>4352</v>
      </c>
      <c r="J57" s="24">
        <v>1011</v>
      </c>
      <c r="K57" s="24">
        <v>76</v>
      </c>
      <c r="L57" s="24">
        <v>0</v>
      </c>
      <c r="M57" s="24">
        <v>76</v>
      </c>
      <c r="N57" s="24">
        <v>0</v>
      </c>
      <c r="O57" s="24">
        <v>636</v>
      </c>
      <c r="P57" s="24">
        <v>506</v>
      </c>
      <c r="Q57" s="24">
        <v>130</v>
      </c>
      <c r="R57" s="24">
        <v>0</v>
      </c>
      <c r="S57" s="24">
        <v>0</v>
      </c>
      <c r="T57" s="24">
        <v>0</v>
      </c>
      <c r="U57" s="24">
        <v>8</v>
      </c>
      <c r="V57" s="24">
        <v>52</v>
      </c>
      <c r="W57" s="24">
        <v>6</v>
      </c>
      <c r="X57" s="24">
        <v>0</v>
      </c>
      <c r="Y57" s="24">
        <v>65</v>
      </c>
      <c r="Z57" s="24">
        <v>64</v>
      </c>
      <c r="AA57" s="24">
        <v>0</v>
      </c>
      <c r="AB57" s="24">
        <v>3639</v>
      </c>
    </row>
    <row r="58" spans="1:28" ht="27.2" customHeight="1" x14ac:dyDescent="0.2">
      <c r="A58" s="297"/>
      <c r="B58" s="280"/>
      <c r="C58" s="266"/>
      <c r="D58" s="138" t="s">
        <v>93</v>
      </c>
      <c r="E58" s="139"/>
      <c r="F58" s="139"/>
      <c r="G58" s="140"/>
      <c r="H58" s="23">
        <v>52</v>
      </c>
      <c r="I58" s="24">
        <v>174</v>
      </c>
      <c r="J58" s="24">
        <v>32</v>
      </c>
      <c r="K58" s="24">
        <v>0</v>
      </c>
      <c r="L58" s="24">
        <v>0</v>
      </c>
      <c r="M58" s="24">
        <v>0</v>
      </c>
      <c r="N58" s="24">
        <v>0</v>
      </c>
      <c r="O58" s="24">
        <v>1</v>
      </c>
      <c r="P58" s="24">
        <v>1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173</v>
      </c>
    </row>
    <row r="59" spans="1:28" ht="15" customHeight="1" x14ac:dyDescent="0.2">
      <c r="A59" s="198" t="s">
        <v>94</v>
      </c>
      <c r="B59" s="199"/>
      <c r="C59" s="199"/>
      <c r="D59" s="199"/>
      <c r="E59" s="199"/>
      <c r="F59" s="199"/>
      <c r="G59" s="200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44" t="s">
        <v>44</v>
      </c>
      <c r="B60" s="138" t="s">
        <v>95</v>
      </c>
      <c r="C60" s="139"/>
      <c r="D60" s="139"/>
      <c r="E60" s="139"/>
      <c r="F60" s="139"/>
      <c r="G60" s="140"/>
      <c r="H60" s="38">
        <v>53</v>
      </c>
      <c r="I60" s="31">
        <v>3375</v>
      </c>
      <c r="J60" s="31">
        <v>1229</v>
      </c>
      <c r="K60" s="31">
        <v>112</v>
      </c>
      <c r="L60" s="31">
        <v>0</v>
      </c>
      <c r="M60" s="31">
        <v>111</v>
      </c>
      <c r="N60" s="31">
        <v>1</v>
      </c>
      <c r="O60" s="31">
        <v>648</v>
      </c>
      <c r="P60" s="31">
        <v>644</v>
      </c>
      <c r="Q60" s="31">
        <v>1</v>
      </c>
      <c r="R60" s="31">
        <v>0</v>
      </c>
      <c r="S60" s="31">
        <v>3</v>
      </c>
      <c r="T60" s="31">
        <v>0</v>
      </c>
      <c r="U60" s="31">
        <v>20</v>
      </c>
      <c r="V60" s="31">
        <v>57</v>
      </c>
      <c r="W60" s="31">
        <v>6</v>
      </c>
      <c r="X60" s="31">
        <v>16</v>
      </c>
      <c r="Y60" s="31">
        <v>12</v>
      </c>
      <c r="Z60" s="31">
        <v>12</v>
      </c>
      <c r="AA60" s="31">
        <v>0</v>
      </c>
      <c r="AB60" s="31">
        <v>2615</v>
      </c>
    </row>
    <row r="61" spans="1:28" ht="27.2" customHeight="1" x14ac:dyDescent="0.2">
      <c r="A61" s="145"/>
      <c r="B61" s="135" t="s">
        <v>96</v>
      </c>
      <c r="C61" s="136"/>
      <c r="D61" s="136"/>
      <c r="E61" s="136"/>
      <c r="F61" s="136"/>
      <c r="G61" s="137"/>
      <c r="H61" s="20">
        <v>54</v>
      </c>
      <c r="I61" s="31">
        <v>42426</v>
      </c>
      <c r="J61" s="31">
        <v>10395</v>
      </c>
      <c r="K61" s="31">
        <v>37</v>
      </c>
      <c r="L61" s="31">
        <v>0</v>
      </c>
      <c r="M61" s="31">
        <v>30</v>
      </c>
      <c r="N61" s="31">
        <v>0</v>
      </c>
      <c r="O61" s="31">
        <v>9664</v>
      </c>
      <c r="P61" s="31">
        <v>9516</v>
      </c>
      <c r="Q61" s="31">
        <v>9</v>
      </c>
      <c r="R61" s="31">
        <v>96</v>
      </c>
      <c r="S61" s="31">
        <v>43</v>
      </c>
      <c r="T61" s="31">
        <v>0</v>
      </c>
      <c r="U61" s="31">
        <v>1605</v>
      </c>
      <c r="V61" s="31">
        <v>69</v>
      </c>
      <c r="W61" s="31">
        <v>1680</v>
      </c>
      <c r="X61" s="31">
        <v>169</v>
      </c>
      <c r="Y61" s="31">
        <v>47397</v>
      </c>
      <c r="Z61" s="31">
        <v>47352</v>
      </c>
      <c r="AA61" s="31">
        <v>0</v>
      </c>
      <c r="AB61" s="31">
        <v>32680</v>
      </c>
    </row>
    <row r="62" spans="1:28" ht="27.2" customHeight="1" x14ac:dyDescent="0.2">
      <c r="A62" s="145"/>
      <c r="B62" s="135" t="s">
        <v>97</v>
      </c>
      <c r="C62" s="136"/>
      <c r="D62" s="136"/>
      <c r="E62" s="136"/>
      <c r="F62" s="136"/>
      <c r="G62" s="137"/>
      <c r="H62" s="38">
        <v>55</v>
      </c>
      <c r="I62" s="31">
        <v>381</v>
      </c>
      <c r="J62" s="31">
        <v>150</v>
      </c>
      <c r="K62" s="31">
        <v>13</v>
      </c>
      <c r="L62" s="31">
        <v>0</v>
      </c>
      <c r="M62" s="31">
        <v>13</v>
      </c>
      <c r="N62" s="31">
        <v>0</v>
      </c>
      <c r="O62" s="31">
        <v>76</v>
      </c>
      <c r="P62" s="31">
        <v>75</v>
      </c>
      <c r="Q62" s="31">
        <v>0</v>
      </c>
      <c r="R62" s="31">
        <v>1</v>
      </c>
      <c r="S62" s="31">
        <v>0</v>
      </c>
      <c r="T62" s="31">
        <v>0</v>
      </c>
      <c r="U62" s="31">
        <v>17</v>
      </c>
      <c r="V62" s="31">
        <v>34</v>
      </c>
      <c r="W62" s="31">
        <v>6</v>
      </c>
      <c r="X62" s="31">
        <v>2</v>
      </c>
      <c r="Y62" s="31">
        <v>168</v>
      </c>
      <c r="Z62" s="31">
        <v>168</v>
      </c>
      <c r="AA62" s="31">
        <v>0</v>
      </c>
      <c r="AB62" s="31">
        <v>292</v>
      </c>
    </row>
    <row r="63" spans="1:28" ht="27.2" customHeight="1" x14ac:dyDescent="0.2">
      <c r="A63" s="145"/>
      <c r="B63" s="277" t="s">
        <v>98</v>
      </c>
      <c r="C63" s="256"/>
      <c r="D63" s="256"/>
      <c r="E63" s="256"/>
      <c r="F63" s="256"/>
      <c r="G63" s="257"/>
      <c r="H63" s="20">
        <v>56</v>
      </c>
      <c r="I63" s="31">
        <v>587</v>
      </c>
      <c r="J63" s="31">
        <v>461</v>
      </c>
      <c r="K63" s="31">
        <v>7</v>
      </c>
      <c r="L63" s="31">
        <v>0</v>
      </c>
      <c r="M63" s="31">
        <v>3</v>
      </c>
      <c r="N63" s="31">
        <v>4</v>
      </c>
      <c r="O63" s="31">
        <v>338</v>
      </c>
      <c r="P63" s="31">
        <v>326</v>
      </c>
      <c r="Q63" s="31">
        <v>0</v>
      </c>
      <c r="R63" s="31">
        <v>5</v>
      </c>
      <c r="S63" s="31">
        <v>7</v>
      </c>
      <c r="T63" s="31">
        <v>0</v>
      </c>
      <c r="U63" s="31">
        <v>53</v>
      </c>
      <c r="V63" s="31">
        <v>2</v>
      </c>
      <c r="W63" s="31">
        <v>30</v>
      </c>
      <c r="X63" s="31">
        <v>47</v>
      </c>
      <c r="Y63" s="31">
        <v>78</v>
      </c>
      <c r="Z63" s="31">
        <v>74</v>
      </c>
      <c r="AA63" s="31">
        <v>0</v>
      </c>
      <c r="AB63" s="31">
        <v>238</v>
      </c>
    </row>
    <row r="64" spans="1:28" ht="37.5" customHeight="1" x14ac:dyDescent="0.2">
      <c r="A64" s="145"/>
      <c r="B64" s="277" t="s">
        <v>99</v>
      </c>
      <c r="C64" s="256"/>
      <c r="D64" s="256"/>
      <c r="E64" s="256"/>
      <c r="F64" s="256"/>
      <c r="G64" s="257"/>
      <c r="H64" s="38">
        <v>57</v>
      </c>
      <c r="I64" s="31">
        <v>3251</v>
      </c>
      <c r="J64" s="31">
        <v>1843</v>
      </c>
      <c r="K64" s="31">
        <v>5</v>
      </c>
      <c r="L64" s="31">
        <v>0</v>
      </c>
      <c r="M64" s="31">
        <v>5</v>
      </c>
      <c r="N64" s="31">
        <v>0</v>
      </c>
      <c r="O64" s="31">
        <v>1766</v>
      </c>
      <c r="P64" s="31">
        <v>1720</v>
      </c>
      <c r="Q64" s="31">
        <v>15</v>
      </c>
      <c r="R64" s="31">
        <v>30</v>
      </c>
      <c r="S64" s="31">
        <v>1</v>
      </c>
      <c r="T64" s="31">
        <v>0</v>
      </c>
      <c r="U64" s="31">
        <v>445</v>
      </c>
      <c r="V64" s="31">
        <v>22</v>
      </c>
      <c r="W64" s="31">
        <v>91</v>
      </c>
      <c r="X64" s="31">
        <v>12</v>
      </c>
      <c r="Y64" s="31">
        <v>964</v>
      </c>
      <c r="Z64" s="31">
        <v>962</v>
      </c>
      <c r="AA64" s="31">
        <v>0</v>
      </c>
      <c r="AB64" s="31">
        <v>1478</v>
      </c>
    </row>
    <row r="65" spans="1:28" ht="27.2" customHeight="1" x14ac:dyDescent="0.2">
      <c r="A65" s="145"/>
      <c r="B65" s="174" t="s">
        <v>100</v>
      </c>
      <c r="C65" s="175"/>
      <c r="D65" s="175"/>
      <c r="E65" s="175"/>
      <c r="F65" s="175"/>
      <c r="G65" s="176"/>
      <c r="H65" s="20">
        <v>58</v>
      </c>
      <c r="I65" s="31">
        <v>52460</v>
      </c>
      <c r="J65" s="31">
        <v>21845</v>
      </c>
      <c r="K65" s="31">
        <v>1020</v>
      </c>
      <c r="L65" s="31">
        <v>3</v>
      </c>
      <c r="M65" s="31">
        <v>972</v>
      </c>
      <c r="N65" s="31">
        <v>0</v>
      </c>
      <c r="O65" s="31">
        <v>17314</v>
      </c>
      <c r="P65" s="31">
        <v>17175</v>
      </c>
      <c r="Q65" s="31">
        <v>17</v>
      </c>
      <c r="R65" s="31">
        <v>111</v>
      </c>
      <c r="S65" s="31">
        <v>11</v>
      </c>
      <c r="T65" s="31">
        <v>9</v>
      </c>
      <c r="U65" s="31">
        <v>4792</v>
      </c>
      <c r="V65" s="31">
        <v>852</v>
      </c>
      <c r="W65" s="31">
        <v>256</v>
      </c>
      <c r="X65" s="31">
        <v>300</v>
      </c>
      <c r="Y65" s="31">
        <v>7560</v>
      </c>
      <c r="Z65" s="31">
        <v>7537</v>
      </c>
      <c r="AA65" s="31">
        <v>0</v>
      </c>
      <c r="AB65" s="31">
        <v>34094</v>
      </c>
    </row>
    <row r="66" spans="1:28" ht="27.2" customHeight="1" x14ac:dyDescent="0.2">
      <c r="A66" s="145"/>
      <c r="B66" s="174" t="s">
        <v>101</v>
      </c>
      <c r="C66" s="175"/>
      <c r="D66" s="175"/>
      <c r="E66" s="175"/>
      <c r="F66" s="175"/>
      <c r="G66" s="176"/>
      <c r="H66" s="38">
        <v>59</v>
      </c>
      <c r="I66" s="31">
        <v>3181</v>
      </c>
      <c r="J66" s="31">
        <v>1435</v>
      </c>
      <c r="K66" s="31">
        <v>22</v>
      </c>
      <c r="L66" s="31">
        <v>0</v>
      </c>
      <c r="M66" s="31">
        <v>16</v>
      </c>
      <c r="N66" s="31">
        <v>1</v>
      </c>
      <c r="O66" s="31">
        <v>1085</v>
      </c>
      <c r="P66" s="31">
        <v>1027</v>
      </c>
      <c r="Q66" s="31">
        <v>57</v>
      </c>
      <c r="R66" s="31">
        <v>1</v>
      </c>
      <c r="S66" s="31">
        <v>0</v>
      </c>
      <c r="T66" s="31">
        <v>0</v>
      </c>
      <c r="U66" s="31">
        <v>105</v>
      </c>
      <c r="V66" s="31">
        <v>193</v>
      </c>
      <c r="W66" s="31">
        <v>1</v>
      </c>
      <c r="X66" s="31">
        <v>0</v>
      </c>
      <c r="Y66" s="31">
        <v>106</v>
      </c>
      <c r="Z66" s="31">
        <v>105</v>
      </c>
      <c r="AA66" s="31">
        <v>0</v>
      </c>
      <c r="AB66" s="31">
        <v>2073</v>
      </c>
    </row>
    <row r="67" spans="1:28" ht="27.2" customHeight="1" x14ac:dyDescent="0.2">
      <c r="A67" s="145"/>
      <c r="B67" s="174" t="s">
        <v>102</v>
      </c>
      <c r="C67" s="175"/>
      <c r="D67" s="175"/>
      <c r="E67" s="175"/>
      <c r="F67" s="175"/>
      <c r="G67" s="176"/>
      <c r="H67" s="20">
        <v>60</v>
      </c>
      <c r="I67" s="31">
        <v>2787</v>
      </c>
      <c r="J67" s="31">
        <v>975</v>
      </c>
      <c r="K67" s="31">
        <v>3</v>
      </c>
      <c r="L67" s="31">
        <v>0</v>
      </c>
      <c r="M67" s="31">
        <v>3</v>
      </c>
      <c r="N67" s="31">
        <v>0</v>
      </c>
      <c r="O67" s="31">
        <v>910</v>
      </c>
      <c r="P67" s="31">
        <v>909</v>
      </c>
      <c r="Q67" s="31">
        <v>0</v>
      </c>
      <c r="R67" s="31">
        <v>1</v>
      </c>
      <c r="S67" s="31">
        <v>0</v>
      </c>
      <c r="T67" s="31">
        <v>0</v>
      </c>
      <c r="U67" s="31">
        <v>74</v>
      </c>
      <c r="V67" s="31">
        <v>139</v>
      </c>
      <c r="W67" s="31">
        <v>1</v>
      </c>
      <c r="X67" s="31">
        <v>3</v>
      </c>
      <c r="Y67" s="31">
        <v>378</v>
      </c>
      <c r="Z67" s="31">
        <v>378</v>
      </c>
      <c r="AA67" s="31">
        <v>0</v>
      </c>
      <c r="AB67" s="31">
        <v>1874</v>
      </c>
    </row>
    <row r="68" spans="1:28" ht="27.2" customHeight="1" x14ac:dyDescent="0.2">
      <c r="A68" s="145"/>
      <c r="B68" s="138" t="s">
        <v>103</v>
      </c>
      <c r="C68" s="139"/>
      <c r="D68" s="139"/>
      <c r="E68" s="139"/>
      <c r="F68" s="139"/>
      <c r="G68" s="140"/>
      <c r="H68" s="38">
        <v>61</v>
      </c>
      <c r="I68" s="31">
        <v>5721</v>
      </c>
      <c r="J68" s="31">
        <v>3124</v>
      </c>
      <c r="K68" s="31">
        <v>33</v>
      </c>
      <c r="L68" s="31">
        <v>0</v>
      </c>
      <c r="M68" s="31">
        <v>28</v>
      </c>
      <c r="N68" s="31">
        <v>2</v>
      </c>
      <c r="O68" s="31">
        <v>2381</v>
      </c>
      <c r="P68" s="31">
        <v>2342</v>
      </c>
      <c r="Q68" s="31">
        <v>1</v>
      </c>
      <c r="R68" s="31">
        <v>21</v>
      </c>
      <c r="S68" s="31">
        <v>17</v>
      </c>
      <c r="T68" s="31">
        <v>0</v>
      </c>
      <c r="U68" s="31">
        <v>391</v>
      </c>
      <c r="V68" s="31">
        <v>93</v>
      </c>
      <c r="W68" s="31">
        <v>69</v>
      </c>
      <c r="X68" s="31">
        <v>33</v>
      </c>
      <c r="Y68" s="31">
        <v>2753</v>
      </c>
      <c r="Z68" s="31">
        <v>2729</v>
      </c>
      <c r="AA68" s="31">
        <v>0</v>
      </c>
      <c r="AB68" s="31">
        <v>3283</v>
      </c>
    </row>
    <row r="69" spans="1:28" ht="27.2" customHeight="1" x14ac:dyDescent="0.2">
      <c r="A69" s="145"/>
      <c r="B69" s="174" t="s">
        <v>104</v>
      </c>
      <c r="C69" s="175"/>
      <c r="D69" s="175"/>
      <c r="E69" s="175"/>
      <c r="F69" s="175"/>
      <c r="G69" s="176"/>
      <c r="H69" s="20">
        <v>62</v>
      </c>
      <c r="I69" s="31">
        <v>440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1</v>
      </c>
      <c r="P69" s="31">
        <v>1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30</v>
      </c>
      <c r="Z69" s="31">
        <v>30</v>
      </c>
      <c r="AA69" s="31">
        <v>0</v>
      </c>
      <c r="AB69" s="31">
        <v>439</v>
      </c>
    </row>
    <row r="70" spans="1:28" ht="27.2" customHeight="1" x14ac:dyDescent="0.2">
      <c r="A70" s="145"/>
      <c r="B70" s="174" t="s">
        <v>105</v>
      </c>
      <c r="C70" s="175"/>
      <c r="D70" s="175"/>
      <c r="E70" s="175"/>
      <c r="F70" s="175"/>
      <c r="G70" s="176"/>
      <c r="H70" s="38">
        <v>63</v>
      </c>
      <c r="I70" s="31">
        <v>5256</v>
      </c>
      <c r="J70" s="31">
        <v>2364</v>
      </c>
      <c r="K70" s="31">
        <v>19</v>
      </c>
      <c r="L70" s="31">
        <v>1</v>
      </c>
      <c r="M70" s="31">
        <v>17</v>
      </c>
      <c r="N70" s="31">
        <v>0</v>
      </c>
      <c r="O70" s="31">
        <v>1943</v>
      </c>
      <c r="P70" s="31">
        <v>1844</v>
      </c>
      <c r="Q70" s="31">
        <v>71</v>
      </c>
      <c r="R70" s="31">
        <v>13</v>
      </c>
      <c r="S70" s="31">
        <v>15</v>
      </c>
      <c r="T70" s="31">
        <v>2</v>
      </c>
      <c r="U70" s="31">
        <v>135</v>
      </c>
      <c r="V70" s="31">
        <v>36</v>
      </c>
      <c r="W70" s="31">
        <v>264</v>
      </c>
      <c r="X70" s="31">
        <v>82</v>
      </c>
      <c r="Y70" s="31">
        <v>1783</v>
      </c>
      <c r="Z70" s="31">
        <v>1701</v>
      </c>
      <c r="AA70" s="31">
        <v>0</v>
      </c>
      <c r="AB70" s="31">
        <v>3210</v>
      </c>
    </row>
    <row r="71" spans="1:28" ht="27.2" customHeight="1" x14ac:dyDescent="0.2">
      <c r="A71" s="145"/>
      <c r="B71" s="174" t="s">
        <v>106</v>
      </c>
      <c r="C71" s="175"/>
      <c r="D71" s="175"/>
      <c r="E71" s="175"/>
      <c r="F71" s="175"/>
      <c r="G71" s="176"/>
      <c r="H71" s="20">
        <v>64</v>
      </c>
      <c r="I71" s="31">
        <v>4179</v>
      </c>
      <c r="J71" s="31">
        <v>3522</v>
      </c>
      <c r="K71" s="31">
        <v>15</v>
      </c>
      <c r="L71" s="31">
        <v>0</v>
      </c>
      <c r="M71" s="31">
        <v>13</v>
      </c>
      <c r="N71" s="31">
        <v>0</v>
      </c>
      <c r="O71" s="31">
        <v>3101</v>
      </c>
      <c r="P71" s="31">
        <v>3032</v>
      </c>
      <c r="Q71" s="31">
        <v>2</v>
      </c>
      <c r="R71" s="31">
        <v>62</v>
      </c>
      <c r="S71" s="31">
        <v>5</v>
      </c>
      <c r="T71" s="31">
        <v>0</v>
      </c>
      <c r="U71" s="31">
        <v>173</v>
      </c>
      <c r="V71" s="31">
        <v>99</v>
      </c>
      <c r="W71" s="31">
        <v>154</v>
      </c>
      <c r="X71" s="31">
        <v>58</v>
      </c>
      <c r="Y71" s="31">
        <v>560</v>
      </c>
      <c r="Z71" s="31">
        <v>559</v>
      </c>
      <c r="AA71" s="31">
        <v>0</v>
      </c>
      <c r="AB71" s="31">
        <v>1062</v>
      </c>
    </row>
    <row r="72" spans="1:28" ht="53.25" customHeight="1" x14ac:dyDescent="0.2">
      <c r="A72" s="145"/>
      <c r="B72" s="174" t="s">
        <v>107</v>
      </c>
      <c r="C72" s="175"/>
      <c r="D72" s="175"/>
      <c r="E72" s="175"/>
      <c r="F72" s="175"/>
      <c r="G72" s="176"/>
      <c r="H72" s="38">
        <v>65</v>
      </c>
      <c r="I72" s="31">
        <v>33789</v>
      </c>
      <c r="J72" s="31">
        <v>27089</v>
      </c>
      <c r="K72" s="31">
        <v>147</v>
      </c>
      <c r="L72" s="31">
        <v>2</v>
      </c>
      <c r="M72" s="31">
        <v>130</v>
      </c>
      <c r="N72" s="31">
        <v>0</v>
      </c>
      <c r="O72" s="31">
        <v>23785</v>
      </c>
      <c r="P72" s="31">
        <v>23682</v>
      </c>
      <c r="Q72" s="31">
        <v>11</v>
      </c>
      <c r="R72" s="31">
        <v>78</v>
      </c>
      <c r="S72" s="31">
        <v>14</v>
      </c>
      <c r="T72" s="31">
        <v>0</v>
      </c>
      <c r="U72" s="31">
        <v>4762</v>
      </c>
      <c r="V72" s="31">
        <v>2277</v>
      </c>
      <c r="W72" s="31">
        <v>39</v>
      </c>
      <c r="X72" s="31">
        <v>114</v>
      </c>
      <c r="Y72" s="31">
        <v>8190</v>
      </c>
      <c r="Z72" s="31">
        <v>8024</v>
      </c>
      <c r="AA72" s="31">
        <v>0</v>
      </c>
      <c r="AB72" s="31">
        <v>9691</v>
      </c>
    </row>
    <row r="73" spans="1:28" ht="40.5" customHeight="1" x14ac:dyDescent="0.2">
      <c r="A73" s="145"/>
      <c r="B73" s="174" t="s">
        <v>108</v>
      </c>
      <c r="C73" s="175"/>
      <c r="D73" s="175"/>
      <c r="E73" s="175"/>
      <c r="F73" s="175"/>
      <c r="G73" s="176"/>
      <c r="H73" s="20">
        <v>66</v>
      </c>
      <c r="I73" s="31">
        <v>4008</v>
      </c>
      <c r="J73" s="31">
        <v>2040</v>
      </c>
      <c r="K73" s="31">
        <v>78</v>
      </c>
      <c r="L73" s="31">
        <v>0</v>
      </c>
      <c r="M73" s="31">
        <v>77</v>
      </c>
      <c r="N73" s="31">
        <v>0</v>
      </c>
      <c r="O73" s="31">
        <v>1499</v>
      </c>
      <c r="P73" s="31">
        <v>1496</v>
      </c>
      <c r="Q73" s="31">
        <v>1</v>
      </c>
      <c r="R73" s="31">
        <v>0</v>
      </c>
      <c r="S73" s="31">
        <v>2</v>
      </c>
      <c r="T73" s="31">
        <v>0</v>
      </c>
      <c r="U73" s="31">
        <v>351</v>
      </c>
      <c r="V73" s="31">
        <v>98</v>
      </c>
      <c r="W73" s="31">
        <v>0</v>
      </c>
      <c r="X73" s="31">
        <v>12</v>
      </c>
      <c r="Y73" s="31">
        <v>568</v>
      </c>
      <c r="Z73" s="31">
        <v>568</v>
      </c>
      <c r="AA73" s="31">
        <v>0</v>
      </c>
      <c r="AB73" s="31">
        <v>2431</v>
      </c>
    </row>
    <row r="74" spans="1:28" ht="53.25" customHeight="1" x14ac:dyDescent="0.2">
      <c r="A74" s="145"/>
      <c r="B74" s="174" t="s">
        <v>109</v>
      </c>
      <c r="C74" s="175"/>
      <c r="D74" s="175"/>
      <c r="E74" s="175"/>
      <c r="F74" s="175"/>
      <c r="G74" s="176"/>
      <c r="H74" s="38">
        <v>67</v>
      </c>
      <c r="I74" s="31">
        <v>14866</v>
      </c>
      <c r="J74" s="31">
        <v>10121</v>
      </c>
      <c r="K74" s="31">
        <v>137</v>
      </c>
      <c r="L74" s="31">
        <v>1</v>
      </c>
      <c r="M74" s="31">
        <v>125</v>
      </c>
      <c r="N74" s="31">
        <v>0</v>
      </c>
      <c r="O74" s="31">
        <v>8108</v>
      </c>
      <c r="P74" s="31">
        <v>8022</v>
      </c>
      <c r="Q74" s="31">
        <v>53</v>
      </c>
      <c r="R74" s="31">
        <v>28</v>
      </c>
      <c r="S74" s="31">
        <v>5</v>
      </c>
      <c r="T74" s="31">
        <v>29</v>
      </c>
      <c r="U74" s="31">
        <v>755</v>
      </c>
      <c r="V74" s="31">
        <v>613</v>
      </c>
      <c r="W74" s="31">
        <v>163</v>
      </c>
      <c r="X74" s="31">
        <v>30</v>
      </c>
      <c r="Y74" s="31">
        <v>1617</v>
      </c>
      <c r="Z74" s="31">
        <v>1613</v>
      </c>
      <c r="AA74" s="31">
        <v>0</v>
      </c>
      <c r="AB74" s="31">
        <v>6588</v>
      </c>
    </row>
    <row r="75" spans="1:28" ht="40.5" customHeight="1" x14ac:dyDescent="0.2">
      <c r="A75" s="145"/>
      <c r="B75" s="174" t="s">
        <v>110</v>
      </c>
      <c r="C75" s="175"/>
      <c r="D75" s="175"/>
      <c r="E75" s="175"/>
      <c r="F75" s="175"/>
      <c r="G75" s="176"/>
      <c r="H75" s="20">
        <v>68</v>
      </c>
      <c r="I75" s="31">
        <v>2008</v>
      </c>
      <c r="J75" s="31">
        <v>1477</v>
      </c>
      <c r="K75" s="31">
        <v>17</v>
      </c>
      <c r="L75" s="31">
        <v>0</v>
      </c>
      <c r="M75" s="31">
        <v>17</v>
      </c>
      <c r="N75" s="31">
        <v>0</v>
      </c>
      <c r="O75" s="31">
        <v>1116</v>
      </c>
      <c r="P75" s="31">
        <v>1115</v>
      </c>
      <c r="Q75" s="31">
        <v>0</v>
      </c>
      <c r="R75" s="31">
        <v>0</v>
      </c>
      <c r="S75" s="31">
        <v>1</v>
      </c>
      <c r="T75" s="31">
        <v>0</v>
      </c>
      <c r="U75" s="31">
        <v>118</v>
      </c>
      <c r="V75" s="31">
        <v>150</v>
      </c>
      <c r="W75" s="31">
        <v>1</v>
      </c>
      <c r="X75" s="31">
        <v>23</v>
      </c>
      <c r="Y75" s="31">
        <v>131</v>
      </c>
      <c r="Z75" s="31">
        <v>131</v>
      </c>
      <c r="AA75" s="31">
        <v>0</v>
      </c>
      <c r="AB75" s="31">
        <v>875</v>
      </c>
    </row>
    <row r="76" spans="1:28" ht="41.25" customHeight="1" x14ac:dyDescent="0.2">
      <c r="A76" s="145"/>
      <c r="B76" s="174" t="s">
        <v>111</v>
      </c>
      <c r="C76" s="175"/>
      <c r="D76" s="175"/>
      <c r="E76" s="175"/>
      <c r="F76" s="175"/>
      <c r="G76" s="176"/>
      <c r="H76" s="38">
        <v>69</v>
      </c>
      <c r="I76" s="31">
        <v>10433</v>
      </c>
      <c r="J76" s="31">
        <v>5205</v>
      </c>
      <c r="K76" s="31">
        <v>68</v>
      </c>
      <c r="L76" s="31">
        <v>0</v>
      </c>
      <c r="M76" s="31">
        <v>68</v>
      </c>
      <c r="N76" s="31">
        <v>0</v>
      </c>
      <c r="O76" s="31">
        <v>4008</v>
      </c>
      <c r="P76" s="31">
        <v>4005</v>
      </c>
      <c r="Q76" s="31">
        <v>3</v>
      </c>
      <c r="R76" s="31">
        <v>0</v>
      </c>
      <c r="S76" s="31">
        <v>0</v>
      </c>
      <c r="T76" s="31">
        <v>0</v>
      </c>
      <c r="U76" s="31">
        <v>125</v>
      </c>
      <c r="V76" s="31">
        <v>449</v>
      </c>
      <c r="W76" s="31">
        <v>192</v>
      </c>
      <c r="X76" s="31">
        <v>0</v>
      </c>
      <c r="Y76" s="31">
        <v>1034</v>
      </c>
      <c r="Z76" s="31">
        <v>1034</v>
      </c>
      <c r="AA76" s="31">
        <v>0</v>
      </c>
      <c r="AB76" s="31">
        <v>6357</v>
      </c>
    </row>
    <row r="77" spans="1:28" ht="22.5" customHeight="1" x14ac:dyDescent="0.2">
      <c r="A77" s="145"/>
      <c r="B77" s="174" t="s">
        <v>112</v>
      </c>
      <c r="C77" s="175"/>
      <c r="D77" s="175"/>
      <c r="E77" s="175"/>
      <c r="F77" s="175"/>
      <c r="G77" s="176"/>
      <c r="H77" s="20">
        <v>70</v>
      </c>
      <c r="I77" s="31">
        <v>6043</v>
      </c>
      <c r="J77" s="31">
        <v>3574</v>
      </c>
      <c r="K77" s="31">
        <v>12</v>
      </c>
      <c r="L77" s="31">
        <v>0</v>
      </c>
      <c r="M77" s="31">
        <v>11</v>
      </c>
      <c r="N77" s="31">
        <v>0</v>
      </c>
      <c r="O77" s="31">
        <v>3388</v>
      </c>
      <c r="P77" s="31">
        <v>3378</v>
      </c>
      <c r="Q77" s="31">
        <v>0</v>
      </c>
      <c r="R77" s="31">
        <v>10</v>
      </c>
      <c r="S77" s="31">
        <v>0</v>
      </c>
      <c r="T77" s="31">
        <v>0</v>
      </c>
      <c r="U77" s="31">
        <v>1180</v>
      </c>
      <c r="V77" s="31">
        <v>3</v>
      </c>
      <c r="W77" s="31">
        <v>174</v>
      </c>
      <c r="X77" s="31">
        <v>3</v>
      </c>
      <c r="Y77" s="31">
        <v>1016</v>
      </c>
      <c r="Z77" s="31">
        <v>1016</v>
      </c>
      <c r="AA77" s="31">
        <v>0</v>
      </c>
      <c r="AB77" s="31">
        <v>2643</v>
      </c>
    </row>
    <row r="78" spans="1:28" ht="42.75" customHeight="1" x14ac:dyDescent="0.2">
      <c r="A78" s="145"/>
      <c r="B78" s="174" t="s">
        <v>113</v>
      </c>
      <c r="C78" s="175"/>
      <c r="D78" s="175"/>
      <c r="E78" s="175"/>
      <c r="F78" s="175"/>
      <c r="G78" s="176"/>
      <c r="H78" s="38">
        <v>71</v>
      </c>
      <c r="I78" s="31">
        <v>110318</v>
      </c>
      <c r="J78" s="31">
        <v>4096</v>
      </c>
      <c r="K78" s="31">
        <v>268</v>
      </c>
      <c r="L78" s="31">
        <v>2</v>
      </c>
      <c r="M78" s="31">
        <v>266</v>
      </c>
      <c r="N78" s="31">
        <v>0</v>
      </c>
      <c r="O78" s="31">
        <v>3325</v>
      </c>
      <c r="P78" s="31">
        <v>1517</v>
      </c>
      <c r="Q78" s="31">
        <v>1807</v>
      </c>
      <c r="R78" s="31">
        <v>0</v>
      </c>
      <c r="S78" s="31">
        <v>1</v>
      </c>
      <c r="T78" s="31">
        <v>0</v>
      </c>
      <c r="U78" s="31">
        <v>81</v>
      </c>
      <c r="V78" s="31">
        <v>84</v>
      </c>
      <c r="W78" s="31">
        <v>3</v>
      </c>
      <c r="X78" s="31">
        <v>2</v>
      </c>
      <c r="Y78" s="31">
        <v>658</v>
      </c>
      <c r="Z78" s="31">
        <v>655</v>
      </c>
      <c r="AA78" s="31">
        <v>0</v>
      </c>
      <c r="AB78" s="31">
        <v>106722</v>
      </c>
    </row>
    <row r="79" spans="1:28" ht="27.2" customHeight="1" x14ac:dyDescent="0.2">
      <c r="A79" s="146"/>
      <c r="B79" s="174" t="s">
        <v>114</v>
      </c>
      <c r="C79" s="175"/>
      <c r="D79" s="175"/>
      <c r="E79" s="175"/>
      <c r="F79" s="175"/>
      <c r="G79" s="176"/>
      <c r="H79" s="20">
        <v>72</v>
      </c>
      <c r="I79" s="31">
        <v>22338</v>
      </c>
      <c r="J79" s="31">
        <v>453</v>
      </c>
      <c r="K79" s="31">
        <v>40</v>
      </c>
      <c r="L79" s="31">
        <v>0</v>
      </c>
      <c r="M79" s="31">
        <v>40</v>
      </c>
      <c r="N79" s="31">
        <v>0</v>
      </c>
      <c r="O79" s="31">
        <v>326</v>
      </c>
      <c r="P79" s="31">
        <v>318</v>
      </c>
      <c r="Q79" s="31">
        <v>0</v>
      </c>
      <c r="R79" s="31">
        <v>8</v>
      </c>
      <c r="S79" s="31">
        <v>0</v>
      </c>
      <c r="T79" s="31">
        <v>0</v>
      </c>
      <c r="U79" s="31">
        <v>15</v>
      </c>
      <c r="V79" s="31">
        <v>4</v>
      </c>
      <c r="W79" s="31">
        <v>2</v>
      </c>
      <c r="X79" s="31">
        <v>0</v>
      </c>
      <c r="Y79" s="31">
        <v>5</v>
      </c>
      <c r="Z79" s="31">
        <v>5</v>
      </c>
      <c r="AA79" s="31">
        <v>0</v>
      </c>
      <c r="AB79" s="31">
        <v>21972</v>
      </c>
    </row>
    <row r="80" spans="1:28" ht="20.25" customHeight="1" x14ac:dyDescent="0.2">
      <c r="A80" s="135" t="s">
        <v>115</v>
      </c>
      <c r="B80" s="136"/>
      <c r="C80" s="136"/>
      <c r="D80" s="136"/>
      <c r="E80" s="136"/>
      <c r="F80" s="136"/>
      <c r="G80" s="137"/>
      <c r="H80" s="38">
        <v>73</v>
      </c>
      <c r="I80" s="31">
        <f t="shared" ref="I80:AB80" si="0">SUM(I60:I79,I7:I58)</f>
        <v>1551144</v>
      </c>
      <c r="J80" s="31">
        <f t="shared" si="0"/>
        <v>533622</v>
      </c>
      <c r="K80" s="31">
        <f t="shared" si="0"/>
        <v>9900</v>
      </c>
      <c r="L80" s="31">
        <f t="shared" si="0"/>
        <v>42</v>
      </c>
      <c r="M80" s="31">
        <f t="shared" si="0"/>
        <v>9385</v>
      </c>
      <c r="N80" s="31">
        <f t="shared" si="0"/>
        <v>52</v>
      </c>
      <c r="O80" s="31">
        <f t="shared" si="0"/>
        <v>451681</v>
      </c>
      <c r="P80" s="31">
        <f t="shared" si="0"/>
        <v>439133</v>
      </c>
      <c r="Q80" s="31">
        <f t="shared" si="0"/>
        <v>9158</v>
      </c>
      <c r="R80" s="31">
        <f t="shared" si="0"/>
        <v>2635</v>
      </c>
      <c r="S80" s="31">
        <f t="shared" si="0"/>
        <v>755</v>
      </c>
      <c r="T80" s="31">
        <f t="shared" si="0"/>
        <v>203</v>
      </c>
      <c r="U80" s="31">
        <f t="shared" si="0"/>
        <v>81022</v>
      </c>
      <c r="V80" s="31">
        <f t="shared" si="0"/>
        <v>29535</v>
      </c>
      <c r="W80" s="31">
        <f t="shared" si="0"/>
        <v>17394</v>
      </c>
      <c r="X80" s="31">
        <f t="shared" si="0"/>
        <v>5086</v>
      </c>
      <c r="Y80" s="31">
        <f t="shared" si="0"/>
        <v>351219</v>
      </c>
      <c r="Z80" s="31">
        <f t="shared" si="0"/>
        <v>349329</v>
      </c>
      <c r="AA80" s="31">
        <f t="shared" si="0"/>
        <v>0</v>
      </c>
      <c r="AB80" s="31">
        <f t="shared" si="0"/>
        <v>1087470</v>
      </c>
    </row>
    <row r="81" spans="1:28" ht="8.25" customHeight="1" x14ac:dyDescent="0.2"/>
    <row r="82" spans="1:28" ht="19.5" customHeight="1" x14ac:dyDescent="0.25">
      <c r="A82" s="241" t="s">
        <v>116</v>
      </c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  <c r="AA82" s="241"/>
      <c r="AB82" s="241"/>
    </row>
    <row r="83" spans="1:28" ht="15" customHeight="1" x14ac:dyDescent="0.25">
      <c r="A83" s="14" t="s">
        <v>117</v>
      </c>
    </row>
    <row r="84" spans="1:28" ht="30" customHeight="1" x14ac:dyDescent="0.2">
      <c r="A84" s="178"/>
      <c r="B84" s="179"/>
      <c r="C84" s="179"/>
      <c r="D84" s="179"/>
      <c r="E84" s="179"/>
      <c r="F84" s="179"/>
      <c r="G84" s="180"/>
      <c r="H84" s="187" t="s">
        <v>15</v>
      </c>
      <c r="I84" s="168" t="s">
        <v>1148</v>
      </c>
      <c r="J84" s="168" t="s">
        <v>16</v>
      </c>
      <c r="K84" s="168" t="s">
        <v>17</v>
      </c>
      <c r="L84" s="171" t="s">
        <v>18</v>
      </c>
      <c r="M84" s="172"/>
      <c r="N84" s="173"/>
      <c r="O84" s="168" t="s">
        <v>19</v>
      </c>
      <c r="P84" s="171" t="s">
        <v>20</v>
      </c>
      <c r="Q84" s="172"/>
      <c r="R84" s="172"/>
      <c r="S84" s="173"/>
      <c r="T84" s="168" t="s">
        <v>21</v>
      </c>
      <c r="U84" s="171" t="s">
        <v>22</v>
      </c>
      <c r="V84" s="172"/>
      <c r="W84" s="172"/>
      <c r="X84" s="173"/>
      <c r="Y84" s="171" t="s">
        <v>23</v>
      </c>
      <c r="Z84" s="172"/>
      <c r="AA84" s="173"/>
      <c r="AB84" s="168" t="s">
        <v>24</v>
      </c>
    </row>
    <row r="85" spans="1:28" ht="28.5" customHeight="1" x14ac:dyDescent="0.2">
      <c r="A85" s="181"/>
      <c r="B85" s="182"/>
      <c r="C85" s="182"/>
      <c r="D85" s="182"/>
      <c r="E85" s="182"/>
      <c r="F85" s="182"/>
      <c r="G85" s="183"/>
      <c r="H85" s="188"/>
      <c r="I85" s="170"/>
      <c r="J85" s="170"/>
      <c r="K85" s="170"/>
      <c r="L85" s="168" t="s">
        <v>25</v>
      </c>
      <c r="M85" s="168" t="s">
        <v>26</v>
      </c>
      <c r="N85" s="168" t="s">
        <v>27</v>
      </c>
      <c r="O85" s="170"/>
      <c r="P85" s="168" t="s">
        <v>28</v>
      </c>
      <c r="Q85" s="168" t="s">
        <v>29</v>
      </c>
      <c r="R85" s="168" t="s">
        <v>30</v>
      </c>
      <c r="S85" s="168" t="s">
        <v>31</v>
      </c>
      <c r="T85" s="170"/>
      <c r="U85" s="171" t="s">
        <v>32</v>
      </c>
      <c r="V85" s="172"/>
      <c r="W85" s="172"/>
      <c r="X85" s="173"/>
      <c r="Y85" s="168" t="s">
        <v>33</v>
      </c>
      <c r="Z85" s="171" t="s">
        <v>34</v>
      </c>
      <c r="AA85" s="173"/>
      <c r="AB85" s="170"/>
    </row>
    <row r="86" spans="1:28" ht="79.5" customHeight="1" x14ac:dyDescent="0.2">
      <c r="A86" s="184"/>
      <c r="B86" s="185"/>
      <c r="C86" s="185"/>
      <c r="D86" s="185"/>
      <c r="E86" s="185"/>
      <c r="F86" s="185"/>
      <c r="G86" s="186"/>
      <c r="H86" s="18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9" t="s">
        <v>35</v>
      </c>
      <c r="V86" s="16" t="s">
        <v>36</v>
      </c>
      <c r="W86" s="16" t="s">
        <v>37</v>
      </c>
      <c r="X86" s="16" t="s">
        <v>38</v>
      </c>
      <c r="Y86" s="169"/>
      <c r="Z86" s="18" t="s">
        <v>39</v>
      </c>
      <c r="AA86" s="17" t="s">
        <v>40</v>
      </c>
      <c r="AB86" s="169"/>
    </row>
    <row r="87" spans="1:28" ht="17.25" customHeight="1" x14ac:dyDescent="0.2">
      <c r="A87" s="150" t="s">
        <v>41</v>
      </c>
      <c r="B87" s="151"/>
      <c r="C87" s="151"/>
      <c r="D87" s="151"/>
      <c r="E87" s="151"/>
      <c r="F87" s="151"/>
      <c r="G87" s="152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73" t="s">
        <v>118</v>
      </c>
      <c r="B88" s="274"/>
      <c r="C88" s="274"/>
      <c r="D88" s="274"/>
      <c r="E88" s="274"/>
      <c r="F88" s="274"/>
      <c r="G88" s="275"/>
      <c r="H88" s="23">
        <v>1</v>
      </c>
      <c r="I88" s="24">
        <v>280301</v>
      </c>
      <c r="J88" s="24">
        <v>76212</v>
      </c>
      <c r="K88" s="24">
        <v>1930</v>
      </c>
      <c r="L88" s="24">
        <v>7</v>
      </c>
      <c r="M88" s="24">
        <v>1836</v>
      </c>
      <c r="N88" s="24">
        <v>8</v>
      </c>
      <c r="O88" s="24">
        <v>60965</v>
      </c>
      <c r="P88" s="24">
        <v>58614</v>
      </c>
      <c r="Q88" s="24">
        <v>1961</v>
      </c>
      <c r="R88" s="24">
        <v>322</v>
      </c>
      <c r="S88" s="24">
        <v>68</v>
      </c>
      <c r="T88" s="24">
        <v>2</v>
      </c>
      <c r="U88" s="24">
        <v>11402</v>
      </c>
      <c r="V88" s="24">
        <v>4887</v>
      </c>
      <c r="W88" s="24">
        <v>1784</v>
      </c>
      <c r="X88" s="24">
        <v>701</v>
      </c>
      <c r="Y88" s="25">
        <v>57005</v>
      </c>
      <c r="Z88" s="25">
        <v>56685</v>
      </c>
      <c r="AA88" s="25">
        <v>0</v>
      </c>
      <c r="AB88" s="24">
        <v>217084</v>
      </c>
    </row>
    <row r="89" spans="1:28" ht="27" customHeight="1" x14ac:dyDescent="0.2">
      <c r="A89" s="295" t="s">
        <v>44</v>
      </c>
      <c r="B89" s="165" t="s">
        <v>45</v>
      </c>
      <c r="C89" s="166"/>
      <c r="D89" s="166"/>
      <c r="E89" s="166"/>
      <c r="F89" s="166"/>
      <c r="G89" s="167"/>
      <c r="H89" s="23">
        <v>2</v>
      </c>
      <c r="I89" s="24">
        <v>354</v>
      </c>
      <c r="J89" s="24">
        <v>354</v>
      </c>
      <c r="K89" s="24">
        <v>0</v>
      </c>
      <c r="L89" s="24">
        <v>0</v>
      </c>
      <c r="M89" s="24">
        <v>0</v>
      </c>
      <c r="N89" s="24">
        <v>0</v>
      </c>
      <c r="O89" s="24">
        <v>329</v>
      </c>
      <c r="P89" s="24">
        <v>329</v>
      </c>
      <c r="Q89" s="24">
        <v>0</v>
      </c>
      <c r="R89" s="24">
        <v>0</v>
      </c>
      <c r="S89" s="24">
        <v>0</v>
      </c>
      <c r="T89" s="24">
        <v>0</v>
      </c>
      <c r="U89" s="24">
        <v>19</v>
      </c>
      <c r="V89" s="24">
        <v>40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25</v>
      </c>
    </row>
    <row r="90" spans="1:28" ht="20.25" customHeight="1" x14ac:dyDescent="0.2">
      <c r="A90" s="296"/>
      <c r="B90" s="165" t="s">
        <v>46</v>
      </c>
      <c r="C90" s="166"/>
      <c r="D90" s="166"/>
      <c r="E90" s="166"/>
      <c r="F90" s="166"/>
      <c r="G90" s="167"/>
      <c r="H90" s="23">
        <v>3</v>
      </c>
      <c r="I90" s="24">
        <v>71377</v>
      </c>
      <c r="J90" s="24">
        <v>6081</v>
      </c>
      <c r="K90" s="24">
        <v>139</v>
      </c>
      <c r="L90" s="24">
        <v>1</v>
      </c>
      <c r="M90" s="24">
        <v>132</v>
      </c>
      <c r="N90" s="24">
        <v>6</v>
      </c>
      <c r="O90" s="24">
        <v>4172</v>
      </c>
      <c r="P90" s="24">
        <v>4118</v>
      </c>
      <c r="Q90" s="24">
        <v>15</v>
      </c>
      <c r="R90" s="24">
        <v>31</v>
      </c>
      <c r="S90" s="24">
        <v>8</v>
      </c>
      <c r="T90" s="24">
        <v>0</v>
      </c>
      <c r="U90" s="24">
        <v>434</v>
      </c>
      <c r="V90" s="24">
        <v>1820</v>
      </c>
      <c r="W90" s="24">
        <v>163</v>
      </c>
      <c r="X90" s="24">
        <v>119</v>
      </c>
      <c r="Y90" s="25">
        <v>40975</v>
      </c>
      <c r="Z90" s="25">
        <v>40946</v>
      </c>
      <c r="AA90" s="25">
        <v>0</v>
      </c>
      <c r="AB90" s="24">
        <v>67037</v>
      </c>
    </row>
    <row r="91" spans="1:28" ht="20.25" customHeight="1" x14ac:dyDescent="0.2">
      <c r="A91" s="296"/>
      <c r="B91" s="165" t="s">
        <v>47</v>
      </c>
      <c r="C91" s="166"/>
      <c r="D91" s="166"/>
      <c r="E91" s="166"/>
      <c r="F91" s="166"/>
      <c r="G91" s="167"/>
      <c r="H91" s="23">
        <v>4</v>
      </c>
      <c r="I91" s="24">
        <v>165205</v>
      </c>
      <c r="J91" s="24">
        <v>43786</v>
      </c>
      <c r="K91" s="24">
        <v>1297</v>
      </c>
      <c r="L91" s="24">
        <v>4</v>
      </c>
      <c r="M91" s="24">
        <v>1253</v>
      </c>
      <c r="N91" s="24">
        <v>2</v>
      </c>
      <c r="O91" s="24">
        <v>35044</v>
      </c>
      <c r="P91" s="24">
        <v>32965</v>
      </c>
      <c r="Q91" s="24">
        <v>1819</v>
      </c>
      <c r="R91" s="24">
        <v>217</v>
      </c>
      <c r="S91" s="24">
        <v>43</v>
      </c>
      <c r="T91" s="24">
        <v>0</v>
      </c>
      <c r="U91" s="24">
        <v>7624</v>
      </c>
      <c r="V91" s="24">
        <v>1836</v>
      </c>
      <c r="W91" s="24">
        <v>636</v>
      </c>
      <c r="X91" s="24">
        <v>427</v>
      </c>
      <c r="Y91" s="24">
        <v>9479</v>
      </c>
      <c r="Z91" s="24">
        <v>9230</v>
      </c>
      <c r="AA91" s="24">
        <v>0</v>
      </c>
      <c r="AB91" s="24">
        <v>128615</v>
      </c>
    </row>
    <row r="92" spans="1:28" s="43" customFormat="1" ht="20.25" customHeight="1" x14ac:dyDescent="0.2">
      <c r="A92" s="296"/>
      <c r="B92" s="165" t="s">
        <v>48</v>
      </c>
      <c r="C92" s="166"/>
      <c r="D92" s="166"/>
      <c r="E92" s="166"/>
      <c r="F92" s="166"/>
      <c r="G92" s="167"/>
      <c r="H92" s="23">
        <v>5</v>
      </c>
      <c r="I92" s="24">
        <v>43404</v>
      </c>
      <c r="J92" s="24">
        <v>26117</v>
      </c>
      <c r="K92" s="24">
        <v>452</v>
      </c>
      <c r="L92" s="24">
        <v>2</v>
      </c>
      <c r="M92" s="24">
        <v>409</v>
      </c>
      <c r="N92" s="24">
        <v>0</v>
      </c>
      <c r="O92" s="24">
        <v>21635</v>
      </c>
      <c r="P92" s="24">
        <v>21417</v>
      </c>
      <c r="Q92" s="24">
        <v>127</v>
      </c>
      <c r="R92" s="24">
        <v>74</v>
      </c>
      <c r="S92" s="24">
        <v>17</v>
      </c>
      <c r="T92" s="24">
        <v>2</v>
      </c>
      <c r="U92" s="24">
        <v>3341</v>
      </c>
      <c r="V92" s="24">
        <v>1222</v>
      </c>
      <c r="W92" s="24">
        <v>985</v>
      </c>
      <c r="X92" s="24">
        <v>155</v>
      </c>
      <c r="Y92" s="24">
        <v>6533</v>
      </c>
      <c r="Z92" s="24">
        <v>6491</v>
      </c>
      <c r="AA92" s="24">
        <v>0</v>
      </c>
      <c r="AB92" s="24">
        <v>21273</v>
      </c>
    </row>
    <row r="93" spans="1:28" ht="20.25" customHeight="1" x14ac:dyDescent="0.2">
      <c r="A93" s="296"/>
      <c r="B93" s="153" t="s">
        <v>50</v>
      </c>
      <c r="C93" s="154"/>
      <c r="D93" s="154"/>
      <c r="E93" s="154"/>
      <c r="F93" s="154"/>
      <c r="G93" s="155"/>
      <c r="H93" s="23">
        <v>6</v>
      </c>
      <c r="I93" s="24">
        <v>154</v>
      </c>
      <c r="J93" s="29">
        <v>96</v>
      </c>
      <c r="K93" s="29">
        <v>0</v>
      </c>
      <c r="L93" s="29">
        <v>0</v>
      </c>
      <c r="M93" s="29">
        <v>0</v>
      </c>
      <c r="N93" s="29">
        <v>0</v>
      </c>
      <c r="O93" s="29">
        <v>83</v>
      </c>
      <c r="P93" s="29">
        <v>80</v>
      </c>
      <c r="Q93" s="29">
        <v>0</v>
      </c>
      <c r="R93" s="29">
        <v>2</v>
      </c>
      <c r="S93" s="29">
        <v>1</v>
      </c>
      <c r="T93" s="29">
        <v>0</v>
      </c>
      <c r="U93" s="29">
        <v>23</v>
      </c>
      <c r="V93" s="29">
        <v>15</v>
      </c>
      <c r="W93" s="29">
        <v>5</v>
      </c>
      <c r="X93" s="29">
        <v>6</v>
      </c>
      <c r="Y93" s="29">
        <v>6</v>
      </c>
      <c r="Z93" s="29">
        <v>5</v>
      </c>
      <c r="AA93" s="29">
        <v>0</v>
      </c>
      <c r="AB93" s="29">
        <v>70</v>
      </c>
    </row>
    <row r="94" spans="1:28" ht="20.25" customHeight="1" x14ac:dyDescent="0.2">
      <c r="A94" s="296"/>
      <c r="B94" s="224" t="s">
        <v>32</v>
      </c>
      <c r="C94" s="165" t="s">
        <v>46</v>
      </c>
      <c r="D94" s="166"/>
      <c r="E94" s="166"/>
      <c r="F94" s="166"/>
      <c r="G94" s="167"/>
      <c r="H94" s="23">
        <v>7</v>
      </c>
      <c r="I94" s="24">
        <v>59</v>
      </c>
      <c r="J94" s="24">
        <v>27</v>
      </c>
      <c r="K94" s="24">
        <v>0</v>
      </c>
      <c r="L94" s="24">
        <v>0</v>
      </c>
      <c r="M94" s="24">
        <v>0</v>
      </c>
      <c r="N94" s="24">
        <v>0</v>
      </c>
      <c r="O94" s="24">
        <v>19</v>
      </c>
      <c r="P94" s="24">
        <v>18</v>
      </c>
      <c r="Q94" s="24">
        <v>0</v>
      </c>
      <c r="R94" s="24">
        <v>1</v>
      </c>
      <c r="S94" s="24">
        <v>0</v>
      </c>
      <c r="T94" s="24">
        <v>0</v>
      </c>
      <c r="U94" s="24">
        <v>3</v>
      </c>
      <c r="V94" s="24">
        <v>9</v>
      </c>
      <c r="W94" s="24">
        <v>2</v>
      </c>
      <c r="X94" s="24">
        <v>3</v>
      </c>
      <c r="Y94" s="24">
        <v>2</v>
      </c>
      <c r="Z94" s="24">
        <v>1</v>
      </c>
      <c r="AA94" s="24">
        <v>0</v>
      </c>
      <c r="AB94" s="24">
        <v>39</v>
      </c>
    </row>
    <row r="95" spans="1:28" ht="20.25" customHeight="1" x14ac:dyDescent="0.2">
      <c r="A95" s="296"/>
      <c r="B95" s="225"/>
      <c r="C95" s="165" t="s">
        <v>47</v>
      </c>
      <c r="D95" s="166"/>
      <c r="E95" s="166"/>
      <c r="F95" s="166"/>
      <c r="G95" s="167"/>
      <c r="H95" s="23">
        <v>8</v>
      </c>
      <c r="I95" s="24">
        <v>81</v>
      </c>
      <c r="J95" s="24">
        <v>61</v>
      </c>
      <c r="K95" s="24">
        <v>0</v>
      </c>
      <c r="L95" s="24">
        <v>0</v>
      </c>
      <c r="M95" s="24">
        <v>0</v>
      </c>
      <c r="N95" s="24">
        <v>0</v>
      </c>
      <c r="O95" s="24">
        <v>56</v>
      </c>
      <c r="P95" s="24">
        <v>54</v>
      </c>
      <c r="Q95" s="24">
        <v>0</v>
      </c>
      <c r="R95" s="24">
        <v>1</v>
      </c>
      <c r="S95" s="24">
        <v>1</v>
      </c>
      <c r="T95" s="24">
        <v>0</v>
      </c>
      <c r="U95" s="24">
        <v>20</v>
      </c>
      <c r="V95" s="24">
        <v>6</v>
      </c>
      <c r="W95" s="24">
        <v>2</v>
      </c>
      <c r="X95" s="24">
        <v>3</v>
      </c>
      <c r="Y95" s="24">
        <v>4</v>
      </c>
      <c r="Z95" s="24">
        <v>4</v>
      </c>
      <c r="AA95" s="24">
        <v>0</v>
      </c>
      <c r="AB95" s="24">
        <v>25</v>
      </c>
    </row>
    <row r="96" spans="1:28" ht="20.25" customHeight="1" x14ac:dyDescent="0.2">
      <c r="A96" s="296"/>
      <c r="B96" s="226"/>
      <c r="C96" s="165" t="s">
        <v>53</v>
      </c>
      <c r="D96" s="166"/>
      <c r="E96" s="166"/>
      <c r="F96" s="166"/>
      <c r="G96" s="167"/>
      <c r="H96" s="23">
        <v>9</v>
      </c>
      <c r="I96" s="24">
        <v>32</v>
      </c>
      <c r="J96" s="24">
        <v>8</v>
      </c>
      <c r="K96" s="24">
        <v>0</v>
      </c>
      <c r="L96" s="24">
        <v>0</v>
      </c>
      <c r="M96" s="24">
        <v>0</v>
      </c>
      <c r="N96" s="24">
        <v>0</v>
      </c>
      <c r="O96" s="24">
        <v>6</v>
      </c>
      <c r="P96" s="24">
        <v>5</v>
      </c>
      <c r="Q96" s="24">
        <v>0</v>
      </c>
      <c r="R96" s="24">
        <v>1</v>
      </c>
      <c r="S96" s="24">
        <v>0</v>
      </c>
      <c r="T96" s="24">
        <v>0</v>
      </c>
      <c r="U96" s="24">
        <v>2</v>
      </c>
      <c r="V96" s="24">
        <v>0</v>
      </c>
      <c r="W96" s="24">
        <v>2</v>
      </c>
      <c r="X96" s="24">
        <v>0</v>
      </c>
      <c r="Y96" s="24">
        <v>0</v>
      </c>
      <c r="Z96" s="24">
        <v>0</v>
      </c>
      <c r="AA96" s="24">
        <v>0</v>
      </c>
      <c r="AB96" s="24">
        <v>26</v>
      </c>
    </row>
    <row r="97" spans="1:28" ht="19.5" customHeight="1" x14ac:dyDescent="0.2">
      <c r="A97" s="296"/>
      <c r="B97" s="292" t="s">
        <v>54</v>
      </c>
      <c r="C97" s="153" t="s">
        <v>55</v>
      </c>
      <c r="D97" s="154"/>
      <c r="E97" s="154"/>
      <c r="F97" s="154"/>
      <c r="G97" s="155"/>
      <c r="H97" s="23">
        <v>10</v>
      </c>
      <c r="I97" s="24">
        <v>180568</v>
      </c>
      <c r="J97" s="24">
        <v>62671</v>
      </c>
      <c r="K97" s="24">
        <v>1710</v>
      </c>
      <c r="L97" s="24">
        <v>6</v>
      </c>
      <c r="M97" s="24">
        <v>1628</v>
      </c>
      <c r="N97" s="24">
        <v>8</v>
      </c>
      <c r="O97" s="24">
        <v>49953</v>
      </c>
      <c r="P97" s="24">
        <v>48577</v>
      </c>
      <c r="Q97" s="24">
        <v>1065</v>
      </c>
      <c r="R97" s="24">
        <v>259</v>
      </c>
      <c r="S97" s="24">
        <v>52</v>
      </c>
      <c r="T97" s="24">
        <v>1</v>
      </c>
      <c r="U97" s="24">
        <v>9916</v>
      </c>
      <c r="V97" s="24">
        <v>4018</v>
      </c>
      <c r="W97" s="24">
        <v>1019</v>
      </c>
      <c r="X97" s="24">
        <v>522</v>
      </c>
      <c r="Y97" s="24">
        <v>42780</v>
      </c>
      <c r="Z97" s="24">
        <v>42551</v>
      </c>
      <c r="AA97" s="24">
        <v>0</v>
      </c>
      <c r="AB97" s="24">
        <v>128675</v>
      </c>
    </row>
    <row r="98" spans="1:28" ht="20.25" customHeight="1" x14ac:dyDescent="0.2">
      <c r="A98" s="296"/>
      <c r="B98" s="293"/>
      <c r="C98" s="30" t="s">
        <v>32</v>
      </c>
      <c r="D98" s="165" t="s">
        <v>56</v>
      </c>
      <c r="E98" s="166"/>
      <c r="F98" s="166"/>
      <c r="G98" s="167"/>
      <c r="H98" s="23">
        <v>11</v>
      </c>
      <c r="I98" s="24">
        <v>46968</v>
      </c>
      <c r="J98" s="24">
        <v>22241</v>
      </c>
      <c r="K98" s="24">
        <v>448</v>
      </c>
      <c r="L98" s="24">
        <v>2</v>
      </c>
      <c r="M98" s="24">
        <v>443</v>
      </c>
      <c r="N98" s="24">
        <v>0</v>
      </c>
      <c r="O98" s="24">
        <v>18395</v>
      </c>
      <c r="P98" s="24">
        <v>17985</v>
      </c>
      <c r="Q98" s="24">
        <v>285</v>
      </c>
      <c r="R98" s="24">
        <v>101</v>
      </c>
      <c r="S98" s="24">
        <v>24</v>
      </c>
      <c r="T98" s="24">
        <v>0</v>
      </c>
      <c r="U98" s="24">
        <v>4238</v>
      </c>
      <c r="V98" s="24">
        <v>1704</v>
      </c>
      <c r="W98" s="24">
        <v>261</v>
      </c>
      <c r="X98" s="24">
        <v>208</v>
      </c>
      <c r="Y98" s="24">
        <v>17866</v>
      </c>
      <c r="Z98" s="24">
        <v>17828</v>
      </c>
      <c r="AA98" s="24">
        <v>0</v>
      </c>
      <c r="AB98" s="24">
        <v>28087</v>
      </c>
    </row>
    <row r="99" spans="1:28" ht="20.25" customHeight="1" x14ac:dyDescent="0.2">
      <c r="A99" s="296"/>
      <c r="B99" s="293"/>
      <c r="C99" s="153" t="s">
        <v>57</v>
      </c>
      <c r="D99" s="154"/>
      <c r="E99" s="154"/>
      <c r="F99" s="154"/>
      <c r="G99" s="155"/>
      <c r="H99" s="23">
        <v>12</v>
      </c>
      <c r="I99" s="24">
        <v>90384</v>
      </c>
      <c r="J99" s="24">
        <v>11883</v>
      </c>
      <c r="K99" s="24">
        <v>212</v>
      </c>
      <c r="L99" s="24">
        <v>1</v>
      </c>
      <c r="M99" s="24">
        <v>200</v>
      </c>
      <c r="N99" s="24">
        <v>0</v>
      </c>
      <c r="O99" s="24">
        <v>9633</v>
      </c>
      <c r="P99" s="24">
        <v>8696</v>
      </c>
      <c r="Q99" s="24">
        <v>865</v>
      </c>
      <c r="R99" s="24">
        <v>60</v>
      </c>
      <c r="S99" s="24">
        <v>12</v>
      </c>
      <c r="T99" s="24">
        <v>1</v>
      </c>
      <c r="U99" s="24">
        <v>1250</v>
      </c>
      <c r="V99" s="24">
        <v>587</v>
      </c>
      <c r="W99" s="24">
        <v>659</v>
      </c>
      <c r="X99" s="24">
        <v>169</v>
      </c>
      <c r="Y99" s="24">
        <v>13063</v>
      </c>
      <c r="Z99" s="24">
        <v>13030</v>
      </c>
      <c r="AA99" s="24">
        <v>0</v>
      </c>
      <c r="AB99" s="24">
        <v>80505</v>
      </c>
    </row>
    <row r="100" spans="1:28" ht="20.25" customHeight="1" x14ac:dyDescent="0.2">
      <c r="A100" s="296"/>
      <c r="B100" s="293"/>
      <c r="C100" s="153" t="s">
        <v>58</v>
      </c>
      <c r="D100" s="154"/>
      <c r="E100" s="154"/>
      <c r="F100" s="154"/>
      <c r="G100" s="155"/>
      <c r="H100" s="23">
        <v>13</v>
      </c>
      <c r="I100" s="24">
        <v>8730</v>
      </c>
      <c r="J100" s="24">
        <v>1399</v>
      </c>
      <c r="K100" s="24">
        <v>6</v>
      </c>
      <c r="L100" s="24">
        <v>0</v>
      </c>
      <c r="M100" s="24">
        <v>6</v>
      </c>
      <c r="N100" s="24">
        <v>0</v>
      </c>
      <c r="O100" s="24">
        <v>1172</v>
      </c>
      <c r="P100" s="24">
        <v>1135</v>
      </c>
      <c r="Q100" s="24">
        <v>31</v>
      </c>
      <c r="R100" s="24">
        <v>2</v>
      </c>
      <c r="S100" s="24">
        <v>4</v>
      </c>
      <c r="T100" s="24">
        <v>0</v>
      </c>
      <c r="U100" s="24">
        <v>113</v>
      </c>
      <c r="V100" s="24">
        <v>230</v>
      </c>
      <c r="W100" s="24">
        <v>104</v>
      </c>
      <c r="X100" s="24">
        <v>9</v>
      </c>
      <c r="Y100" s="24">
        <v>977</v>
      </c>
      <c r="Z100" s="24">
        <v>920</v>
      </c>
      <c r="AA100" s="24">
        <v>0</v>
      </c>
      <c r="AB100" s="24">
        <v>7495</v>
      </c>
    </row>
    <row r="101" spans="1:28" ht="27.2" customHeight="1" x14ac:dyDescent="0.2">
      <c r="A101" s="296"/>
      <c r="B101" s="293"/>
      <c r="C101" s="153" t="s">
        <v>59</v>
      </c>
      <c r="D101" s="154"/>
      <c r="E101" s="154"/>
      <c r="F101" s="154"/>
      <c r="G101" s="155"/>
      <c r="H101" s="23">
        <v>14</v>
      </c>
      <c r="I101" s="24">
        <v>9891</v>
      </c>
      <c r="J101" s="24">
        <v>6917</v>
      </c>
      <c r="K101" s="24">
        <v>103</v>
      </c>
      <c r="L101" s="24">
        <v>1</v>
      </c>
      <c r="M101" s="24">
        <v>97</v>
      </c>
      <c r="N101" s="24">
        <v>0</v>
      </c>
      <c r="O101" s="24">
        <v>6213</v>
      </c>
      <c r="P101" s="24">
        <v>6092</v>
      </c>
      <c r="Q101" s="24">
        <v>27</v>
      </c>
      <c r="R101" s="24">
        <v>79</v>
      </c>
      <c r="S101" s="24">
        <v>15</v>
      </c>
      <c r="T101" s="24">
        <v>0</v>
      </c>
      <c r="U101" s="24">
        <v>1603</v>
      </c>
      <c r="V101" s="24">
        <v>351</v>
      </c>
      <c r="W101" s="24">
        <v>344</v>
      </c>
      <c r="X101" s="24">
        <v>155</v>
      </c>
      <c r="Y101" s="24">
        <v>2325</v>
      </c>
      <c r="Z101" s="24">
        <v>2281</v>
      </c>
      <c r="AA101" s="24">
        <v>0</v>
      </c>
      <c r="AB101" s="24">
        <v>3531</v>
      </c>
    </row>
    <row r="102" spans="1:28" ht="27.2" customHeight="1" x14ac:dyDescent="0.2">
      <c r="A102" s="296"/>
      <c r="B102" s="294"/>
      <c r="C102" s="30" t="s">
        <v>32</v>
      </c>
      <c r="D102" s="165" t="s">
        <v>60</v>
      </c>
      <c r="E102" s="166"/>
      <c r="F102" s="166"/>
      <c r="G102" s="167"/>
      <c r="H102" s="23">
        <v>15</v>
      </c>
      <c r="I102" s="24">
        <v>6938</v>
      </c>
      <c r="J102" s="24">
        <v>4821</v>
      </c>
      <c r="K102" s="24">
        <v>34</v>
      </c>
      <c r="L102" s="24">
        <v>1</v>
      </c>
      <c r="M102" s="24">
        <v>28</v>
      </c>
      <c r="N102" s="24">
        <v>0</v>
      </c>
      <c r="O102" s="24">
        <v>4326</v>
      </c>
      <c r="P102" s="24">
        <v>4254</v>
      </c>
      <c r="Q102" s="24">
        <v>22</v>
      </c>
      <c r="R102" s="24">
        <v>39</v>
      </c>
      <c r="S102" s="24">
        <v>11</v>
      </c>
      <c r="T102" s="24">
        <v>0</v>
      </c>
      <c r="U102" s="24">
        <v>986</v>
      </c>
      <c r="V102" s="24">
        <v>285</v>
      </c>
      <c r="W102" s="24">
        <v>276</v>
      </c>
      <c r="X102" s="24">
        <v>99</v>
      </c>
      <c r="Y102" s="24">
        <v>1676</v>
      </c>
      <c r="Z102" s="24">
        <v>1636</v>
      </c>
      <c r="AA102" s="24">
        <v>0</v>
      </c>
      <c r="AB102" s="24">
        <v>2538</v>
      </c>
    </row>
    <row r="103" spans="1:28" ht="27.2" customHeight="1" x14ac:dyDescent="0.2">
      <c r="A103" s="296"/>
      <c r="B103" s="153" t="s">
        <v>61</v>
      </c>
      <c r="C103" s="154"/>
      <c r="D103" s="154"/>
      <c r="E103" s="154"/>
      <c r="F103" s="154"/>
      <c r="G103" s="155"/>
      <c r="H103" s="23">
        <v>16</v>
      </c>
      <c r="I103" s="24">
        <v>88</v>
      </c>
      <c r="J103" s="24">
        <v>43</v>
      </c>
      <c r="K103" s="24">
        <v>1</v>
      </c>
      <c r="L103" s="24">
        <v>0</v>
      </c>
      <c r="M103" s="24">
        <v>1</v>
      </c>
      <c r="N103" s="24">
        <v>0</v>
      </c>
      <c r="O103" s="24">
        <v>39</v>
      </c>
      <c r="P103" s="24">
        <v>39</v>
      </c>
      <c r="Q103" s="24">
        <v>0</v>
      </c>
      <c r="R103" s="24">
        <v>0</v>
      </c>
      <c r="S103" s="24">
        <v>0</v>
      </c>
      <c r="T103" s="24">
        <v>0</v>
      </c>
      <c r="U103" s="24">
        <v>3</v>
      </c>
      <c r="V103" s="24">
        <v>0</v>
      </c>
      <c r="W103" s="24">
        <v>1</v>
      </c>
      <c r="X103" s="24">
        <v>0</v>
      </c>
      <c r="Y103" s="24">
        <v>3</v>
      </c>
      <c r="Z103" s="24">
        <v>3</v>
      </c>
      <c r="AA103" s="24">
        <v>0</v>
      </c>
      <c r="AB103" s="24">
        <v>48</v>
      </c>
    </row>
    <row r="104" spans="1:28" ht="27" customHeight="1" x14ac:dyDescent="0.2">
      <c r="A104" s="296"/>
      <c r="B104" s="153" t="s">
        <v>62</v>
      </c>
      <c r="C104" s="154"/>
      <c r="D104" s="154"/>
      <c r="E104" s="154"/>
      <c r="F104" s="154"/>
      <c r="G104" s="155"/>
      <c r="H104" s="23">
        <v>17</v>
      </c>
      <c r="I104" s="25">
        <v>1839</v>
      </c>
      <c r="J104" s="25">
        <v>1491</v>
      </c>
      <c r="K104" s="25">
        <v>11</v>
      </c>
      <c r="L104" s="25">
        <v>0</v>
      </c>
      <c r="M104" s="25">
        <v>5</v>
      </c>
      <c r="N104" s="24">
        <v>4</v>
      </c>
      <c r="O104" s="24">
        <v>1269</v>
      </c>
      <c r="P104" s="24">
        <v>1237</v>
      </c>
      <c r="Q104" s="24">
        <v>0</v>
      </c>
      <c r="R104" s="24">
        <v>31</v>
      </c>
      <c r="S104" s="24">
        <v>1</v>
      </c>
      <c r="T104" s="24">
        <v>0</v>
      </c>
      <c r="U104" s="24">
        <v>344</v>
      </c>
      <c r="V104" s="24">
        <v>6</v>
      </c>
      <c r="W104" s="24">
        <v>350</v>
      </c>
      <c r="X104" s="24">
        <v>6</v>
      </c>
      <c r="Y104" s="24">
        <v>257</v>
      </c>
      <c r="Z104" s="24">
        <v>244</v>
      </c>
      <c r="AA104" s="24">
        <v>0</v>
      </c>
      <c r="AB104" s="24">
        <v>546</v>
      </c>
    </row>
    <row r="105" spans="1:28" ht="27.2" customHeight="1" x14ac:dyDescent="0.2">
      <c r="A105" s="296"/>
      <c r="B105" s="153" t="s">
        <v>63</v>
      </c>
      <c r="C105" s="154"/>
      <c r="D105" s="154"/>
      <c r="E105" s="154"/>
      <c r="F105" s="154"/>
      <c r="G105" s="155"/>
      <c r="H105" s="23">
        <v>18</v>
      </c>
      <c r="I105" s="24">
        <v>5288</v>
      </c>
      <c r="J105" s="24">
        <v>500</v>
      </c>
      <c r="K105" s="24">
        <v>2</v>
      </c>
      <c r="L105" s="24">
        <v>0</v>
      </c>
      <c r="M105" s="24">
        <v>2</v>
      </c>
      <c r="N105" s="24">
        <v>0</v>
      </c>
      <c r="O105" s="24">
        <v>361</v>
      </c>
      <c r="P105" s="24">
        <v>354</v>
      </c>
      <c r="Q105" s="24">
        <v>0</v>
      </c>
      <c r="R105" s="24">
        <v>7</v>
      </c>
      <c r="S105" s="24">
        <v>0</v>
      </c>
      <c r="T105" s="24">
        <v>0</v>
      </c>
      <c r="U105" s="24">
        <v>67</v>
      </c>
      <c r="V105" s="24">
        <v>24</v>
      </c>
      <c r="W105" s="24">
        <v>84</v>
      </c>
      <c r="X105" s="24">
        <v>11</v>
      </c>
      <c r="Y105" s="24">
        <v>245</v>
      </c>
      <c r="Z105" s="24">
        <v>237</v>
      </c>
      <c r="AA105" s="24">
        <v>0</v>
      </c>
      <c r="AB105" s="31">
        <v>4917</v>
      </c>
    </row>
    <row r="106" spans="1:28" ht="27.2" customHeight="1" x14ac:dyDescent="0.2">
      <c r="A106" s="296"/>
      <c r="B106" s="281" t="s">
        <v>32</v>
      </c>
      <c r="C106" s="268"/>
      <c r="D106" s="284" t="s">
        <v>64</v>
      </c>
      <c r="E106" s="285"/>
      <c r="F106" s="285"/>
      <c r="G106" s="286"/>
      <c r="H106" s="23">
        <v>19</v>
      </c>
      <c r="I106" s="24">
        <v>419</v>
      </c>
      <c r="J106" s="24">
        <v>166</v>
      </c>
      <c r="K106" s="24">
        <v>2</v>
      </c>
      <c r="L106" s="24">
        <v>0</v>
      </c>
      <c r="M106" s="24">
        <v>2</v>
      </c>
      <c r="N106" s="24">
        <v>0</v>
      </c>
      <c r="O106" s="24">
        <v>107</v>
      </c>
      <c r="P106" s="24">
        <v>105</v>
      </c>
      <c r="Q106" s="24">
        <v>0</v>
      </c>
      <c r="R106" s="24">
        <v>2</v>
      </c>
      <c r="S106" s="24">
        <v>0</v>
      </c>
      <c r="T106" s="24">
        <v>0</v>
      </c>
      <c r="U106" s="24">
        <v>13</v>
      </c>
      <c r="V106" s="24">
        <v>5</v>
      </c>
      <c r="W106" s="24">
        <v>32</v>
      </c>
      <c r="X106" s="24">
        <v>0</v>
      </c>
      <c r="Y106" s="24">
        <v>127</v>
      </c>
      <c r="Z106" s="24">
        <v>121</v>
      </c>
      <c r="AA106" s="24">
        <v>0</v>
      </c>
      <c r="AB106" s="24">
        <v>304</v>
      </c>
    </row>
    <row r="107" spans="1:28" ht="27.2" customHeight="1" x14ac:dyDescent="0.2">
      <c r="A107" s="296"/>
      <c r="B107" s="282"/>
      <c r="C107" s="270"/>
      <c r="D107" s="224" t="s">
        <v>32</v>
      </c>
      <c r="E107" s="258" t="s">
        <v>65</v>
      </c>
      <c r="F107" s="259"/>
      <c r="G107" s="260"/>
      <c r="H107" s="23">
        <v>20</v>
      </c>
      <c r="I107" s="24">
        <v>34</v>
      </c>
      <c r="J107" s="24">
        <v>22</v>
      </c>
      <c r="K107" s="24">
        <v>0</v>
      </c>
      <c r="L107" s="24">
        <v>0</v>
      </c>
      <c r="M107" s="24">
        <v>0</v>
      </c>
      <c r="N107" s="24">
        <v>0</v>
      </c>
      <c r="O107" s="24">
        <v>12</v>
      </c>
      <c r="P107" s="24">
        <v>11</v>
      </c>
      <c r="Q107" s="24">
        <v>0</v>
      </c>
      <c r="R107" s="24">
        <v>1</v>
      </c>
      <c r="S107" s="24">
        <v>0</v>
      </c>
      <c r="T107" s="24">
        <v>0</v>
      </c>
      <c r="U107" s="24">
        <v>1</v>
      </c>
      <c r="V107" s="24">
        <v>0</v>
      </c>
      <c r="W107" s="24">
        <v>4</v>
      </c>
      <c r="X107" s="24">
        <v>0</v>
      </c>
      <c r="Y107" s="24">
        <v>14</v>
      </c>
      <c r="Z107" s="24">
        <v>14</v>
      </c>
      <c r="AA107" s="24">
        <v>0</v>
      </c>
      <c r="AB107" s="24">
        <v>22</v>
      </c>
    </row>
    <row r="108" spans="1:28" ht="27.2" customHeight="1" x14ac:dyDescent="0.2">
      <c r="A108" s="296"/>
      <c r="B108" s="282"/>
      <c r="C108" s="270"/>
      <c r="D108" s="225"/>
      <c r="E108" s="165" t="s">
        <v>53</v>
      </c>
      <c r="F108" s="166"/>
      <c r="G108" s="167"/>
      <c r="H108" s="23">
        <v>21</v>
      </c>
      <c r="I108" s="24">
        <v>102</v>
      </c>
      <c r="J108" s="24">
        <v>57</v>
      </c>
      <c r="K108" s="24">
        <v>0</v>
      </c>
      <c r="L108" s="24">
        <v>0</v>
      </c>
      <c r="M108" s="24">
        <v>0</v>
      </c>
      <c r="N108" s="24">
        <v>0</v>
      </c>
      <c r="O108" s="24">
        <v>27</v>
      </c>
      <c r="P108" s="24">
        <v>26</v>
      </c>
      <c r="Q108" s="24">
        <v>0</v>
      </c>
      <c r="R108" s="24">
        <v>1</v>
      </c>
      <c r="S108" s="24">
        <v>0</v>
      </c>
      <c r="T108" s="24">
        <v>0</v>
      </c>
      <c r="U108" s="24">
        <v>5</v>
      </c>
      <c r="V108" s="24">
        <v>1</v>
      </c>
      <c r="W108" s="24">
        <v>17</v>
      </c>
      <c r="X108" s="24">
        <v>0</v>
      </c>
      <c r="Y108" s="24">
        <v>4</v>
      </c>
      <c r="Z108" s="24">
        <v>1</v>
      </c>
      <c r="AA108" s="24">
        <v>0</v>
      </c>
      <c r="AB108" s="24">
        <v>72</v>
      </c>
    </row>
    <row r="109" spans="1:28" ht="27.2" customHeight="1" x14ac:dyDescent="0.2">
      <c r="A109" s="296"/>
      <c r="B109" s="282"/>
      <c r="C109" s="270"/>
      <c r="D109" s="225"/>
      <c r="E109" s="165" t="s">
        <v>66</v>
      </c>
      <c r="F109" s="166"/>
      <c r="G109" s="167"/>
      <c r="H109" s="23">
        <v>22</v>
      </c>
      <c r="I109" s="24">
        <v>8</v>
      </c>
      <c r="J109" s="24">
        <v>8</v>
      </c>
      <c r="K109" s="24">
        <v>0</v>
      </c>
      <c r="L109" s="24">
        <v>0</v>
      </c>
      <c r="M109" s="24">
        <v>0</v>
      </c>
      <c r="N109" s="24">
        <v>0</v>
      </c>
      <c r="O109" s="24">
        <v>6</v>
      </c>
      <c r="P109" s="24">
        <v>6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2</v>
      </c>
      <c r="X109" s="24">
        <v>0</v>
      </c>
      <c r="Y109" s="24">
        <v>0</v>
      </c>
      <c r="Z109" s="24">
        <v>0</v>
      </c>
      <c r="AA109" s="24">
        <v>0</v>
      </c>
      <c r="AB109" s="24">
        <v>2</v>
      </c>
    </row>
    <row r="110" spans="1:28" ht="27.2" customHeight="1" x14ac:dyDescent="0.2">
      <c r="A110" s="296"/>
      <c r="B110" s="282"/>
      <c r="C110" s="270"/>
      <c r="D110" s="226"/>
      <c r="E110" s="165" t="s">
        <v>67</v>
      </c>
      <c r="F110" s="166"/>
      <c r="G110" s="167"/>
      <c r="H110" s="23">
        <v>23</v>
      </c>
      <c r="I110" s="24">
        <v>7</v>
      </c>
      <c r="J110" s="24">
        <v>6</v>
      </c>
      <c r="K110" s="24">
        <v>0</v>
      </c>
      <c r="L110" s="24">
        <v>0</v>
      </c>
      <c r="M110" s="24">
        <v>0</v>
      </c>
      <c r="N110" s="24">
        <v>0</v>
      </c>
      <c r="O110" s="24">
        <v>3</v>
      </c>
      <c r="P110" s="24">
        <v>3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1</v>
      </c>
      <c r="X110" s="24">
        <v>0</v>
      </c>
      <c r="Y110" s="24">
        <v>0</v>
      </c>
      <c r="Z110" s="24">
        <v>0</v>
      </c>
      <c r="AA110" s="24">
        <v>0</v>
      </c>
      <c r="AB110" s="24">
        <v>4</v>
      </c>
    </row>
    <row r="111" spans="1:28" ht="27.2" customHeight="1" x14ac:dyDescent="0.2">
      <c r="A111" s="296"/>
      <c r="B111" s="282"/>
      <c r="C111" s="270"/>
      <c r="D111" s="284" t="s">
        <v>68</v>
      </c>
      <c r="E111" s="285"/>
      <c r="F111" s="285"/>
      <c r="G111" s="286"/>
      <c r="H111" s="23">
        <v>24</v>
      </c>
      <c r="I111" s="24">
        <v>138</v>
      </c>
      <c r="J111" s="24">
        <v>129</v>
      </c>
      <c r="K111" s="24">
        <v>0</v>
      </c>
      <c r="L111" s="24">
        <v>0</v>
      </c>
      <c r="M111" s="24">
        <v>0</v>
      </c>
      <c r="N111" s="24">
        <v>0</v>
      </c>
      <c r="O111" s="24">
        <v>107</v>
      </c>
      <c r="P111" s="24">
        <v>103</v>
      </c>
      <c r="Q111" s="24">
        <v>0</v>
      </c>
      <c r="R111" s="24">
        <v>4</v>
      </c>
      <c r="S111" s="24">
        <v>0</v>
      </c>
      <c r="T111" s="24">
        <v>0</v>
      </c>
      <c r="U111" s="24">
        <v>17</v>
      </c>
      <c r="V111" s="24">
        <v>5</v>
      </c>
      <c r="W111" s="24">
        <v>19</v>
      </c>
      <c r="X111" s="24">
        <v>0</v>
      </c>
      <c r="Y111" s="24">
        <v>46</v>
      </c>
      <c r="Z111" s="24">
        <v>45</v>
      </c>
      <c r="AA111" s="24">
        <v>0</v>
      </c>
      <c r="AB111" s="24">
        <v>30</v>
      </c>
    </row>
    <row r="112" spans="1:28" ht="27.2" customHeight="1" x14ac:dyDescent="0.2">
      <c r="A112" s="296"/>
      <c r="B112" s="282"/>
      <c r="C112" s="270"/>
      <c r="D112" s="289" t="s">
        <v>32</v>
      </c>
      <c r="E112" s="165" t="s">
        <v>53</v>
      </c>
      <c r="F112" s="166"/>
      <c r="G112" s="167"/>
      <c r="H112" s="23">
        <v>25</v>
      </c>
      <c r="I112" s="24">
        <v>17</v>
      </c>
      <c r="J112" s="24">
        <v>16</v>
      </c>
      <c r="K112" s="24">
        <v>0</v>
      </c>
      <c r="L112" s="24">
        <v>0</v>
      </c>
      <c r="M112" s="24">
        <v>0</v>
      </c>
      <c r="N112" s="24">
        <v>0</v>
      </c>
      <c r="O112" s="24">
        <v>11</v>
      </c>
      <c r="P112" s="24">
        <v>11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4</v>
      </c>
      <c r="X112" s="24">
        <v>0</v>
      </c>
      <c r="Y112" s="24">
        <v>1</v>
      </c>
      <c r="Z112" s="24">
        <v>0</v>
      </c>
      <c r="AA112" s="24">
        <v>0</v>
      </c>
      <c r="AB112" s="24">
        <v>5</v>
      </c>
    </row>
    <row r="113" spans="1:28" ht="27.2" customHeight="1" x14ac:dyDescent="0.2">
      <c r="A113" s="296"/>
      <c r="B113" s="282"/>
      <c r="C113" s="270"/>
      <c r="D113" s="290"/>
      <c r="E113" s="165" t="s">
        <v>66</v>
      </c>
      <c r="F113" s="166"/>
      <c r="G113" s="167"/>
      <c r="H113" s="23">
        <v>26</v>
      </c>
      <c r="I113" s="24">
        <v>20</v>
      </c>
      <c r="J113" s="24">
        <v>20</v>
      </c>
      <c r="K113" s="24">
        <v>0</v>
      </c>
      <c r="L113" s="24">
        <v>0</v>
      </c>
      <c r="M113" s="24">
        <v>0</v>
      </c>
      <c r="N113" s="24">
        <v>0</v>
      </c>
      <c r="O113" s="24">
        <v>13</v>
      </c>
      <c r="P113" s="24">
        <v>12</v>
      </c>
      <c r="Q113" s="24">
        <v>0</v>
      </c>
      <c r="R113" s="24">
        <v>1</v>
      </c>
      <c r="S113" s="24">
        <v>0</v>
      </c>
      <c r="T113" s="24">
        <v>0</v>
      </c>
      <c r="U113" s="24">
        <v>2</v>
      </c>
      <c r="V113" s="24">
        <v>0</v>
      </c>
      <c r="W113" s="24">
        <v>7</v>
      </c>
      <c r="X113" s="24">
        <v>0</v>
      </c>
      <c r="Y113" s="24">
        <v>0</v>
      </c>
      <c r="Z113" s="24">
        <v>0</v>
      </c>
      <c r="AA113" s="24">
        <v>0</v>
      </c>
      <c r="AB113" s="24">
        <v>7</v>
      </c>
    </row>
    <row r="114" spans="1:28" ht="27.2" customHeight="1" x14ac:dyDescent="0.2">
      <c r="A114" s="296"/>
      <c r="B114" s="282"/>
      <c r="C114" s="270"/>
      <c r="D114" s="291"/>
      <c r="E114" s="165" t="s">
        <v>67</v>
      </c>
      <c r="F114" s="166"/>
      <c r="G114" s="167"/>
      <c r="H114" s="23">
        <v>27</v>
      </c>
      <c r="I114" s="24">
        <v>2</v>
      </c>
      <c r="J114" s="24">
        <v>2</v>
      </c>
      <c r="K114" s="24">
        <v>0</v>
      </c>
      <c r="L114" s="24">
        <v>0</v>
      </c>
      <c r="M114" s="24">
        <v>0</v>
      </c>
      <c r="N114" s="24">
        <v>0</v>
      </c>
      <c r="O114" s="24">
        <v>2</v>
      </c>
      <c r="P114" s="24">
        <v>2</v>
      </c>
      <c r="Q114" s="24">
        <v>0</v>
      </c>
      <c r="R114" s="24">
        <v>0</v>
      </c>
      <c r="S114" s="24">
        <v>0</v>
      </c>
      <c r="T114" s="24">
        <v>0</v>
      </c>
      <c r="U114" s="24">
        <v>1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6"/>
      <c r="B115" s="282"/>
      <c r="C115" s="270"/>
      <c r="D115" s="153" t="s">
        <v>69</v>
      </c>
      <c r="E115" s="154"/>
      <c r="F115" s="154"/>
      <c r="G115" s="155"/>
      <c r="H115" s="23">
        <v>28</v>
      </c>
      <c r="I115" s="24">
        <v>65</v>
      </c>
      <c r="J115" s="24">
        <v>51</v>
      </c>
      <c r="K115" s="24">
        <v>0</v>
      </c>
      <c r="L115" s="24">
        <v>0</v>
      </c>
      <c r="M115" s="24">
        <v>0</v>
      </c>
      <c r="N115" s="24">
        <v>0</v>
      </c>
      <c r="O115" s="24">
        <v>36</v>
      </c>
      <c r="P115" s="24">
        <v>35</v>
      </c>
      <c r="Q115" s="24">
        <v>0</v>
      </c>
      <c r="R115" s="24">
        <v>1</v>
      </c>
      <c r="S115" s="24">
        <v>0</v>
      </c>
      <c r="T115" s="24">
        <v>0</v>
      </c>
      <c r="U115" s="24">
        <v>5</v>
      </c>
      <c r="V115" s="24">
        <v>2</v>
      </c>
      <c r="W115" s="24">
        <v>8</v>
      </c>
      <c r="X115" s="24">
        <v>3</v>
      </c>
      <c r="Y115" s="24">
        <v>15</v>
      </c>
      <c r="Z115" s="24">
        <v>15</v>
      </c>
      <c r="AA115" s="24">
        <v>0</v>
      </c>
      <c r="AB115" s="24">
        <v>29</v>
      </c>
    </row>
    <row r="116" spans="1:28" ht="27.2" customHeight="1" x14ac:dyDescent="0.2">
      <c r="A116" s="296"/>
      <c r="B116" s="282"/>
      <c r="C116" s="270"/>
      <c r="D116" s="284" t="s">
        <v>70</v>
      </c>
      <c r="E116" s="285"/>
      <c r="F116" s="285"/>
      <c r="G116" s="286"/>
      <c r="H116" s="23">
        <v>29</v>
      </c>
      <c r="I116" s="24">
        <v>38</v>
      </c>
      <c r="J116" s="24">
        <v>15</v>
      </c>
      <c r="K116" s="24">
        <v>0</v>
      </c>
      <c r="L116" s="24">
        <v>0</v>
      </c>
      <c r="M116" s="24">
        <v>0</v>
      </c>
      <c r="N116" s="24">
        <v>0</v>
      </c>
      <c r="O116" s="24">
        <v>11</v>
      </c>
      <c r="P116" s="24">
        <v>11</v>
      </c>
      <c r="Q116" s="24">
        <v>0</v>
      </c>
      <c r="R116" s="24">
        <v>0</v>
      </c>
      <c r="S116" s="24">
        <v>0</v>
      </c>
      <c r="T116" s="24">
        <v>0</v>
      </c>
      <c r="U116" s="24">
        <v>1</v>
      </c>
      <c r="V116" s="24">
        <v>1</v>
      </c>
      <c r="W116" s="24">
        <v>1</v>
      </c>
      <c r="X116" s="24">
        <v>0</v>
      </c>
      <c r="Y116" s="24">
        <v>3</v>
      </c>
      <c r="Z116" s="24">
        <v>3</v>
      </c>
      <c r="AA116" s="24">
        <v>0</v>
      </c>
      <c r="AB116" s="24">
        <v>27</v>
      </c>
    </row>
    <row r="117" spans="1:28" ht="27.2" customHeight="1" x14ac:dyDescent="0.2">
      <c r="A117" s="296"/>
      <c r="B117" s="282"/>
      <c r="C117" s="270"/>
      <c r="D117" s="224" t="s">
        <v>32</v>
      </c>
      <c r="E117" s="165" t="s">
        <v>53</v>
      </c>
      <c r="F117" s="166"/>
      <c r="G117" s="167"/>
      <c r="H117" s="23">
        <v>30</v>
      </c>
      <c r="I117" s="24">
        <v>9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9</v>
      </c>
    </row>
    <row r="118" spans="1:28" ht="33" customHeight="1" x14ac:dyDescent="0.2">
      <c r="A118" s="296"/>
      <c r="B118" s="282"/>
      <c r="C118" s="270"/>
      <c r="D118" s="226"/>
      <c r="E118" s="165" t="s">
        <v>66</v>
      </c>
      <c r="F118" s="166"/>
      <c r="G118" s="167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6"/>
      <c r="B119" s="282"/>
      <c r="C119" s="270"/>
      <c r="D119" s="287" t="s">
        <v>119</v>
      </c>
      <c r="E119" s="288"/>
      <c r="F119" s="165" t="s">
        <v>72</v>
      </c>
      <c r="G119" s="167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6"/>
      <c r="B120" s="283"/>
      <c r="C120" s="272"/>
      <c r="D120" s="153" t="s">
        <v>73</v>
      </c>
      <c r="E120" s="154"/>
      <c r="F120" s="154"/>
      <c r="G120" s="155"/>
      <c r="H120" s="23">
        <v>33</v>
      </c>
      <c r="I120" s="24">
        <v>4628</v>
      </c>
      <c r="J120" s="24">
        <v>139</v>
      </c>
      <c r="K120" s="24">
        <v>0</v>
      </c>
      <c r="L120" s="24">
        <v>0</v>
      </c>
      <c r="M120" s="24">
        <v>0</v>
      </c>
      <c r="N120" s="24">
        <v>0</v>
      </c>
      <c r="O120" s="24">
        <v>100</v>
      </c>
      <c r="P120" s="24">
        <v>100</v>
      </c>
      <c r="Q120" s="24">
        <v>0</v>
      </c>
      <c r="R120" s="24">
        <v>0</v>
      </c>
      <c r="S120" s="24">
        <v>0</v>
      </c>
      <c r="T120" s="24">
        <v>0</v>
      </c>
      <c r="U120" s="24">
        <v>31</v>
      </c>
      <c r="V120" s="24">
        <v>11</v>
      </c>
      <c r="W120" s="24">
        <v>24</v>
      </c>
      <c r="X120" s="24">
        <v>8</v>
      </c>
      <c r="Y120" s="24">
        <v>54</v>
      </c>
      <c r="Z120" s="24">
        <v>53</v>
      </c>
      <c r="AA120" s="24">
        <v>0</v>
      </c>
      <c r="AB120" s="24">
        <v>4527</v>
      </c>
    </row>
    <row r="121" spans="1:28" ht="27.2" customHeight="1" x14ac:dyDescent="0.2">
      <c r="A121" s="296"/>
      <c r="B121" s="281" t="s">
        <v>74</v>
      </c>
      <c r="C121" s="268"/>
      <c r="D121" s="258" t="s">
        <v>75</v>
      </c>
      <c r="E121" s="259"/>
      <c r="F121" s="259"/>
      <c r="G121" s="260"/>
      <c r="H121" s="23">
        <v>34</v>
      </c>
      <c r="I121" s="24">
        <v>354</v>
      </c>
      <c r="J121" s="24">
        <v>86</v>
      </c>
      <c r="K121" s="24">
        <v>0</v>
      </c>
      <c r="L121" s="24">
        <v>0</v>
      </c>
      <c r="M121" s="24">
        <v>0</v>
      </c>
      <c r="N121" s="24">
        <v>0</v>
      </c>
      <c r="O121" s="24">
        <v>73</v>
      </c>
      <c r="P121" s="24">
        <v>72</v>
      </c>
      <c r="Q121" s="24">
        <v>0</v>
      </c>
      <c r="R121" s="24">
        <v>1</v>
      </c>
      <c r="S121" s="24">
        <v>0</v>
      </c>
      <c r="T121" s="24">
        <v>0</v>
      </c>
      <c r="U121" s="24">
        <v>13</v>
      </c>
      <c r="V121" s="24">
        <v>3</v>
      </c>
      <c r="W121" s="24">
        <v>4</v>
      </c>
      <c r="X121" s="24">
        <v>0</v>
      </c>
      <c r="Y121" s="24">
        <v>73</v>
      </c>
      <c r="Z121" s="24">
        <v>72</v>
      </c>
      <c r="AA121" s="24">
        <v>0</v>
      </c>
      <c r="AB121" s="24">
        <v>280</v>
      </c>
    </row>
    <row r="122" spans="1:28" ht="27.2" customHeight="1" x14ac:dyDescent="0.2">
      <c r="A122" s="296"/>
      <c r="B122" s="282"/>
      <c r="C122" s="270"/>
      <c r="D122" s="165" t="s">
        <v>76</v>
      </c>
      <c r="E122" s="166"/>
      <c r="F122" s="166"/>
      <c r="G122" s="167"/>
      <c r="H122" s="23">
        <v>35</v>
      </c>
      <c r="I122" s="24">
        <v>289</v>
      </c>
      <c r="J122" s="24">
        <v>289</v>
      </c>
      <c r="K122" s="24">
        <v>0</v>
      </c>
      <c r="L122" s="24">
        <v>0</v>
      </c>
      <c r="M122" s="24">
        <v>0</v>
      </c>
      <c r="N122" s="24">
        <v>0</v>
      </c>
      <c r="O122" s="24">
        <v>289</v>
      </c>
      <c r="P122" s="24">
        <v>284</v>
      </c>
      <c r="Q122" s="24">
        <v>3</v>
      </c>
      <c r="R122" s="24">
        <v>2</v>
      </c>
      <c r="S122" s="24">
        <v>0</v>
      </c>
      <c r="T122" s="24">
        <v>0</v>
      </c>
      <c r="U122" s="24">
        <v>55</v>
      </c>
      <c r="V122" s="24">
        <v>34</v>
      </c>
      <c r="W122" s="24">
        <v>11</v>
      </c>
      <c r="X122" s="24">
        <v>2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6"/>
      <c r="B123" s="282"/>
      <c r="C123" s="270"/>
      <c r="D123" s="165" t="s">
        <v>77</v>
      </c>
      <c r="E123" s="166"/>
      <c r="F123" s="166"/>
      <c r="G123" s="167"/>
      <c r="H123" s="23">
        <v>36</v>
      </c>
      <c r="I123" s="24">
        <v>1790</v>
      </c>
      <c r="J123" s="24">
        <v>924</v>
      </c>
      <c r="K123" s="24">
        <v>11</v>
      </c>
      <c r="L123" s="24">
        <v>0</v>
      </c>
      <c r="M123" s="24">
        <v>7</v>
      </c>
      <c r="N123" s="24">
        <v>4</v>
      </c>
      <c r="O123" s="24">
        <v>751</v>
      </c>
      <c r="P123" s="24">
        <v>719</v>
      </c>
      <c r="Q123" s="24">
        <v>7</v>
      </c>
      <c r="R123" s="24">
        <v>5</v>
      </c>
      <c r="S123" s="24">
        <v>20</v>
      </c>
      <c r="T123" s="24">
        <v>0</v>
      </c>
      <c r="U123" s="24">
        <v>112</v>
      </c>
      <c r="V123" s="24">
        <v>21</v>
      </c>
      <c r="W123" s="24">
        <v>95</v>
      </c>
      <c r="X123" s="24">
        <v>115</v>
      </c>
      <c r="Y123" s="24">
        <v>661</v>
      </c>
      <c r="Z123" s="24">
        <v>643</v>
      </c>
      <c r="AA123" s="24">
        <v>0</v>
      </c>
      <c r="AB123" s="24">
        <v>1010</v>
      </c>
    </row>
    <row r="124" spans="1:28" ht="27.2" customHeight="1" x14ac:dyDescent="0.2">
      <c r="A124" s="296"/>
      <c r="B124" s="282"/>
      <c r="C124" s="270"/>
      <c r="D124" s="165" t="s">
        <v>78</v>
      </c>
      <c r="E124" s="166"/>
      <c r="F124" s="166"/>
      <c r="G124" s="167"/>
      <c r="H124" s="23">
        <v>37</v>
      </c>
      <c r="I124" s="24">
        <v>26354</v>
      </c>
      <c r="J124" s="24">
        <v>7931</v>
      </c>
      <c r="K124" s="24">
        <v>177</v>
      </c>
      <c r="L124" s="24">
        <v>0</v>
      </c>
      <c r="M124" s="24">
        <v>146</v>
      </c>
      <c r="N124" s="24">
        <v>4</v>
      </c>
      <c r="O124" s="24">
        <v>6881</v>
      </c>
      <c r="P124" s="24">
        <v>6725</v>
      </c>
      <c r="Q124" s="24">
        <v>41</v>
      </c>
      <c r="R124" s="24">
        <v>97</v>
      </c>
      <c r="S124" s="24">
        <v>18</v>
      </c>
      <c r="T124" s="24">
        <v>0</v>
      </c>
      <c r="U124" s="24">
        <v>1953</v>
      </c>
      <c r="V124" s="24">
        <v>179</v>
      </c>
      <c r="W124" s="24">
        <v>536</v>
      </c>
      <c r="X124" s="24">
        <v>167</v>
      </c>
      <c r="Y124" s="24">
        <v>6529</v>
      </c>
      <c r="Z124" s="24">
        <v>6461</v>
      </c>
      <c r="AA124" s="24">
        <v>0</v>
      </c>
      <c r="AB124" s="24">
        <v>19228</v>
      </c>
    </row>
    <row r="125" spans="1:28" ht="27.2" customHeight="1" x14ac:dyDescent="0.2">
      <c r="A125" s="296"/>
      <c r="B125" s="282"/>
      <c r="C125" s="270"/>
      <c r="D125" s="165" t="s">
        <v>79</v>
      </c>
      <c r="E125" s="166"/>
      <c r="F125" s="166"/>
      <c r="G125" s="167"/>
      <c r="H125" s="23">
        <v>38</v>
      </c>
      <c r="I125" s="24">
        <v>10796</v>
      </c>
      <c r="J125" s="24">
        <v>10784</v>
      </c>
      <c r="K125" s="24">
        <v>10</v>
      </c>
      <c r="L125" s="24">
        <v>0</v>
      </c>
      <c r="M125" s="24">
        <v>10</v>
      </c>
      <c r="N125" s="24">
        <v>0</v>
      </c>
      <c r="O125" s="24">
        <v>10591</v>
      </c>
      <c r="P125" s="24">
        <v>10508</v>
      </c>
      <c r="Q125" s="24">
        <v>41</v>
      </c>
      <c r="R125" s="24">
        <v>36</v>
      </c>
      <c r="S125" s="24">
        <v>6</v>
      </c>
      <c r="T125" s="24">
        <v>0</v>
      </c>
      <c r="U125" s="24">
        <v>1028</v>
      </c>
      <c r="V125" s="24">
        <v>1541</v>
      </c>
      <c r="W125" s="24">
        <v>122</v>
      </c>
      <c r="X125" s="24">
        <v>88</v>
      </c>
      <c r="Y125" s="24">
        <v>17</v>
      </c>
      <c r="Z125" s="24">
        <v>8</v>
      </c>
      <c r="AA125" s="24">
        <v>0</v>
      </c>
      <c r="AB125" s="24">
        <v>186</v>
      </c>
    </row>
    <row r="126" spans="1:28" ht="27.2" customHeight="1" x14ac:dyDescent="0.2">
      <c r="A126" s="296"/>
      <c r="B126" s="282"/>
      <c r="C126" s="270"/>
      <c r="D126" s="165" t="s">
        <v>80</v>
      </c>
      <c r="E126" s="166"/>
      <c r="F126" s="166"/>
      <c r="G126" s="167"/>
      <c r="H126" s="23">
        <v>39</v>
      </c>
      <c r="I126" s="24">
        <v>257</v>
      </c>
      <c r="J126" s="24">
        <v>97</v>
      </c>
      <c r="K126" s="24">
        <v>1</v>
      </c>
      <c r="L126" s="24">
        <v>0</v>
      </c>
      <c r="M126" s="24">
        <v>1</v>
      </c>
      <c r="N126" s="24">
        <v>0</v>
      </c>
      <c r="O126" s="24">
        <v>88</v>
      </c>
      <c r="P126" s="24">
        <v>88</v>
      </c>
      <c r="Q126" s="24">
        <v>0</v>
      </c>
      <c r="R126" s="24">
        <v>0</v>
      </c>
      <c r="S126" s="24">
        <v>0</v>
      </c>
      <c r="T126" s="24">
        <v>0</v>
      </c>
      <c r="U126" s="24">
        <v>40</v>
      </c>
      <c r="V126" s="24">
        <v>4</v>
      </c>
      <c r="W126" s="24">
        <v>9</v>
      </c>
      <c r="X126" s="24">
        <v>5</v>
      </c>
      <c r="Y126" s="24">
        <v>134</v>
      </c>
      <c r="Z126" s="24">
        <v>133</v>
      </c>
      <c r="AA126" s="24">
        <v>0</v>
      </c>
      <c r="AB126" s="24">
        <v>167</v>
      </c>
    </row>
    <row r="127" spans="1:28" ht="27.2" customHeight="1" x14ac:dyDescent="0.2">
      <c r="A127" s="296"/>
      <c r="B127" s="282"/>
      <c r="C127" s="270"/>
      <c r="D127" s="165" t="s">
        <v>81</v>
      </c>
      <c r="E127" s="166"/>
      <c r="F127" s="166"/>
      <c r="G127" s="167"/>
      <c r="H127" s="23">
        <v>40</v>
      </c>
      <c r="I127" s="24">
        <v>226</v>
      </c>
      <c r="J127" s="24">
        <v>226</v>
      </c>
      <c r="K127" s="24">
        <v>0</v>
      </c>
      <c r="L127" s="24">
        <v>0</v>
      </c>
      <c r="M127" s="24">
        <v>0</v>
      </c>
      <c r="N127" s="24">
        <v>0</v>
      </c>
      <c r="O127" s="24">
        <v>185</v>
      </c>
      <c r="P127" s="24">
        <v>162</v>
      </c>
      <c r="Q127" s="24">
        <v>2</v>
      </c>
      <c r="R127" s="24">
        <v>21</v>
      </c>
      <c r="S127" s="24">
        <v>0</v>
      </c>
      <c r="T127" s="24">
        <v>0</v>
      </c>
      <c r="U127" s="24">
        <v>34</v>
      </c>
      <c r="V127" s="24">
        <v>7</v>
      </c>
      <c r="W127" s="24">
        <v>23</v>
      </c>
      <c r="X127" s="24">
        <v>0</v>
      </c>
      <c r="Y127" s="24">
        <v>3</v>
      </c>
      <c r="Z127" s="24">
        <v>1</v>
      </c>
      <c r="AA127" s="24">
        <v>0</v>
      </c>
      <c r="AB127" s="24">
        <v>39</v>
      </c>
    </row>
    <row r="128" spans="1:28" ht="27.2" customHeight="1" x14ac:dyDescent="0.2">
      <c r="A128" s="296"/>
      <c r="B128" s="282"/>
      <c r="C128" s="270"/>
      <c r="D128" s="258" t="s">
        <v>82</v>
      </c>
      <c r="E128" s="259"/>
      <c r="F128" s="259"/>
      <c r="G128" s="260"/>
      <c r="H128" s="23">
        <v>41</v>
      </c>
      <c r="I128" s="24">
        <v>13665</v>
      </c>
      <c r="J128" s="24">
        <v>189</v>
      </c>
      <c r="K128" s="24">
        <v>4</v>
      </c>
      <c r="L128" s="24">
        <v>0</v>
      </c>
      <c r="M128" s="24">
        <v>4</v>
      </c>
      <c r="N128" s="24">
        <v>0</v>
      </c>
      <c r="O128" s="24">
        <v>155</v>
      </c>
      <c r="P128" s="24">
        <v>151</v>
      </c>
      <c r="Q128" s="24">
        <v>1</v>
      </c>
      <c r="R128" s="24">
        <v>3</v>
      </c>
      <c r="S128" s="24">
        <v>0</v>
      </c>
      <c r="T128" s="24">
        <v>0</v>
      </c>
      <c r="U128" s="24">
        <v>40</v>
      </c>
      <c r="V128" s="24">
        <v>9</v>
      </c>
      <c r="W128" s="24">
        <v>27</v>
      </c>
      <c r="X128" s="24">
        <v>7</v>
      </c>
      <c r="Y128" s="24">
        <v>396</v>
      </c>
      <c r="Z128" s="24">
        <v>391</v>
      </c>
      <c r="AA128" s="24">
        <v>0</v>
      </c>
      <c r="AB128" s="24">
        <v>13501</v>
      </c>
    </row>
    <row r="129" spans="1:28" ht="27.2" customHeight="1" x14ac:dyDescent="0.2">
      <c r="A129" s="296"/>
      <c r="B129" s="282"/>
      <c r="C129" s="270"/>
      <c r="D129" s="258" t="s">
        <v>83</v>
      </c>
      <c r="E129" s="259"/>
      <c r="F129" s="259"/>
      <c r="G129" s="260"/>
      <c r="H129" s="23">
        <v>42</v>
      </c>
      <c r="I129" s="24">
        <v>2408</v>
      </c>
      <c r="J129" s="24">
        <v>2397</v>
      </c>
      <c r="K129" s="24">
        <v>2</v>
      </c>
      <c r="L129" s="24">
        <v>0</v>
      </c>
      <c r="M129" s="24">
        <v>2</v>
      </c>
      <c r="N129" s="24">
        <v>0</v>
      </c>
      <c r="O129" s="24">
        <v>2365</v>
      </c>
      <c r="P129" s="24">
        <v>2148</v>
      </c>
      <c r="Q129" s="24">
        <v>212</v>
      </c>
      <c r="R129" s="24">
        <v>5</v>
      </c>
      <c r="S129" s="24">
        <v>0</v>
      </c>
      <c r="T129" s="24">
        <v>0</v>
      </c>
      <c r="U129" s="24">
        <v>253</v>
      </c>
      <c r="V129" s="24">
        <v>98</v>
      </c>
      <c r="W129" s="24">
        <v>152</v>
      </c>
      <c r="X129" s="24">
        <v>0</v>
      </c>
      <c r="Y129" s="24">
        <v>7</v>
      </c>
      <c r="Z129" s="24">
        <v>0</v>
      </c>
      <c r="AA129" s="24">
        <v>0</v>
      </c>
      <c r="AB129" s="24">
        <v>34</v>
      </c>
    </row>
    <row r="130" spans="1:28" ht="27.2" customHeight="1" x14ac:dyDescent="0.2">
      <c r="A130" s="296"/>
      <c r="B130" s="282"/>
      <c r="C130" s="270"/>
      <c r="D130" s="258" t="s">
        <v>84</v>
      </c>
      <c r="E130" s="259"/>
      <c r="F130" s="259"/>
      <c r="G130" s="260"/>
      <c r="H130" s="23">
        <v>43</v>
      </c>
      <c r="I130" s="24">
        <v>4535</v>
      </c>
      <c r="J130" s="24">
        <v>70</v>
      </c>
      <c r="K130" s="24">
        <v>0</v>
      </c>
      <c r="L130" s="24">
        <v>0</v>
      </c>
      <c r="M130" s="24">
        <v>0</v>
      </c>
      <c r="N130" s="24">
        <v>0</v>
      </c>
      <c r="O130" s="24">
        <v>56</v>
      </c>
      <c r="P130" s="24">
        <v>54</v>
      </c>
      <c r="Q130" s="24">
        <v>0</v>
      </c>
      <c r="R130" s="24">
        <v>2</v>
      </c>
      <c r="S130" s="24">
        <v>0</v>
      </c>
      <c r="T130" s="24">
        <v>0</v>
      </c>
      <c r="U130" s="24">
        <v>17</v>
      </c>
      <c r="V130" s="24">
        <v>3</v>
      </c>
      <c r="W130" s="24">
        <v>7</v>
      </c>
      <c r="X130" s="24">
        <v>3</v>
      </c>
      <c r="Y130" s="24">
        <v>98</v>
      </c>
      <c r="Z130" s="24">
        <v>97</v>
      </c>
      <c r="AA130" s="24">
        <v>0</v>
      </c>
      <c r="AB130" s="24">
        <v>4478</v>
      </c>
    </row>
    <row r="131" spans="1:28" ht="27.2" customHeight="1" x14ac:dyDescent="0.2">
      <c r="A131" s="296"/>
      <c r="B131" s="283"/>
      <c r="C131" s="272"/>
      <c r="D131" s="165" t="s">
        <v>85</v>
      </c>
      <c r="E131" s="166"/>
      <c r="F131" s="166"/>
      <c r="G131" s="167"/>
      <c r="H131" s="23">
        <v>44</v>
      </c>
      <c r="I131" s="24">
        <v>426</v>
      </c>
      <c r="J131" s="24">
        <v>419</v>
      </c>
      <c r="K131" s="24">
        <v>0</v>
      </c>
      <c r="L131" s="24">
        <v>0</v>
      </c>
      <c r="M131" s="24">
        <v>0</v>
      </c>
      <c r="N131" s="24">
        <v>0</v>
      </c>
      <c r="O131" s="24">
        <v>423</v>
      </c>
      <c r="P131" s="24">
        <v>411</v>
      </c>
      <c r="Q131" s="24">
        <v>3</v>
      </c>
      <c r="R131" s="24">
        <v>2</v>
      </c>
      <c r="S131" s="24">
        <v>7</v>
      </c>
      <c r="T131" s="24">
        <v>0</v>
      </c>
      <c r="U131" s="24">
        <v>139</v>
      </c>
      <c r="V131" s="24">
        <v>35</v>
      </c>
      <c r="W131" s="24">
        <v>15</v>
      </c>
      <c r="X131" s="24">
        <v>27</v>
      </c>
      <c r="Y131" s="24">
        <v>0</v>
      </c>
      <c r="Z131" s="24">
        <v>0</v>
      </c>
      <c r="AA131" s="24">
        <v>0</v>
      </c>
      <c r="AB131" s="24">
        <v>3</v>
      </c>
    </row>
    <row r="132" spans="1:28" ht="27.2" customHeight="1" x14ac:dyDescent="0.2">
      <c r="A132" s="296"/>
      <c r="B132" s="278" t="s">
        <v>86</v>
      </c>
      <c r="C132" s="262"/>
      <c r="D132" s="138" t="s">
        <v>87</v>
      </c>
      <c r="E132" s="139"/>
      <c r="F132" s="139"/>
      <c r="G132" s="140"/>
      <c r="H132" s="23">
        <v>45</v>
      </c>
      <c r="I132" s="24">
        <v>3329</v>
      </c>
      <c r="J132" s="24">
        <v>638</v>
      </c>
      <c r="K132" s="24">
        <v>7</v>
      </c>
      <c r="L132" s="24">
        <v>0</v>
      </c>
      <c r="M132" s="24">
        <v>6</v>
      </c>
      <c r="N132" s="24">
        <v>1</v>
      </c>
      <c r="O132" s="24">
        <v>541</v>
      </c>
      <c r="P132" s="24">
        <v>533</v>
      </c>
      <c r="Q132" s="24">
        <v>6</v>
      </c>
      <c r="R132" s="24">
        <v>2</v>
      </c>
      <c r="S132" s="24">
        <v>0</v>
      </c>
      <c r="T132" s="24">
        <v>0</v>
      </c>
      <c r="U132" s="24">
        <v>108</v>
      </c>
      <c r="V132" s="24">
        <v>25</v>
      </c>
      <c r="W132" s="24">
        <v>13</v>
      </c>
      <c r="X132" s="24">
        <v>3</v>
      </c>
      <c r="Y132" s="24">
        <v>495</v>
      </c>
      <c r="Z132" s="24">
        <v>494</v>
      </c>
      <c r="AA132" s="24">
        <v>0</v>
      </c>
      <c r="AB132" s="24">
        <v>2780</v>
      </c>
    </row>
    <row r="133" spans="1:28" ht="30" customHeight="1" x14ac:dyDescent="0.2">
      <c r="A133" s="296"/>
      <c r="B133" s="279"/>
      <c r="C133" s="264"/>
      <c r="D133" s="36" t="s">
        <v>34</v>
      </c>
      <c r="E133" s="138" t="s">
        <v>88</v>
      </c>
      <c r="F133" s="139"/>
      <c r="G133" s="140"/>
      <c r="H133" s="23">
        <v>46</v>
      </c>
      <c r="I133" s="24">
        <v>421</v>
      </c>
      <c r="J133" s="24">
        <v>78</v>
      </c>
      <c r="K133" s="24">
        <v>0</v>
      </c>
      <c r="L133" s="24">
        <v>0</v>
      </c>
      <c r="M133" s="24">
        <v>0</v>
      </c>
      <c r="N133" s="24">
        <v>0</v>
      </c>
      <c r="O133" s="24">
        <v>49</v>
      </c>
      <c r="P133" s="24">
        <v>45</v>
      </c>
      <c r="Q133" s="24">
        <v>4</v>
      </c>
      <c r="R133" s="24">
        <v>0</v>
      </c>
      <c r="S133" s="24">
        <v>0</v>
      </c>
      <c r="T133" s="24">
        <v>0</v>
      </c>
      <c r="U133" s="24">
        <v>0</v>
      </c>
      <c r="V133" s="24">
        <v>4</v>
      </c>
      <c r="W133" s="24">
        <v>1</v>
      </c>
      <c r="X133" s="24">
        <v>0</v>
      </c>
      <c r="Y133" s="24">
        <v>28</v>
      </c>
      <c r="Z133" s="24">
        <v>28</v>
      </c>
      <c r="AA133" s="24">
        <v>0</v>
      </c>
      <c r="AB133" s="24">
        <v>372</v>
      </c>
    </row>
    <row r="134" spans="1:28" ht="27.2" customHeight="1" x14ac:dyDescent="0.2">
      <c r="A134" s="296"/>
      <c r="B134" s="279"/>
      <c r="C134" s="264"/>
      <c r="D134" s="138" t="s">
        <v>89</v>
      </c>
      <c r="E134" s="139"/>
      <c r="F134" s="139"/>
      <c r="G134" s="140"/>
      <c r="H134" s="23">
        <v>47</v>
      </c>
      <c r="I134" s="24">
        <v>34694</v>
      </c>
      <c r="J134" s="24">
        <v>29129</v>
      </c>
      <c r="K134" s="24">
        <v>611</v>
      </c>
      <c r="L134" s="24">
        <v>2</v>
      </c>
      <c r="M134" s="24">
        <v>597</v>
      </c>
      <c r="N134" s="24">
        <v>4</v>
      </c>
      <c r="O134" s="24">
        <v>23723</v>
      </c>
      <c r="P134" s="24">
        <v>23611</v>
      </c>
      <c r="Q134" s="24">
        <v>38</v>
      </c>
      <c r="R134" s="24">
        <v>64</v>
      </c>
      <c r="S134" s="24">
        <v>10</v>
      </c>
      <c r="T134" s="24">
        <v>0</v>
      </c>
      <c r="U134" s="24">
        <v>4093</v>
      </c>
      <c r="V134" s="24">
        <v>3211</v>
      </c>
      <c r="W134" s="24">
        <v>298</v>
      </c>
      <c r="X134" s="24">
        <v>114</v>
      </c>
      <c r="Y134" s="24">
        <v>1941</v>
      </c>
      <c r="Z134" s="24">
        <v>1779</v>
      </c>
      <c r="AA134" s="24">
        <v>0</v>
      </c>
      <c r="AB134" s="24">
        <v>10198</v>
      </c>
    </row>
    <row r="135" spans="1:28" ht="27.2" customHeight="1" x14ac:dyDescent="0.2">
      <c r="A135" s="296"/>
      <c r="B135" s="279"/>
      <c r="C135" s="264"/>
      <c r="D135" s="138" t="s">
        <v>90</v>
      </c>
      <c r="E135" s="139"/>
      <c r="F135" s="139"/>
      <c r="G135" s="140"/>
      <c r="H135" s="23">
        <v>48</v>
      </c>
      <c r="I135" s="24">
        <v>6442</v>
      </c>
      <c r="J135" s="24">
        <v>2561</v>
      </c>
      <c r="K135" s="24">
        <v>109</v>
      </c>
      <c r="L135" s="24">
        <v>0</v>
      </c>
      <c r="M135" s="24">
        <v>106</v>
      </c>
      <c r="N135" s="24">
        <v>3</v>
      </c>
      <c r="O135" s="24">
        <v>1358</v>
      </c>
      <c r="P135" s="24">
        <v>1344</v>
      </c>
      <c r="Q135" s="24">
        <v>9</v>
      </c>
      <c r="R135" s="24">
        <v>4</v>
      </c>
      <c r="S135" s="24">
        <v>1</v>
      </c>
      <c r="T135" s="24">
        <v>0</v>
      </c>
      <c r="U135" s="24">
        <v>58</v>
      </c>
      <c r="V135" s="24">
        <v>219</v>
      </c>
      <c r="W135" s="24">
        <v>6</v>
      </c>
      <c r="X135" s="24">
        <v>25</v>
      </c>
      <c r="Y135" s="24">
        <v>118</v>
      </c>
      <c r="Z135" s="24">
        <v>117</v>
      </c>
      <c r="AA135" s="24">
        <v>0</v>
      </c>
      <c r="AB135" s="24">
        <v>4974</v>
      </c>
    </row>
    <row r="136" spans="1:28" ht="27.2" customHeight="1" x14ac:dyDescent="0.2">
      <c r="A136" s="296"/>
      <c r="B136" s="279"/>
      <c r="C136" s="264"/>
      <c r="D136" s="138" t="s">
        <v>91</v>
      </c>
      <c r="E136" s="139"/>
      <c r="F136" s="139"/>
      <c r="G136" s="140"/>
      <c r="H136" s="23">
        <v>49</v>
      </c>
      <c r="I136" s="24">
        <v>780</v>
      </c>
      <c r="J136" s="24">
        <v>218</v>
      </c>
      <c r="K136" s="24">
        <v>0</v>
      </c>
      <c r="L136" s="24">
        <v>0</v>
      </c>
      <c r="M136" s="24">
        <v>0</v>
      </c>
      <c r="N136" s="24">
        <v>0</v>
      </c>
      <c r="O136" s="24">
        <v>182</v>
      </c>
      <c r="P136" s="24">
        <v>133</v>
      </c>
      <c r="Q136" s="24">
        <v>49</v>
      </c>
      <c r="R136" s="24">
        <v>0</v>
      </c>
      <c r="S136" s="24">
        <v>0</v>
      </c>
      <c r="T136" s="24">
        <v>0</v>
      </c>
      <c r="U136" s="24">
        <v>6</v>
      </c>
      <c r="V136" s="24">
        <v>4</v>
      </c>
      <c r="W136" s="24">
        <v>0</v>
      </c>
      <c r="X136" s="24">
        <v>0</v>
      </c>
      <c r="Y136" s="24">
        <v>27</v>
      </c>
      <c r="Z136" s="24">
        <v>27</v>
      </c>
      <c r="AA136" s="24">
        <v>0</v>
      </c>
      <c r="AB136" s="24">
        <v>598</v>
      </c>
    </row>
    <row r="137" spans="1:28" ht="27.2" customHeight="1" x14ac:dyDescent="0.2">
      <c r="A137" s="296"/>
      <c r="B137" s="279"/>
      <c r="C137" s="264"/>
      <c r="D137" s="138" t="s">
        <v>92</v>
      </c>
      <c r="E137" s="139"/>
      <c r="F137" s="139"/>
      <c r="G137" s="140"/>
      <c r="H137" s="23">
        <v>50</v>
      </c>
      <c r="I137" s="24">
        <v>4251</v>
      </c>
      <c r="J137" s="24">
        <v>945</v>
      </c>
      <c r="K137" s="24">
        <v>76</v>
      </c>
      <c r="L137" s="24">
        <v>0</v>
      </c>
      <c r="M137" s="24">
        <v>76</v>
      </c>
      <c r="N137" s="24">
        <v>0</v>
      </c>
      <c r="O137" s="24">
        <v>579</v>
      </c>
      <c r="P137" s="24">
        <v>449</v>
      </c>
      <c r="Q137" s="24">
        <v>130</v>
      </c>
      <c r="R137" s="24">
        <v>0</v>
      </c>
      <c r="S137" s="24">
        <v>0</v>
      </c>
      <c r="T137" s="24">
        <v>0</v>
      </c>
      <c r="U137" s="24">
        <v>7</v>
      </c>
      <c r="V137" s="24">
        <v>51</v>
      </c>
      <c r="W137" s="24">
        <v>5</v>
      </c>
      <c r="X137" s="24">
        <v>0</v>
      </c>
      <c r="Y137" s="24">
        <v>62</v>
      </c>
      <c r="Z137" s="24">
        <v>61</v>
      </c>
      <c r="AA137" s="24">
        <v>0</v>
      </c>
      <c r="AB137" s="24">
        <v>3595</v>
      </c>
    </row>
    <row r="138" spans="1:28" ht="29.25" customHeight="1" x14ac:dyDescent="0.2">
      <c r="A138" s="297"/>
      <c r="B138" s="280"/>
      <c r="C138" s="266"/>
      <c r="D138" s="138" t="s">
        <v>93</v>
      </c>
      <c r="E138" s="139"/>
      <c r="F138" s="139"/>
      <c r="G138" s="140"/>
      <c r="H138" s="23">
        <v>51</v>
      </c>
      <c r="I138" s="24">
        <v>167</v>
      </c>
      <c r="J138" s="24">
        <v>31</v>
      </c>
      <c r="K138" s="24">
        <v>0</v>
      </c>
      <c r="L138" s="24">
        <v>0</v>
      </c>
      <c r="M138" s="24">
        <v>0</v>
      </c>
      <c r="N138" s="24">
        <v>0</v>
      </c>
      <c r="O138" s="24">
        <v>1</v>
      </c>
      <c r="P138" s="24">
        <v>1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166</v>
      </c>
    </row>
    <row r="139" spans="1:28" ht="14.25" customHeight="1" x14ac:dyDescent="0.2">
      <c r="A139" s="198" t="s">
        <v>94</v>
      </c>
      <c r="B139" s="199"/>
      <c r="C139" s="199"/>
      <c r="D139" s="199"/>
      <c r="E139" s="199"/>
      <c r="F139" s="199"/>
      <c r="G139" s="200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44" t="s">
        <v>44</v>
      </c>
      <c r="B140" s="138" t="s">
        <v>120</v>
      </c>
      <c r="C140" s="139"/>
      <c r="D140" s="139"/>
      <c r="E140" s="139"/>
      <c r="F140" s="139"/>
      <c r="G140" s="140"/>
      <c r="H140" s="38">
        <v>52</v>
      </c>
      <c r="I140" s="31">
        <v>3332</v>
      </c>
      <c r="J140" s="31">
        <v>1212</v>
      </c>
      <c r="K140" s="31">
        <v>112</v>
      </c>
      <c r="L140" s="31">
        <v>0</v>
      </c>
      <c r="M140" s="31">
        <v>111</v>
      </c>
      <c r="N140" s="31">
        <v>1</v>
      </c>
      <c r="O140" s="31">
        <v>633</v>
      </c>
      <c r="P140" s="31">
        <v>629</v>
      </c>
      <c r="Q140" s="31">
        <v>1</v>
      </c>
      <c r="R140" s="31">
        <v>0</v>
      </c>
      <c r="S140" s="31">
        <v>3</v>
      </c>
      <c r="T140" s="31">
        <v>0</v>
      </c>
      <c r="U140" s="31">
        <v>17</v>
      </c>
      <c r="V140" s="31">
        <v>57</v>
      </c>
      <c r="W140" s="31">
        <v>5</v>
      </c>
      <c r="X140" s="31">
        <v>16</v>
      </c>
      <c r="Y140" s="31">
        <v>12</v>
      </c>
      <c r="Z140" s="31">
        <v>12</v>
      </c>
      <c r="AA140" s="31">
        <v>0</v>
      </c>
      <c r="AB140" s="31">
        <v>2587</v>
      </c>
    </row>
    <row r="141" spans="1:28" ht="27.2" customHeight="1" x14ac:dyDescent="0.2">
      <c r="A141" s="145"/>
      <c r="B141" s="135" t="s">
        <v>121</v>
      </c>
      <c r="C141" s="136"/>
      <c r="D141" s="136"/>
      <c r="E141" s="136"/>
      <c r="F141" s="136"/>
      <c r="G141" s="137"/>
      <c r="H141" s="20">
        <v>53</v>
      </c>
      <c r="I141" s="31">
        <v>31906</v>
      </c>
      <c r="J141" s="31">
        <v>2841</v>
      </c>
      <c r="K141" s="31">
        <v>26</v>
      </c>
      <c r="L141" s="31">
        <v>0</v>
      </c>
      <c r="M141" s="31">
        <v>20</v>
      </c>
      <c r="N141" s="31">
        <v>0</v>
      </c>
      <c r="O141" s="31">
        <v>2217</v>
      </c>
      <c r="P141" s="31">
        <v>2160</v>
      </c>
      <c r="Q141" s="31">
        <v>3</v>
      </c>
      <c r="R141" s="31">
        <v>51</v>
      </c>
      <c r="S141" s="31">
        <v>3</v>
      </c>
      <c r="T141" s="31">
        <v>0</v>
      </c>
      <c r="U141" s="31">
        <v>518</v>
      </c>
      <c r="V141" s="31">
        <v>34</v>
      </c>
      <c r="W141" s="31">
        <v>617</v>
      </c>
      <c r="X141" s="31">
        <v>42</v>
      </c>
      <c r="Y141" s="31">
        <v>41830</v>
      </c>
      <c r="Z141" s="31">
        <v>41801</v>
      </c>
      <c r="AA141" s="31">
        <v>0</v>
      </c>
      <c r="AB141" s="31">
        <v>29634</v>
      </c>
    </row>
    <row r="142" spans="1:28" ht="27.2" customHeight="1" x14ac:dyDescent="0.2">
      <c r="A142" s="145"/>
      <c r="B142" s="135" t="s">
        <v>122</v>
      </c>
      <c r="C142" s="136"/>
      <c r="D142" s="136"/>
      <c r="E142" s="136"/>
      <c r="F142" s="136"/>
      <c r="G142" s="137"/>
      <c r="H142" s="38">
        <v>54</v>
      </c>
      <c r="I142" s="31">
        <v>381</v>
      </c>
      <c r="J142" s="31">
        <v>150</v>
      </c>
      <c r="K142" s="31">
        <v>13</v>
      </c>
      <c r="L142" s="31">
        <v>0</v>
      </c>
      <c r="M142" s="31">
        <v>13</v>
      </c>
      <c r="N142" s="31">
        <v>0</v>
      </c>
      <c r="O142" s="31">
        <v>76</v>
      </c>
      <c r="P142" s="31">
        <v>75</v>
      </c>
      <c r="Q142" s="31">
        <v>0</v>
      </c>
      <c r="R142" s="31">
        <v>1</v>
      </c>
      <c r="S142" s="31">
        <v>0</v>
      </c>
      <c r="T142" s="31">
        <v>0</v>
      </c>
      <c r="U142" s="31">
        <v>17</v>
      </c>
      <c r="V142" s="31">
        <v>34</v>
      </c>
      <c r="W142" s="31">
        <v>6</v>
      </c>
      <c r="X142" s="31">
        <v>2</v>
      </c>
      <c r="Y142" s="31">
        <v>168</v>
      </c>
      <c r="Z142" s="31">
        <v>168</v>
      </c>
      <c r="AA142" s="31">
        <v>0</v>
      </c>
      <c r="AB142" s="31">
        <v>292</v>
      </c>
    </row>
    <row r="143" spans="1:28" ht="27.2" customHeight="1" x14ac:dyDescent="0.2">
      <c r="A143" s="145"/>
      <c r="B143" s="277" t="s">
        <v>123</v>
      </c>
      <c r="C143" s="256"/>
      <c r="D143" s="256"/>
      <c r="E143" s="256"/>
      <c r="F143" s="256"/>
      <c r="G143" s="257"/>
      <c r="H143" s="20">
        <v>55</v>
      </c>
      <c r="I143" s="31">
        <v>584</v>
      </c>
      <c r="J143" s="31">
        <v>460</v>
      </c>
      <c r="K143" s="31">
        <v>7</v>
      </c>
      <c r="L143" s="31">
        <v>0</v>
      </c>
      <c r="M143" s="31">
        <v>3</v>
      </c>
      <c r="N143" s="31">
        <v>4</v>
      </c>
      <c r="O143" s="31">
        <v>337</v>
      </c>
      <c r="P143" s="31">
        <v>325</v>
      </c>
      <c r="Q143" s="31">
        <v>0</v>
      </c>
      <c r="R143" s="31">
        <v>5</v>
      </c>
      <c r="S143" s="31">
        <v>7</v>
      </c>
      <c r="T143" s="31">
        <v>0</v>
      </c>
      <c r="U143" s="31">
        <v>53</v>
      </c>
      <c r="V143" s="31">
        <v>2</v>
      </c>
      <c r="W143" s="31">
        <v>30</v>
      </c>
      <c r="X143" s="31">
        <v>47</v>
      </c>
      <c r="Y143" s="31">
        <v>76</v>
      </c>
      <c r="Z143" s="31">
        <v>72</v>
      </c>
      <c r="AA143" s="31">
        <v>0</v>
      </c>
      <c r="AB143" s="31">
        <v>236</v>
      </c>
    </row>
    <row r="144" spans="1:28" ht="27.2" customHeight="1" x14ac:dyDescent="0.2">
      <c r="A144" s="145"/>
      <c r="B144" s="277" t="s">
        <v>124</v>
      </c>
      <c r="C144" s="256"/>
      <c r="D144" s="256"/>
      <c r="E144" s="256"/>
      <c r="F144" s="256"/>
      <c r="G144" s="257"/>
      <c r="H144" s="38">
        <v>56</v>
      </c>
      <c r="I144" s="31">
        <v>612</v>
      </c>
      <c r="J144" s="31">
        <v>426</v>
      </c>
      <c r="K144" s="31">
        <v>1</v>
      </c>
      <c r="L144" s="31">
        <v>0</v>
      </c>
      <c r="M144" s="31">
        <v>1</v>
      </c>
      <c r="N144" s="31">
        <v>0</v>
      </c>
      <c r="O144" s="31">
        <v>391</v>
      </c>
      <c r="P144" s="31">
        <v>388</v>
      </c>
      <c r="Q144" s="31">
        <v>0</v>
      </c>
      <c r="R144" s="31">
        <v>3</v>
      </c>
      <c r="S144" s="31">
        <v>0</v>
      </c>
      <c r="T144" s="31">
        <v>0</v>
      </c>
      <c r="U144" s="31">
        <v>88</v>
      </c>
      <c r="V144" s="31">
        <v>1</v>
      </c>
      <c r="W144" s="31">
        <v>5</v>
      </c>
      <c r="X144" s="31">
        <v>7</v>
      </c>
      <c r="Y144" s="31">
        <v>46</v>
      </c>
      <c r="Z144" s="31">
        <v>46</v>
      </c>
      <c r="AA144" s="31">
        <v>0</v>
      </c>
      <c r="AB144" s="31">
        <v>220</v>
      </c>
    </row>
    <row r="145" spans="1:28" ht="27.2" customHeight="1" x14ac:dyDescent="0.2">
      <c r="A145" s="145"/>
      <c r="B145" s="174" t="s">
        <v>125</v>
      </c>
      <c r="C145" s="175"/>
      <c r="D145" s="175"/>
      <c r="E145" s="175"/>
      <c r="F145" s="175"/>
      <c r="G145" s="176"/>
      <c r="H145" s="20">
        <v>57</v>
      </c>
      <c r="I145" s="31">
        <v>42017</v>
      </c>
      <c r="J145" s="31">
        <v>20918</v>
      </c>
      <c r="K145" s="31">
        <v>1013</v>
      </c>
      <c r="L145" s="31">
        <v>3</v>
      </c>
      <c r="M145" s="31">
        <v>965</v>
      </c>
      <c r="N145" s="31">
        <v>0</v>
      </c>
      <c r="O145" s="31">
        <v>16452</v>
      </c>
      <c r="P145" s="31">
        <v>16328</v>
      </c>
      <c r="Q145" s="31">
        <v>2</v>
      </c>
      <c r="R145" s="31">
        <v>111</v>
      </c>
      <c r="S145" s="31">
        <v>11</v>
      </c>
      <c r="T145" s="31">
        <v>0</v>
      </c>
      <c r="U145" s="31">
        <v>4701</v>
      </c>
      <c r="V145" s="31">
        <v>851</v>
      </c>
      <c r="W145" s="31">
        <v>247</v>
      </c>
      <c r="X145" s="31">
        <v>288</v>
      </c>
      <c r="Y145" s="31">
        <v>5807</v>
      </c>
      <c r="Z145" s="31">
        <v>5784</v>
      </c>
      <c r="AA145" s="31">
        <v>0</v>
      </c>
      <c r="AB145" s="31">
        <v>24529</v>
      </c>
    </row>
    <row r="146" spans="1:28" ht="27.2" customHeight="1" x14ac:dyDescent="0.2">
      <c r="A146" s="145"/>
      <c r="B146" s="174" t="s">
        <v>126</v>
      </c>
      <c r="C146" s="175"/>
      <c r="D146" s="175"/>
      <c r="E146" s="175"/>
      <c r="F146" s="175"/>
      <c r="G146" s="176"/>
      <c r="H146" s="38">
        <v>58</v>
      </c>
      <c r="I146" s="31">
        <v>3156</v>
      </c>
      <c r="J146" s="31">
        <v>1424</v>
      </c>
      <c r="K146" s="31">
        <v>22</v>
      </c>
      <c r="L146" s="31">
        <v>0</v>
      </c>
      <c r="M146" s="31">
        <v>16</v>
      </c>
      <c r="N146" s="31">
        <v>1</v>
      </c>
      <c r="O146" s="31">
        <v>1074</v>
      </c>
      <c r="P146" s="31">
        <v>1016</v>
      </c>
      <c r="Q146" s="31">
        <v>57</v>
      </c>
      <c r="R146" s="31">
        <v>1</v>
      </c>
      <c r="S146" s="31">
        <v>0</v>
      </c>
      <c r="T146" s="31">
        <v>0</v>
      </c>
      <c r="U146" s="31">
        <v>101</v>
      </c>
      <c r="V146" s="31">
        <v>193</v>
      </c>
      <c r="W146" s="31">
        <v>1</v>
      </c>
      <c r="X146" s="31">
        <v>0</v>
      </c>
      <c r="Y146" s="31">
        <v>95</v>
      </c>
      <c r="Z146" s="31">
        <v>94</v>
      </c>
      <c r="AA146" s="31">
        <v>0</v>
      </c>
      <c r="AB146" s="31">
        <v>2059</v>
      </c>
    </row>
    <row r="147" spans="1:28" ht="27.2" customHeight="1" x14ac:dyDescent="0.2">
      <c r="A147" s="145"/>
      <c r="B147" s="174" t="s">
        <v>127</v>
      </c>
      <c r="C147" s="175"/>
      <c r="D147" s="175"/>
      <c r="E147" s="175"/>
      <c r="F147" s="175"/>
      <c r="G147" s="176"/>
      <c r="H147" s="20">
        <v>59</v>
      </c>
      <c r="I147" s="31">
        <v>2152</v>
      </c>
      <c r="J147" s="31">
        <v>653</v>
      </c>
      <c r="K147" s="31">
        <v>3</v>
      </c>
      <c r="L147" s="31">
        <v>0</v>
      </c>
      <c r="M147" s="31">
        <v>3</v>
      </c>
      <c r="N147" s="31">
        <v>0</v>
      </c>
      <c r="O147" s="31">
        <v>600</v>
      </c>
      <c r="P147" s="31">
        <v>600</v>
      </c>
      <c r="Q147" s="31">
        <v>0</v>
      </c>
      <c r="R147" s="31">
        <v>0</v>
      </c>
      <c r="S147" s="31">
        <v>0</v>
      </c>
      <c r="T147" s="31">
        <v>0</v>
      </c>
      <c r="U147" s="31">
        <v>47</v>
      </c>
      <c r="V147" s="31">
        <v>119</v>
      </c>
      <c r="W147" s="31">
        <v>1</v>
      </c>
      <c r="X147" s="31">
        <v>3</v>
      </c>
      <c r="Y147" s="31">
        <v>284</v>
      </c>
      <c r="Z147" s="31">
        <v>284</v>
      </c>
      <c r="AA147" s="31">
        <v>0</v>
      </c>
      <c r="AB147" s="31">
        <v>1549</v>
      </c>
    </row>
    <row r="148" spans="1:28" ht="27.2" customHeight="1" x14ac:dyDescent="0.2">
      <c r="A148" s="145"/>
      <c r="B148" s="138" t="s">
        <v>128</v>
      </c>
      <c r="C148" s="139"/>
      <c r="D148" s="139"/>
      <c r="E148" s="139"/>
      <c r="F148" s="139"/>
      <c r="G148" s="140"/>
      <c r="H148" s="38">
        <v>60</v>
      </c>
      <c r="I148" s="31">
        <v>5721</v>
      </c>
      <c r="J148" s="31">
        <v>3124</v>
      </c>
      <c r="K148" s="31">
        <v>33</v>
      </c>
      <c r="L148" s="31">
        <v>0</v>
      </c>
      <c r="M148" s="31">
        <v>28</v>
      </c>
      <c r="N148" s="31">
        <v>2</v>
      </c>
      <c r="O148" s="31">
        <v>2381</v>
      </c>
      <c r="P148" s="31">
        <v>2342</v>
      </c>
      <c r="Q148" s="31">
        <v>1</v>
      </c>
      <c r="R148" s="31">
        <v>21</v>
      </c>
      <c r="S148" s="31">
        <v>17</v>
      </c>
      <c r="T148" s="31">
        <v>0</v>
      </c>
      <c r="U148" s="31">
        <v>391</v>
      </c>
      <c r="V148" s="31">
        <v>93</v>
      </c>
      <c r="W148" s="31">
        <v>69</v>
      </c>
      <c r="X148" s="31">
        <v>33</v>
      </c>
      <c r="Y148" s="31">
        <v>2753</v>
      </c>
      <c r="Z148" s="31">
        <v>2729</v>
      </c>
      <c r="AA148" s="31">
        <v>0</v>
      </c>
      <c r="AB148" s="31">
        <v>3283</v>
      </c>
    </row>
    <row r="149" spans="1:28" ht="27.2" customHeight="1" x14ac:dyDescent="0.2">
      <c r="A149" s="145"/>
      <c r="B149" s="174" t="s">
        <v>129</v>
      </c>
      <c r="C149" s="175"/>
      <c r="D149" s="175"/>
      <c r="E149" s="175"/>
      <c r="F149" s="175"/>
      <c r="G149" s="176"/>
      <c r="H149" s="20">
        <v>61</v>
      </c>
      <c r="I149" s="31">
        <v>229</v>
      </c>
      <c r="J149" s="31">
        <v>1</v>
      </c>
      <c r="K149" s="31">
        <v>0</v>
      </c>
      <c r="L149" s="31">
        <v>0</v>
      </c>
      <c r="M149" s="31">
        <v>0</v>
      </c>
      <c r="N149" s="31">
        <v>0</v>
      </c>
      <c r="O149" s="31">
        <v>1</v>
      </c>
      <c r="P149" s="31">
        <v>1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11</v>
      </c>
      <c r="Z149" s="31">
        <v>11</v>
      </c>
      <c r="AA149" s="31">
        <v>0</v>
      </c>
      <c r="AB149" s="31">
        <v>228</v>
      </c>
    </row>
    <row r="150" spans="1:28" ht="27.2" customHeight="1" x14ac:dyDescent="0.2">
      <c r="A150" s="145"/>
      <c r="B150" s="174" t="s">
        <v>130</v>
      </c>
      <c r="C150" s="175"/>
      <c r="D150" s="175"/>
      <c r="E150" s="175"/>
      <c r="F150" s="175"/>
      <c r="G150" s="176"/>
      <c r="H150" s="38">
        <v>62</v>
      </c>
      <c r="I150" s="31">
        <v>4968</v>
      </c>
      <c r="J150" s="31">
        <v>2360</v>
      </c>
      <c r="K150" s="31">
        <v>19</v>
      </c>
      <c r="L150" s="31">
        <v>1</v>
      </c>
      <c r="M150" s="31">
        <v>17</v>
      </c>
      <c r="N150" s="31">
        <v>0</v>
      </c>
      <c r="O150" s="31">
        <v>1940</v>
      </c>
      <c r="P150" s="31">
        <v>1841</v>
      </c>
      <c r="Q150" s="31">
        <v>71</v>
      </c>
      <c r="R150" s="31">
        <v>13</v>
      </c>
      <c r="S150" s="31">
        <v>15</v>
      </c>
      <c r="T150" s="31">
        <v>0</v>
      </c>
      <c r="U150" s="31">
        <v>134</v>
      </c>
      <c r="V150" s="31">
        <v>36</v>
      </c>
      <c r="W150" s="31">
        <v>264</v>
      </c>
      <c r="X150" s="31">
        <v>82</v>
      </c>
      <c r="Y150" s="31">
        <v>1661</v>
      </c>
      <c r="Z150" s="31">
        <v>1579</v>
      </c>
      <c r="AA150" s="31">
        <v>0</v>
      </c>
      <c r="AB150" s="31">
        <v>2927</v>
      </c>
    </row>
    <row r="151" spans="1:28" ht="21.75" customHeight="1" x14ac:dyDescent="0.2">
      <c r="A151" s="145"/>
      <c r="B151" s="174" t="s">
        <v>131</v>
      </c>
      <c r="C151" s="175"/>
      <c r="D151" s="175"/>
      <c r="E151" s="175"/>
      <c r="F151" s="175"/>
      <c r="G151" s="176"/>
      <c r="H151" s="20">
        <v>63</v>
      </c>
      <c r="I151" s="31">
        <v>3743</v>
      </c>
      <c r="J151" s="31">
        <v>3184</v>
      </c>
      <c r="K151" s="31">
        <v>7</v>
      </c>
      <c r="L151" s="31">
        <v>0</v>
      </c>
      <c r="M151" s="31">
        <v>5</v>
      </c>
      <c r="N151" s="31">
        <v>0</v>
      </c>
      <c r="O151" s="31">
        <v>2789</v>
      </c>
      <c r="P151" s="31">
        <v>2749</v>
      </c>
      <c r="Q151" s="31">
        <v>0</v>
      </c>
      <c r="R151" s="31">
        <v>36</v>
      </c>
      <c r="S151" s="31">
        <v>4</v>
      </c>
      <c r="T151" s="31">
        <v>0</v>
      </c>
      <c r="U151" s="31">
        <v>131</v>
      </c>
      <c r="V151" s="31">
        <v>99</v>
      </c>
      <c r="W151" s="31">
        <v>70</v>
      </c>
      <c r="X151" s="31">
        <v>47</v>
      </c>
      <c r="Y151" s="31">
        <v>267</v>
      </c>
      <c r="Z151" s="31">
        <v>267</v>
      </c>
      <c r="AA151" s="31">
        <v>0</v>
      </c>
      <c r="AB151" s="31">
        <v>947</v>
      </c>
    </row>
    <row r="152" spans="1:28" ht="40.5" customHeight="1" x14ac:dyDescent="0.2">
      <c r="A152" s="145"/>
      <c r="B152" s="174" t="s">
        <v>132</v>
      </c>
      <c r="C152" s="175"/>
      <c r="D152" s="175"/>
      <c r="E152" s="175"/>
      <c r="F152" s="175"/>
      <c r="G152" s="176"/>
      <c r="H152" s="38">
        <v>64</v>
      </c>
      <c r="I152" s="31">
        <v>24041</v>
      </c>
      <c r="J152" s="31">
        <v>20796</v>
      </c>
      <c r="K152" s="31">
        <v>134</v>
      </c>
      <c r="L152" s="31">
        <v>1</v>
      </c>
      <c r="M152" s="31">
        <v>123</v>
      </c>
      <c r="N152" s="31">
        <v>0</v>
      </c>
      <c r="O152" s="31">
        <v>17596</v>
      </c>
      <c r="P152" s="31">
        <v>17540</v>
      </c>
      <c r="Q152" s="31">
        <v>0</v>
      </c>
      <c r="R152" s="31">
        <v>51</v>
      </c>
      <c r="S152" s="31">
        <v>5</v>
      </c>
      <c r="T152" s="31">
        <v>0</v>
      </c>
      <c r="U152" s="31">
        <v>3834</v>
      </c>
      <c r="V152" s="31">
        <v>2273</v>
      </c>
      <c r="W152" s="31">
        <v>9</v>
      </c>
      <c r="X152" s="31">
        <v>94</v>
      </c>
      <c r="Y152" s="31">
        <v>939</v>
      </c>
      <c r="Z152" s="31">
        <v>786</v>
      </c>
      <c r="AA152" s="31">
        <v>0</v>
      </c>
      <c r="AB152" s="31">
        <v>6158</v>
      </c>
    </row>
    <row r="153" spans="1:28" ht="40.5" customHeight="1" x14ac:dyDescent="0.2">
      <c r="A153" s="145"/>
      <c r="B153" s="174" t="s">
        <v>133</v>
      </c>
      <c r="C153" s="175"/>
      <c r="D153" s="175"/>
      <c r="E153" s="175"/>
      <c r="F153" s="175"/>
      <c r="G153" s="176"/>
      <c r="H153" s="20">
        <v>65</v>
      </c>
      <c r="I153" s="31">
        <v>3697</v>
      </c>
      <c r="J153" s="31">
        <v>1782</v>
      </c>
      <c r="K153" s="31">
        <v>78</v>
      </c>
      <c r="L153" s="31">
        <v>0</v>
      </c>
      <c r="M153" s="31">
        <v>77</v>
      </c>
      <c r="N153" s="31">
        <v>0</v>
      </c>
      <c r="O153" s="31">
        <v>1241</v>
      </c>
      <c r="P153" s="31">
        <v>1238</v>
      </c>
      <c r="Q153" s="31">
        <v>1</v>
      </c>
      <c r="R153" s="31">
        <v>0</v>
      </c>
      <c r="S153" s="31">
        <v>2</v>
      </c>
      <c r="T153" s="31">
        <v>0</v>
      </c>
      <c r="U153" s="31">
        <v>310</v>
      </c>
      <c r="V153" s="31">
        <v>98</v>
      </c>
      <c r="W153" s="31">
        <v>0</v>
      </c>
      <c r="X153" s="31">
        <v>12</v>
      </c>
      <c r="Y153" s="31">
        <v>499</v>
      </c>
      <c r="Z153" s="31">
        <v>499</v>
      </c>
      <c r="AA153" s="31">
        <v>0</v>
      </c>
      <c r="AB153" s="31">
        <v>2378</v>
      </c>
    </row>
    <row r="154" spans="1:28" ht="40.5" customHeight="1" x14ac:dyDescent="0.2">
      <c r="A154" s="145"/>
      <c r="B154" s="174" t="s">
        <v>134</v>
      </c>
      <c r="C154" s="175"/>
      <c r="D154" s="175"/>
      <c r="E154" s="175"/>
      <c r="F154" s="175"/>
      <c r="G154" s="176"/>
      <c r="H154" s="38">
        <v>66</v>
      </c>
      <c r="I154" s="31">
        <v>4606</v>
      </c>
      <c r="J154" s="31">
        <v>3453</v>
      </c>
      <c r="K154" s="31">
        <v>65</v>
      </c>
      <c r="L154" s="31">
        <v>0</v>
      </c>
      <c r="M154" s="31">
        <v>59</v>
      </c>
      <c r="N154" s="31">
        <v>0</v>
      </c>
      <c r="O154" s="31">
        <v>2400</v>
      </c>
      <c r="P154" s="31">
        <v>2372</v>
      </c>
      <c r="Q154" s="31">
        <v>15</v>
      </c>
      <c r="R154" s="31">
        <v>13</v>
      </c>
      <c r="S154" s="31">
        <v>0</v>
      </c>
      <c r="T154" s="31">
        <v>2</v>
      </c>
      <c r="U154" s="31">
        <v>181</v>
      </c>
      <c r="V154" s="31">
        <v>308</v>
      </c>
      <c r="W154" s="31">
        <v>115</v>
      </c>
      <c r="X154" s="31">
        <v>8</v>
      </c>
      <c r="Y154" s="31">
        <v>204</v>
      </c>
      <c r="Z154" s="31">
        <v>203</v>
      </c>
      <c r="AA154" s="31">
        <v>0</v>
      </c>
      <c r="AB154" s="31">
        <v>2138</v>
      </c>
    </row>
    <row r="155" spans="1:28" ht="41.25" customHeight="1" x14ac:dyDescent="0.2">
      <c r="A155" s="145"/>
      <c r="B155" s="174" t="s">
        <v>135</v>
      </c>
      <c r="C155" s="175"/>
      <c r="D155" s="175"/>
      <c r="E155" s="175"/>
      <c r="F155" s="175"/>
      <c r="G155" s="176"/>
      <c r="H155" s="20">
        <v>67</v>
      </c>
      <c r="I155" s="31">
        <v>1725</v>
      </c>
      <c r="J155" s="31">
        <v>1261</v>
      </c>
      <c r="K155" s="31">
        <v>16</v>
      </c>
      <c r="L155" s="31">
        <v>0</v>
      </c>
      <c r="M155" s="31">
        <v>16</v>
      </c>
      <c r="N155" s="31">
        <v>0</v>
      </c>
      <c r="O155" s="31">
        <v>921</v>
      </c>
      <c r="P155" s="31">
        <v>921</v>
      </c>
      <c r="Q155" s="31">
        <v>0</v>
      </c>
      <c r="R155" s="31">
        <v>0</v>
      </c>
      <c r="S155" s="31">
        <v>0</v>
      </c>
      <c r="T155" s="31">
        <v>0</v>
      </c>
      <c r="U155" s="31">
        <v>68</v>
      </c>
      <c r="V155" s="31">
        <v>149</v>
      </c>
      <c r="W155" s="31">
        <v>0</v>
      </c>
      <c r="X155" s="31">
        <v>16</v>
      </c>
      <c r="Y155" s="31">
        <v>33</v>
      </c>
      <c r="Z155" s="31">
        <v>33</v>
      </c>
      <c r="AA155" s="31">
        <v>0</v>
      </c>
      <c r="AB155" s="31">
        <v>788</v>
      </c>
    </row>
    <row r="156" spans="1:28" ht="29.25" customHeight="1" x14ac:dyDescent="0.2">
      <c r="A156" s="145"/>
      <c r="B156" s="174" t="s">
        <v>136</v>
      </c>
      <c r="C156" s="175"/>
      <c r="D156" s="175"/>
      <c r="E156" s="175"/>
      <c r="F156" s="175"/>
      <c r="G156" s="176"/>
      <c r="H156" s="38">
        <v>68</v>
      </c>
      <c r="I156" s="31">
        <v>10431</v>
      </c>
      <c r="J156" s="31">
        <v>5204</v>
      </c>
      <c r="K156" s="31">
        <v>68</v>
      </c>
      <c r="L156" s="31">
        <v>0</v>
      </c>
      <c r="M156" s="31">
        <v>68</v>
      </c>
      <c r="N156" s="31">
        <v>0</v>
      </c>
      <c r="O156" s="31">
        <v>4007</v>
      </c>
      <c r="P156" s="31">
        <v>4004</v>
      </c>
      <c r="Q156" s="31">
        <v>3</v>
      </c>
      <c r="R156" s="31">
        <v>0</v>
      </c>
      <c r="S156" s="31">
        <v>0</v>
      </c>
      <c r="T156" s="31">
        <v>0</v>
      </c>
      <c r="U156" s="31">
        <v>125</v>
      </c>
      <c r="V156" s="31">
        <v>449</v>
      </c>
      <c r="W156" s="31">
        <v>192</v>
      </c>
      <c r="X156" s="31">
        <v>0</v>
      </c>
      <c r="Y156" s="31">
        <v>1034</v>
      </c>
      <c r="Z156" s="31">
        <v>1034</v>
      </c>
      <c r="AA156" s="31">
        <v>0</v>
      </c>
      <c r="AB156" s="31">
        <v>6356</v>
      </c>
    </row>
    <row r="157" spans="1:28" ht="24" customHeight="1" x14ac:dyDescent="0.2">
      <c r="A157" s="145"/>
      <c r="B157" s="174" t="s">
        <v>137</v>
      </c>
      <c r="C157" s="175"/>
      <c r="D157" s="175"/>
      <c r="E157" s="175"/>
      <c r="F157" s="175"/>
      <c r="G157" s="176"/>
      <c r="H157" s="20">
        <v>69</v>
      </c>
      <c r="I157" s="31">
        <v>4352</v>
      </c>
      <c r="J157" s="31">
        <v>2414</v>
      </c>
      <c r="K157" s="31">
        <v>5</v>
      </c>
      <c r="L157" s="31">
        <v>0</v>
      </c>
      <c r="M157" s="31">
        <v>5</v>
      </c>
      <c r="N157" s="31">
        <v>0</v>
      </c>
      <c r="O157" s="31">
        <v>2258</v>
      </c>
      <c r="P157" s="31">
        <v>2250</v>
      </c>
      <c r="Q157" s="31">
        <v>0</v>
      </c>
      <c r="R157" s="31">
        <v>8</v>
      </c>
      <c r="S157" s="31">
        <v>0</v>
      </c>
      <c r="T157" s="31">
        <v>0</v>
      </c>
      <c r="U157" s="31">
        <v>590</v>
      </c>
      <c r="V157" s="31">
        <v>3</v>
      </c>
      <c r="W157" s="31">
        <v>148</v>
      </c>
      <c r="X157" s="31">
        <v>2</v>
      </c>
      <c r="Y157" s="31">
        <v>623</v>
      </c>
      <c r="Z157" s="31">
        <v>623</v>
      </c>
      <c r="AA157" s="31">
        <v>0</v>
      </c>
      <c r="AB157" s="31">
        <v>2089</v>
      </c>
    </row>
    <row r="158" spans="1:28" ht="27.2" customHeight="1" x14ac:dyDescent="0.2">
      <c r="A158" s="145"/>
      <c r="B158" s="174" t="s">
        <v>138</v>
      </c>
      <c r="C158" s="175"/>
      <c r="D158" s="175"/>
      <c r="E158" s="175"/>
      <c r="F158" s="175"/>
      <c r="G158" s="176"/>
      <c r="H158" s="38">
        <v>70</v>
      </c>
      <c r="I158" s="31">
        <v>110311</v>
      </c>
      <c r="J158" s="31">
        <v>4096</v>
      </c>
      <c r="K158" s="31">
        <v>268</v>
      </c>
      <c r="L158" s="31">
        <v>2</v>
      </c>
      <c r="M158" s="31">
        <v>266</v>
      </c>
      <c r="N158" s="31">
        <v>0</v>
      </c>
      <c r="O158" s="31">
        <v>3325</v>
      </c>
      <c r="P158" s="31">
        <v>1517</v>
      </c>
      <c r="Q158" s="31">
        <v>1807</v>
      </c>
      <c r="R158" s="31">
        <v>0</v>
      </c>
      <c r="S158" s="31">
        <v>1</v>
      </c>
      <c r="T158" s="31">
        <v>0</v>
      </c>
      <c r="U158" s="31">
        <v>81</v>
      </c>
      <c r="V158" s="31">
        <v>84</v>
      </c>
      <c r="W158" s="31">
        <v>3</v>
      </c>
      <c r="X158" s="31">
        <v>2</v>
      </c>
      <c r="Y158" s="31">
        <v>658</v>
      </c>
      <c r="Z158" s="31">
        <v>655</v>
      </c>
      <c r="AA158" s="31">
        <v>0</v>
      </c>
      <c r="AB158" s="31">
        <v>106715</v>
      </c>
    </row>
    <row r="159" spans="1:28" ht="27.2" customHeight="1" x14ac:dyDescent="0.2">
      <c r="A159" s="146"/>
      <c r="B159" s="174" t="s">
        <v>139</v>
      </c>
      <c r="C159" s="175"/>
      <c r="D159" s="175"/>
      <c r="E159" s="175"/>
      <c r="F159" s="175"/>
      <c r="G159" s="176"/>
      <c r="H159" s="20">
        <v>71</v>
      </c>
      <c r="I159" s="31">
        <v>22337</v>
      </c>
      <c r="J159" s="31">
        <v>453</v>
      </c>
      <c r="K159" s="31">
        <v>40</v>
      </c>
      <c r="L159" s="31">
        <v>0</v>
      </c>
      <c r="M159" s="31">
        <v>40</v>
      </c>
      <c r="N159" s="31">
        <v>0</v>
      </c>
      <c r="O159" s="31">
        <v>326</v>
      </c>
      <c r="P159" s="31">
        <v>318</v>
      </c>
      <c r="Q159" s="31">
        <v>0</v>
      </c>
      <c r="R159" s="31">
        <v>8</v>
      </c>
      <c r="S159" s="31">
        <v>0</v>
      </c>
      <c r="T159" s="31">
        <v>0</v>
      </c>
      <c r="U159" s="31">
        <v>15</v>
      </c>
      <c r="V159" s="31">
        <v>4</v>
      </c>
      <c r="W159" s="31">
        <v>2</v>
      </c>
      <c r="X159" s="31">
        <v>0</v>
      </c>
      <c r="Y159" s="31">
        <v>5</v>
      </c>
      <c r="Z159" s="31">
        <v>5</v>
      </c>
      <c r="AA159" s="31">
        <v>0</v>
      </c>
      <c r="AB159" s="31">
        <v>21971</v>
      </c>
    </row>
    <row r="160" spans="1:28" ht="19.5" customHeight="1" x14ac:dyDescent="0.2">
      <c r="A160" s="135" t="s">
        <v>115</v>
      </c>
      <c r="B160" s="136"/>
      <c r="C160" s="136"/>
      <c r="D160" s="136"/>
      <c r="E160" s="136"/>
      <c r="F160" s="136"/>
      <c r="G160" s="137"/>
      <c r="H160" s="38">
        <v>72</v>
      </c>
      <c r="I160" s="31">
        <f t="shared" ref="I160:AB160" si="1">SUM(I140:I159,I88:I138)</f>
        <v>1308633</v>
      </c>
      <c r="J160" s="31">
        <f t="shared" si="1"/>
        <v>398563</v>
      </c>
      <c r="K160" s="31">
        <f t="shared" si="1"/>
        <v>9285</v>
      </c>
      <c r="L160" s="31">
        <f t="shared" si="1"/>
        <v>34</v>
      </c>
      <c r="M160" s="31">
        <f t="shared" si="1"/>
        <v>8833</v>
      </c>
      <c r="N160" s="31">
        <f t="shared" si="1"/>
        <v>52</v>
      </c>
      <c r="O160" s="31">
        <f t="shared" si="1"/>
        <v>323360</v>
      </c>
      <c r="P160" s="31">
        <f t="shared" si="1"/>
        <v>312446</v>
      </c>
      <c r="Q160" s="31">
        <f t="shared" si="1"/>
        <v>8724</v>
      </c>
      <c r="R160" s="31">
        <f t="shared" si="1"/>
        <v>1803</v>
      </c>
      <c r="S160" s="31">
        <f t="shared" si="1"/>
        <v>387</v>
      </c>
      <c r="T160" s="31">
        <f t="shared" si="1"/>
        <v>8</v>
      </c>
      <c r="U160" s="31">
        <f t="shared" si="1"/>
        <v>60822</v>
      </c>
      <c r="V160" s="31">
        <f t="shared" si="1"/>
        <v>27400</v>
      </c>
      <c r="W160" s="31">
        <f t="shared" si="1"/>
        <v>9904</v>
      </c>
      <c r="X160" s="31">
        <f t="shared" si="1"/>
        <v>3861</v>
      </c>
      <c r="Y160" s="31">
        <f t="shared" si="1"/>
        <v>261054</v>
      </c>
      <c r="Z160" s="31">
        <f t="shared" si="1"/>
        <v>259341</v>
      </c>
      <c r="AA160" s="31">
        <f t="shared" si="1"/>
        <v>0</v>
      </c>
      <c r="AB160" s="31">
        <f t="shared" si="1"/>
        <v>974267</v>
      </c>
    </row>
    <row r="161" spans="1:28" ht="19.5" customHeight="1" x14ac:dyDescent="0.25">
      <c r="A161" s="276" t="s">
        <v>140</v>
      </c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  <c r="AA161" s="276"/>
      <c r="AB161" s="276"/>
    </row>
    <row r="162" spans="1:28" ht="15" customHeight="1" x14ac:dyDescent="0.25">
      <c r="A162" s="14" t="s">
        <v>141</v>
      </c>
    </row>
    <row r="163" spans="1:28" ht="30" customHeight="1" x14ac:dyDescent="0.2">
      <c r="A163" s="178"/>
      <c r="B163" s="179"/>
      <c r="C163" s="179"/>
      <c r="D163" s="179"/>
      <c r="E163" s="179"/>
      <c r="F163" s="179"/>
      <c r="G163" s="180"/>
      <c r="H163" s="187" t="s">
        <v>15</v>
      </c>
      <c r="I163" s="168" t="s">
        <v>1148</v>
      </c>
      <c r="J163" s="168" t="s">
        <v>16</v>
      </c>
      <c r="K163" s="168" t="s">
        <v>17</v>
      </c>
      <c r="L163" s="171" t="s">
        <v>18</v>
      </c>
      <c r="M163" s="172"/>
      <c r="N163" s="173"/>
      <c r="O163" s="168" t="s">
        <v>19</v>
      </c>
      <c r="P163" s="171" t="s">
        <v>20</v>
      </c>
      <c r="Q163" s="172"/>
      <c r="R163" s="172"/>
      <c r="S163" s="173"/>
      <c r="T163" s="168" t="s">
        <v>21</v>
      </c>
      <c r="U163" s="171" t="s">
        <v>22</v>
      </c>
      <c r="V163" s="172"/>
      <c r="W163" s="172"/>
      <c r="X163" s="173"/>
      <c r="Y163" s="171" t="s">
        <v>23</v>
      </c>
      <c r="Z163" s="172"/>
      <c r="AA163" s="173"/>
      <c r="AB163" s="168" t="s">
        <v>24</v>
      </c>
    </row>
    <row r="164" spans="1:28" ht="21.75" customHeight="1" x14ac:dyDescent="0.2">
      <c r="A164" s="181"/>
      <c r="B164" s="182"/>
      <c r="C164" s="182"/>
      <c r="D164" s="182"/>
      <c r="E164" s="182"/>
      <c r="F164" s="182"/>
      <c r="G164" s="183"/>
      <c r="H164" s="188"/>
      <c r="I164" s="170"/>
      <c r="J164" s="170"/>
      <c r="K164" s="170"/>
      <c r="L164" s="168" t="s">
        <v>25</v>
      </c>
      <c r="M164" s="168" t="s">
        <v>26</v>
      </c>
      <c r="N164" s="168" t="s">
        <v>27</v>
      </c>
      <c r="O164" s="170"/>
      <c r="P164" s="168" t="s">
        <v>28</v>
      </c>
      <c r="Q164" s="168" t="s">
        <v>29</v>
      </c>
      <c r="R164" s="168" t="s">
        <v>30</v>
      </c>
      <c r="S164" s="168" t="s">
        <v>31</v>
      </c>
      <c r="T164" s="170"/>
      <c r="U164" s="171" t="s">
        <v>32</v>
      </c>
      <c r="V164" s="172"/>
      <c r="W164" s="172"/>
      <c r="X164" s="173"/>
      <c r="Y164" s="168" t="s">
        <v>33</v>
      </c>
      <c r="Z164" s="171" t="s">
        <v>34</v>
      </c>
      <c r="AA164" s="173"/>
      <c r="AB164" s="170"/>
    </row>
    <row r="165" spans="1:28" ht="81" customHeight="1" x14ac:dyDescent="0.2">
      <c r="A165" s="184"/>
      <c r="B165" s="185"/>
      <c r="C165" s="185"/>
      <c r="D165" s="185"/>
      <c r="E165" s="185"/>
      <c r="F165" s="185"/>
      <c r="G165" s="186"/>
      <c r="H165" s="18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9" t="s">
        <v>35</v>
      </c>
      <c r="V165" s="16" t="s">
        <v>36</v>
      </c>
      <c r="W165" s="16" t="s">
        <v>37</v>
      </c>
      <c r="X165" s="16" t="s">
        <v>38</v>
      </c>
      <c r="Y165" s="169"/>
      <c r="Z165" s="18" t="s">
        <v>39</v>
      </c>
      <c r="AA165" s="17" t="s">
        <v>40</v>
      </c>
      <c r="AB165" s="169"/>
    </row>
    <row r="166" spans="1:28" ht="14.25" customHeight="1" x14ac:dyDescent="0.2">
      <c r="A166" s="150" t="s">
        <v>41</v>
      </c>
      <c r="B166" s="151"/>
      <c r="C166" s="151"/>
      <c r="D166" s="151"/>
      <c r="E166" s="151"/>
      <c r="F166" s="151"/>
      <c r="G166" s="152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73" t="s">
        <v>142</v>
      </c>
      <c r="B167" s="274"/>
      <c r="C167" s="274"/>
      <c r="D167" s="274"/>
      <c r="E167" s="274"/>
      <c r="F167" s="274"/>
      <c r="G167" s="275"/>
      <c r="H167" s="23">
        <v>1</v>
      </c>
      <c r="I167" s="24">
        <v>47546</v>
      </c>
      <c r="J167" s="24">
        <v>25187</v>
      </c>
      <c r="K167" s="24">
        <v>123</v>
      </c>
      <c r="L167" s="24">
        <v>2</v>
      </c>
      <c r="M167" s="24">
        <v>109</v>
      </c>
      <c r="N167" s="24">
        <v>0</v>
      </c>
      <c r="O167" s="24">
        <v>23817</v>
      </c>
      <c r="P167" s="24">
        <v>23530</v>
      </c>
      <c r="Q167" s="24">
        <v>87</v>
      </c>
      <c r="R167" s="24">
        <v>143</v>
      </c>
      <c r="S167" s="24">
        <v>57</v>
      </c>
      <c r="T167" s="24">
        <v>38</v>
      </c>
      <c r="U167" s="24">
        <v>3795</v>
      </c>
      <c r="V167" s="24">
        <v>387</v>
      </c>
      <c r="W167" s="24">
        <v>1348</v>
      </c>
      <c r="X167" s="24">
        <v>205</v>
      </c>
      <c r="Y167" s="25">
        <v>18003</v>
      </c>
      <c r="Z167" s="25">
        <v>17968</v>
      </c>
      <c r="AA167" s="25">
        <v>0</v>
      </c>
      <c r="AB167" s="24">
        <v>23533</v>
      </c>
    </row>
    <row r="168" spans="1:28" ht="20.25" customHeight="1" x14ac:dyDescent="0.2">
      <c r="A168" s="144" t="s">
        <v>44</v>
      </c>
      <c r="B168" s="154" t="s">
        <v>50</v>
      </c>
      <c r="C168" s="154"/>
      <c r="D168" s="154"/>
      <c r="E168" s="154"/>
      <c r="F168" s="154"/>
      <c r="G168" s="155"/>
      <c r="H168" s="23">
        <v>2</v>
      </c>
      <c r="I168" s="29">
        <v>6</v>
      </c>
      <c r="J168" s="29">
        <v>4</v>
      </c>
      <c r="K168" s="29">
        <v>0</v>
      </c>
      <c r="L168" s="29">
        <v>0</v>
      </c>
      <c r="M168" s="29">
        <v>0</v>
      </c>
      <c r="N168" s="29">
        <v>0</v>
      </c>
      <c r="O168" s="29">
        <v>4</v>
      </c>
      <c r="P168" s="29">
        <v>4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2</v>
      </c>
    </row>
    <row r="169" spans="1:28" ht="19.5" customHeight="1" x14ac:dyDescent="0.2">
      <c r="A169" s="145"/>
      <c r="B169" s="268" t="s">
        <v>54</v>
      </c>
      <c r="C169" s="153" t="s">
        <v>55</v>
      </c>
      <c r="D169" s="154"/>
      <c r="E169" s="154"/>
      <c r="F169" s="154"/>
      <c r="G169" s="155"/>
      <c r="H169" s="23">
        <v>3</v>
      </c>
      <c r="I169" s="24">
        <v>34885</v>
      </c>
      <c r="J169" s="24">
        <v>17493</v>
      </c>
      <c r="K169" s="24">
        <v>112</v>
      </c>
      <c r="L169" s="24">
        <v>1</v>
      </c>
      <c r="M169" s="24">
        <v>102</v>
      </c>
      <c r="N169" s="24">
        <v>0</v>
      </c>
      <c r="O169" s="24">
        <v>16530</v>
      </c>
      <c r="P169" s="24">
        <v>16333</v>
      </c>
      <c r="Q169" s="24">
        <v>55</v>
      </c>
      <c r="R169" s="24">
        <v>96</v>
      </c>
      <c r="S169" s="24">
        <v>46</v>
      </c>
      <c r="T169" s="24">
        <v>32</v>
      </c>
      <c r="U169" s="24">
        <v>2812</v>
      </c>
      <c r="V169" s="24">
        <v>311</v>
      </c>
      <c r="W169" s="24">
        <v>658</v>
      </c>
      <c r="X169" s="24">
        <v>158</v>
      </c>
      <c r="Y169" s="24">
        <v>14110</v>
      </c>
      <c r="Z169" s="24">
        <v>14082</v>
      </c>
      <c r="AA169" s="24">
        <v>0</v>
      </c>
      <c r="AB169" s="24">
        <v>18183</v>
      </c>
    </row>
    <row r="170" spans="1:28" ht="20.25" customHeight="1" x14ac:dyDescent="0.2">
      <c r="A170" s="145"/>
      <c r="B170" s="270"/>
      <c r="C170" s="30" t="s">
        <v>32</v>
      </c>
      <c r="D170" s="165" t="s">
        <v>56</v>
      </c>
      <c r="E170" s="166"/>
      <c r="F170" s="166"/>
      <c r="G170" s="167"/>
      <c r="H170" s="23">
        <v>4</v>
      </c>
      <c r="I170" s="24">
        <v>12193</v>
      </c>
      <c r="J170" s="24">
        <v>5459</v>
      </c>
      <c r="K170" s="24">
        <v>18</v>
      </c>
      <c r="L170" s="24">
        <v>0</v>
      </c>
      <c r="M170" s="24">
        <v>18</v>
      </c>
      <c r="N170" s="24">
        <v>0</v>
      </c>
      <c r="O170" s="24">
        <v>5137</v>
      </c>
      <c r="P170" s="24">
        <v>5069</v>
      </c>
      <c r="Q170" s="24">
        <v>6</v>
      </c>
      <c r="R170" s="24">
        <v>44</v>
      </c>
      <c r="S170" s="24">
        <v>18</v>
      </c>
      <c r="T170" s="24">
        <v>21</v>
      </c>
      <c r="U170" s="24">
        <v>1018</v>
      </c>
      <c r="V170" s="24">
        <v>116</v>
      </c>
      <c r="W170" s="24">
        <v>182</v>
      </c>
      <c r="X170" s="24">
        <v>59</v>
      </c>
      <c r="Y170" s="24">
        <v>6128</v>
      </c>
      <c r="Z170" s="24">
        <v>6115</v>
      </c>
      <c r="AA170" s="24">
        <v>0</v>
      </c>
      <c r="AB170" s="24">
        <v>7004</v>
      </c>
    </row>
    <row r="171" spans="1:28" ht="20.25" customHeight="1" x14ac:dyDescent="0.2">
      <c r="A171" s="145"/>
      <c r="B171" s="270"/>
      <c r="C171" s="153" t="s">
        <v>57</v>
      </c>
      <c r="D171" s="154"/>
      <c r="E171" s="154"/>
      <c r="F171" s="154"/>
      <c r="G171" s="155"/>
      <c r="H171" s="23">
        <v>5</v>
      </c>
      <c r="I171" s="24">
        <v>11796</v>
      </c>
      <c r="J171" s="24">
        <v>7250</v>
      </c>
      <c r="K171" s="24">
        <v>10</v>
      </c>
      <c r="L171" s="24">
        <v>1</v>
      </c>
      <c r="M171" s="24">
        <v>6</v>
      </c>
      <c r="N171" s="24">
        <v>0</v>
      </c>
      <c r="O171" s="24">
        <v>6850</v>
      </c>
      <c r="P171" s="24">
        <v>6765</v>
      </c>
      <c r="Q171" s="24">
        <v>30</v>
      </c>
      <c r="R171" s="24">
        <v>44</v>
      </c>
      <c r="S171" s="24">
        <v>11</v>
      </c>
      <c r="T171" s="24">
        <v>6</v>
      </c>
      <c r="U171" s="24">
        <v>939</v>
      </c>
      <c r="V171" s="24">
        <v>73</v>
      </c>
      <c r="W171" s="24">
        <v>686</v>
      </c>
      <c r="X171" s="24">
        <v>47</v>
      </c>
      <c r="Y171" s="24">
        <v>3572</v>
      </c>
      <c r="Z171" s="24">
        <v>3566</v>
      </c>
      <c r="AA171" s="24">
        <v>0</v>
      </c>
      <c r="AB171" s="24">
        <v>4924</v>
      </c>
    </row>
    <row r="172" spans="1:28" ht="20.25" customHeight="1" x14ac:dyDescent="0.2">
      <c r="A172" s="145"/>
      <c r="B172" s="270"/>
      <c r="C172" s="153" t="s">
        <v>58</v>
      </c>
      <c r="D172" s="154"/>
      <c r="E172" s="154"/>
      <c r="F172" s="154"/>
      <c r="G172" s="155"/>
      <c r="H172" s="23">
        <v>6</v>
      </c>
      <c r="I172" s="24">
        <v>604</v>
      </c>
      <c r="J172" s="24">
        <v>292</v>
      </c>
      <c r="K172" s="24">
        <v>1</v>
      </c>
      <c r="L172" s="24">
        <v>0</v>
      </c>
      <c r="M172" s="24">
        <v>1</v>
      </c>
      <c r="N172" s="24">
        <v>0</v>
      </c>
      <c r="O172" s="24">
        <v>286</v>
      </c>
      <c r="P172" s="24">
        <v>284</v>
      </c>
      <c r="Q172" s="24">
        <v>2</v>
      </c>
      <c r="R172" s="24">
        <v>0</v>
      </c>
      <c r="S172" s="24">
        <v>0</v>
      </c>
      <c r="T172" s="24">
        <v>0</v>
      </c>
      <c r="U172" s="24">
        <v>19</v>
      </c>
      <c r="V172" s="24">
        <v>2</v>
      </c>
      <c r="W172" s="24">
        <v>4</v>
      </c>
      <c r="X172" s="24">
        <v>0</v>
      </c>
      <c r="Y172" s="24">
        <v>231</v>
      </c>
      <c r="Z172" s="24">
        <v>231</v>
      </c>
      <c r="AA172" s="24">
        <v>0</v>
      </c>
      <c r="AB172" s="24">
        <v>317</v>
      </c>
    </row>
    <row r="173" spans="1:28" ht="27.2" customHeight="1" x14ac:dyDescent="0.2">
      <c r="A173" s="145"/>
      <c r="B173" s="270"/>
      <c r="C173" s="153" t="s">
        <v>59</v>
      </c>
      <c r="D173" s="154"/>
      <c r="E173" s="154"/>
      <c r="F173" s="154"/>
      <c r="G173" s="155"/>
      <c r="H173" s="23">
        <v>7</v>
      </c>
      <c r="I173" s="24">
        <v>5837</v>
      </c>
      <c r="J173" s="24">
        <v>4412</v>
      </c>
      <c r="K173" s="24">
        <v>14</v>
      </c>
      <c r="L173" s="24">
        <v>0</v>
      </c>
      <c r="M173" s="24">
        <v>14</v>
      </c>
      <c r="N173" s="24">
        <v>0</v>
      </c>
      <c r="O173" s="24">
        <v>4353</v>
      </c>
      <c r="P173" s="24">
        <v>4269</v>
      </c>
      <c r="Q173" s="24">
        <v>9</v>
      </c>
      <c r="R173" s="24">
        <v>48</v>
      </c>
      <c r="S173" s="24">
        <v>27</v>
      </c>
      <c r="T173" s="24">
        <v>0</v>
      </c>
      <c r="U173" s="24">
        <v>657</v>
      </c>
      <c r="V173" s="24">
        <v>49</v>
      </c>
      <c r="W173" s="24">
        <v>230</v>
      </c>
      <c r="X173" s="24">
        <v>89</v>
      </c>
      <c r="Y173" s="24">
        <v>2737</v>
      </c>
      <c r="Z173" s="24">
        <v>2732</v>
      </c>
      <c r="AA173" s="24">
        <v>0</v>
      </c>
      <c r="AB173" s="24">
        <v>1465</v>
      </c>
    </row>
    <row r="174" spans="1:28" ht="27.2" customHeight="1" x14ac:dyDescent="0.2">
      <c r="A174" s="145"/>
      <c r="B174" s="272"/>
      <c r="C174" s="30" t="s">
        <v>32</v>
      </c>
      <c r="D174" s="165" t="s">
        <v>60</v>
      </c>
      <c r="E174" s="166"/>
      <c r="F174" s="166"/>
      <c r="G174" s="167"/>
      <c r="H174" s="23">
        <v>8</v>
      </c>
      <c r="I174" s="24">
        <v>4685</v>
      </c>
      <c r="J174" s="24">
        <v>3546</v>
      </c>
      <c r="K174" s="24">
        <v>10</v>
      </c>
      <c r="L174" s="24">
        <v>0</v>
      </c>
      <c r="M174" s="24">
        <v>10</v>
      </c>
      <c r="N174" s="24">
        <v>0</v>
      </c>
      <c r="O174" s="24">
        <v>3502</v>
      </c>
      <c r="P174" s="24">
        <v>3436</v>
      </c>
      <c r="Q174" s="24">
        <v>8</v>
      </c>
      <c r="R174" s="24">
        <v>39</v>
      </c>
      <c r="S174" s="24">
        <v>19</v>
      </c>
      <c r="T174" s="24">
        <v>0</v>
      </c>
      <c r="U174" s="24">
        <v>528</v>
      </c>
      <c r="V174" s="24">
        <v>36</v>
      </c>
      <c r="W174" s="24">
        <v>174</v>
      </c>
      <c r="X174" s="24">
        <v>72</v>
      </c>
      <c r="Y174" s="24">
        <v>2286</v>
      </c>
      <c r="Z174" s="24">
        <v>2282</v>
      </c>
      <c r="AA174" s="24">
        <v>0</v>
      </c>
      <c r="AB174" s="24">
        <v>1169</v>
      </c>
    </row>
    <row r="175" spans="1:28" ht="27.2" customHeight="1" x14ac:dyDescent="0.2">
      <c r="A175" s="145"/>
      <c r="B175" s="154" t="s">
        <v>61</v>
      </c>
      <c r="C175" s="154"/>
      <c r="D175" s="154"/>
      <c r="E175" s="154"/>
      <c r="F175" s="154"/>
      <c r="G175" s="155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45"/>
      <c r="B176" s="154" t="s">
        <v>62</v>
      </c>
      <c r="C176" s="154"/>
      <c r="D176" s="154"/>
      <c r="E176" s="154"/>
      <c r="F176" s="154"/>
      <c r="G176" s="155"/>
      <c r="H176" s="23">
        <v>10</v>
      </c>
      <c r="I176" s="25">
        <v>2832</v>
      </c>
      <c r="J176" s="25">
        <v>2465</v>
      </c>
      <c r="K176" s="25">
        <v>5</v>
      </c>
      <c r="L176" s="25">
        <v>0</v>
      </c>
      <c r="M176" s="25">
        <v>4</v>
      </c>
      <c r="N176" s="24">
        <v>0</v>
      </c>
      <c r="O176" s="24">
        <v>2421</v>
      </c>
      <c r="P176" s="24">
        <v>2402</v>
      </c>
      <c r="Q176" s="24">
        <v>1</v>
      </c>
      <c r="R176" s="24">
        <v>17</v>
      </c>
      <c r="S176" s="24">
        <v>1</v>
      </c>
      <c r="T176" s="24">
        <v>0</v>
      </c>
      <c r="U176" s="24">
        <v>433</v>
      </c>
      <c r="V176" s="24">
        <v>3</v>
      </c>
      <c r="W176" s="24">
        <v>452</v>
      </c>
      <c r="X176" s="24">
        <v>6</v>
      </c>
      <c r="Y176" s="24">
        <v>621</v>
      </c>
      <c r="Z176" s="24">
        <v>620</v>
      </c>
      <c r="AA176" s="24">
        <v>0</v>
      </c>
      <c r="AB176" s="24">
        <v>405</v>
      </c>
    </row>
    <row r="177" spans="1:28" ht="27.2" customHeight="1" x14ac:dyDescent="0.2">
      <c r="A177" s="145"/>
      <c r="B177" s="154" t="s">
        <v>63</v>
      </c>
      <c r="C177" s="154"/>
      <c r="D177" s="154"/>
      <c r="E177" s="154"/>
      <c r="F177" s="154"/>
      <c r="G177" s="155"/>
      <c r="H177" s="23">
        <v>11</v>
      </c>
      <c r="I177" s="24">
        <v>25</v>
      </c>
      <c r="J177" s="24">
        <v>22</v>
      </c>
      <c r="K177" s="24">
        <v>0</v>
      </c>
      <c r="L177" s="24">
        <v>0</v>
      </c>
      <c r="M177" s="24">
        <v>0</v>
      </c>
      <c r="N177" s="24">
        <v>0</v>
      </c>
      <c r="O177" s="24">
        <v>21</v>
      </c>
      <c r="P177" s="24">
        <v>21</v>
      </c>
      <c r="Q177" s="24">
        <v>0</v>
      </c>
      <c r="R177" s="24">
        <v>0</v>
      </c>
      <c r="S177" s="24">
        <v>0</v>
      </c>
      <c r="T177" s="24">
        <v>0</v>
      </c>
      <c r="U177" s="24">
        <v>4</v>
      </c>
      <c r="V177" s="24">
        <v>1</v>
      </c>
      <c r="W177" s="24">
        <v>5</v>
      </c>
      <c r="X177" s="24">
        <v>0</v>
      </c>
      <c r="Y177" s="24">
        <v>5</v>
      </c>
      <c r="Z177" s="24">
        <v>5</v>
      </c>
      <c r="AA177" s="24">
        <v>0</v>
      </c>
      <c r="AB177" s="24">
        <v>4</v>
      </c>
    </row>
    <row r="178" spans="1:28" ht="27.2" customHeight="1" x14ac:dyDescent="0.2">
      <c r="A178" s="145"/>
      <c r="B178" s="267" t="s">
        <v>74</v>
      </c>
      <c r="C178" s="268"/>
      <c r="D178" s="258" t="s">
        <v>75</v>
      </c>
      <c r="E178" s="259"/>
      <c r="F178" s="259"/>
      <c r="G178" s="260"/>
      <c r="H178" s="23">
        <v>12</v>
      </c>
      <c r="I178" s="24">
        <v>53</v>
      </c>
      <c r="J178" s="24">
        <v>33</v>
      </c>
      <c r="K178" s="24">
        <v>0</v>
      </c>
      <c r="L178" s="24">
        <v>0</v>
      </c>
      <c r="M178" s="24">
        <v>0</v>
      </c>
      <c r="N178" s="24">
        <v>0</v>
      </c>
      <c r="O178" s="24">
        <v>33</v>
      </c>
      <c r="P178" s="24">
        <v>33</v>
      </c>
      <c r="Q178" s="24">
        <v>0</v>
      </c>
      <c r="R178" s="24">
        <v>0</v>
      </c>
      <c r="S178" s="24">
        <v>0</v>
      </c>
      <c r="T178" s="24">
        <v>0</v>
      </c>
      <c r="U178" s="24">
        <v>9</v>
      </c>
      <c r="V178" s="24">
        <v>0</v>
      </c>
      <c r="W178" s="24">
        <v>6</v>
      </c>
      <c r="X178" s="24">
        <v>0</v>
      </c>
      <c r="Y178" s="24">
        <v>6</v>
      </c>
      <c r="Z178" s="24">
        <v>6</v>
      </c>
      <c r="AA178" s="24">
        <v>0</v>
      </c>
      <c r="AB178" s="24">
        <v>20</v>
      </c>
    </row>
    <row r="179" spans="1:28" ht="27.2" customHeight="1" x14ac:dyDescent="0.2">
      <c r="A179" s="145"/>
      <c r="B179" s="269"/>
      <c r="C179" s="270"/>
      <c r="D179" s="165" t="s">
        <v>76</v>
      </c>
      <c r="E179" s="166"/>
      <c r="F179" s="166"/>
      <c r="G179" s="167"/>
      <c r="H179" s="23">
        <v>13</v>
      </c>
      <c r="I179" s="24">
        <v>100</v>
      </c>
      <c r="J179" s="24">
        <v>100</v>
      </c>
      <c r="K179" s="24">
        <v>0</v>
      </c>
      <c r="L179" s="24">
        <v>0</v>
      </c>
      <c r="M179" s="24">
        <v>0</v>
      </c>
      <c r="N179" s="24">
        <v>0</v>
      </c>
      <c r="O179" s="24">
        <v>100</v>
      </c>
      <c r="P179" s="24">
        <v>100</v>
      </c>
      <c r="Q179" s="24">
        <v>0</v>
      </c>
      <c r="R179" s="24">
        <v>0</v>
      </c>
      <c r="S179" s="24">
        <v>0</v>
      </c>
      <c r="T179" s="24">
        <v>0</v>
      </c>
      <c r="U179" s="24">
        <v>11</v>
      </c>
      <c r="V179" s="24">
        <v>2</v>
      </c>
      <c r="W179" s="24">
        <v>6</v>
      </c>
      <c r="X179" s="24">
        <v>1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45"/>
      <c r="B180" s="269"/>
      <c r="C180" s="270"/>
      <c r="D180" s="165" t="s">
        <v>77</v>
      </c>
      <c r="E180" s="166"/>
      <c r="F180" s="166"/>
      <c r="G180" s="167"/>
      <c r="H180" s="23">
        <v>14</v>
      </c>
      <c r="I180" s="24">
        <v>1261</v>
      </c>
      <c r="J180" s="24">
        <v>735</v>
      </c>
      <c r="K180" s="24">
        <v>1</v>
      </c>
      <c r="L180" s="24">
        <v>0</v>
      </c>
      <c r="M180" s="24">
        <v>1</v>
      </c>
      <c r="N180" s="24">
        <v>0</v>
      </c>
      <c r="O180" s="24">
        <v>754</v>
      </c>
      <c r="P180" s="24">
        <v>718</v>
      </c>
      <c r="Q180" s="24">
        <v>2</v>
      </c>
      <c r="R180" s="24">
        <v>2</v>
      </c>
      <c r="S180" s="24">
        <v>32</v>
      </c>
      <c r="T180" s="24">
        <v>0</v>
      </c>
      <c r="U180" s="24">
        <v>75</v>
      </c>
      <c r="V180" s="24">
        <v>7</v>
      </c>
      <c r="W180" s="24">
        <v>60</v>
      </c>
      <c r="X180" s="24">
        <v>69</v>
      </c>
      <c r="Y180" s="24">
        <v>561</v>
      </c>
      <c r="Z180" s="24">
        <v>559</v>
      </c>
      <c r="AA180" s="24">
        <v>0</v>
      </c>
      <c r="AB180" s="24">
        <v>504</v>
      </c>
    </row>
    <row r="181" spans="1:28" ht="27.2" customHeight="1" x14ac:dyDescent="0.2">
      <c r="A181" s="145"/>
      <c r="B181" s="269"/>
      <c r="C181" s="270"/>
      <c r="D181" s="165" t="s">
        <v>78</v>
      </c>
      <c r="E181" s="166"/>
      <c r="F181" s="166"/>
      <c r="G181" s="167"/>
      <c r="H181" s="23">
        <v>15</v>
      </c>
      <c r="I181" s="24">
        <v>10204</v>
      </c>
      <c r="J181" s="24">
        <v>5080</v>
      </c>
      <c r="K181" s="24">
        <v>9</v>
      </c>
      <c r="L181" s="24">
        <v>0</v>
      </c>
      <c r="M181" s="24">
        <v>8</v>
      </c>
      <c r="N181" s="24">
        <v>0</v>
      </c>
      <c r="O181" s="24">
        <v>4995</v>
      </c>
      <c r="P181" s="24">
        <v>4909</v>
      </c>
      <c r="Q181" s="24">
        <v>7</v>
      </c>
      <c r="R181" s="24">
        <v>63</v>
      </c>
      <c r="S181" s="24">
        <v>16</v>
      </c>
      <c r="T181" s="24">
        <v>0</v>
      </c>
      <c r="U181" s="24">
        <v>911</v>
      </c>
      <c r="V181" s="24">
        <v>20</v>
      </c>
      <c r="W181" s="24">
        <v>678</v>
      </c>
      <c r="X181" s="24">
        <v>35</v>
      </c>
      <c r="Y181" s="24">
        <v>3019</v>
      </c>
      <c r="Z181" s="24">
        <v>3015</v>
      </c>
      <c r="AA181" s="24">
        <v>0</v>
      </c>
      <c r="AB181" s="24">
        <v>5196</v>
      </c>
    </row>
    <row r="182" spans="1:28" ht="27.2" customHeight="1" x14ac:dyDescent="0.2">
      <c r="A182" s="145"/>
      <c r="B182" s="269"/>
      <c r="C182" s="270"/>
      <c r="D182" s="165" t="s">
        <v>79</v>
      </c>
      <c r="E182" s="166"/>
      <c r="F182" s="166"/>
      <c r="G182" s="167"/>
      <c r="H182" s="23">
        <v>16</v>
      </c>
      <c r="I182" s="24">
        <v>4050</v>
      </c>
      <c r="J182" s="24">
        <v>4034</v>
      </c>
      <c r="K182" s="24">
        <v>0</v>
      </c>
      <c r="L182" s="24">
        <v>0</v>
      </c>
      <c r="M182" s="24">
        <v>0</v>
      </c>
      <c r="N182" s="24">
        <v>0</v>
      </c>
      <c r="O182" s="24">
        <v>4041</v>
      </c>
      <c r="P182" s="24">
        <v>3978</v>
      </c>
      <c r="Q182" s="24">
        <v>30</v>
      </c>
      <c r="R182" s="24">
        <v>15</v>
      </c>
      <c r="S182" s="24">
        <v>18</v>
      </c>
      <c r="T182" s="24">
        <v>0</v>
      </c>
      <c r="U182" s="24">
        <v>281</v>
      </c>
      <c r="V182" s="24">
        <v>179</v>
      </c>
      <c r="W182" s="24">
        <v>124</v>
      </c>
      <c r="X182" s="24">
        <v>36</v>
      </c>
      <c r="Y182" s="24">
        <v>0</v>
      </c>
      <c r="Z182" s="24">
        <v>0</v>
      </c>
      <c r="AA182" s="24">
        <v>0</v>
      </c>
      <c r="AB182" s="24">
        <v>9</v>
      </c>
    </row>
    <row r="183" spans="1:28" ht="27.2" customHeight="1" x14ac:dyDescent="0.2">
      <c r="A183" s="145"/>
      <c r="B183" s="269"/>
      <c r="C183" s="270"/>
      <c r="D183" s="165" t="s">
        <v>80</v>
      </c>
      <c r="E183" s="166"/>
      <c r="F183" s="166"/>
      <c r="G183" s="167"/>
      <c r="H183" s="23">
        <v>17</v>
      </c>
      <c r="I183" s="24">
        <v>108</v>
      </c>
      <c r="J183" s="24">
        <v>93</v>
      </c>
      <c r="K183" s="24">
        <v>2</v>
      </c>
      <c r="L183" s="24">
        <v>0</v>
      </c>
      <c r="M183" s="24">
        <v>1</v>
      </c>
      <c r="N183" s="24">
        <v>0</v>
      </c>
      <c r="O183" s="24">
        <v>90</v>
      </c>
      <c r="P183" s="24">
        <v>88</v>
      </c>
      <c r="Q183" s="24">
        <v>0</v>
      </c>
      <c r="R183" s="24">
        <v>1</v>
      </c>
      <c r="S183" s="24">
        <v>1</v>
      </c>
      <c r="T183" s="24">
        <v>0</v>
      </c>
      <c r="U183" s="24">
        <v>26</v>
      </c>
      <c r="V183" s="24">
        <v>1</v>
      </c>
      <c r="W183" s="24">
        <v>17</v>
      </c>
      <c r="X183" s="24">
        <v>2</v>
      </c>
      <c r="Y183" s="24">
        <v>11</v>
      </c>
      <c r="Z183" s="24">
        <v>11</v>
      </c>
      <c r="AA183" s="24">
        <v>0</v>
      </c>
      <c r="AB183" s="24">
        <v>16</v>
      </c>
    </row>
    <row r="184" spans="1:28" ht="27.2" customHeight="1" x14ac:dyDescent="0.2">
      <c r="A184" s="145"/>
      <c r="B184" s="269"/>
      <c r="C184" s="270"/>
      <c r="D184" s="165" t="s">
        <v>81</v>
      </c>
      <c r="E184" s="166"/>
      <c r="F184" s="166"/>
      <c r="G184" s="167"/>
      <c r="H184" s="23">
        <v>18</v>
      </c>
      <c r="I184" s="24">
        <v>204</v>
      </c>
      <c r="J184" s="24">
        <v>204</v>
      </c>
      <c r="K184" s="24">
        <v>0</v>
      </c>
      <c r="L184" s="24">
        <v>0</v>
      </c>
      <c r="M184" s="24">
        <v>0</v>
      </c>
      <c r="N184" s="24">
        <v>0</v>
      </c>
      <c r="O184" s="24">
        <v>201</v>
      </c>
      <c r="P184" s="24">
        <v>194</v>
      </c>
      <c r="Q184" s="24">
        <v>0</v>
      </c>
      <c r="R184" s="24">
        <v>7</v>
      </c>
      <c r="S184" s="24">
        <v>0</v>
      </c>
      <c r="T184" s="24">
        <v>0</v>
      </c>
      <c r="U184" s="24">
        <v>37</v>
      </c>
      <c r="V184" s="24">
        <v>0</v>
      </c>
      <c r="W184" s="24">
        <v>20</v>
      </c>
      <c r="X184" s="24">
        <v>0</v>
      </c>
      <c r="Y184" s="24">
        <v>0</v>
      </c>
      <c r="Z184" s="24">
        <v>0</v>
      </c>
      <c r="AA184" s="24">
        <v>0</v>
      </c>
      <c r="AB184" s="24">
        <v>3</v>
      </c>
    </row>
    <row r="185" spans="1:28" ht="27.2" customHeight="1" x14ac:dyDescent="0.2">
      <c r="A185" s="145"/>
      <c r="B185" s="269"/>
      <c r="C185" s="270"/>
      <c r="D185" s="258" t="s">
        <v>143</v>
      </c>
      <c r="E185" s="259"/>
      <c r="F185" s="259"/>
      <c r="G185" s="260"/>
      <c r="H185" s="23">
        <v>19</v>
      </c>
      <c r="I185" s="24">
        <v>64</v>
      </c>
      <c r="J185" s="24">
        <v>31</v>
      </c>
      <c r="K185" s="24">
        <v>0</v>
      </c>
      <c r="L185" s="24">
        <v>0</v>
      </c>
      <c r="M185" s="24">
        <v>0</v>
      </c>
      <c r="N185" s="24">
        <v>0</v>
      </c>
      <c r="O185" s="24">
        <v>30</v>
      </c>
      <c r="P185" s="24">
        <v>29</v>
      </c>
      <c r="Q185" s="24">
        <v>0</v>
      </c>
      <c r="R185" s="24">
        <v>1</v>
      </c>
      <c r="S185" s="24">
        <v>0</v>
      </c>
      <c r="T185" s="24">
        <v>0</v>
      </c>
      <c r="U185" s="24">
        <v>10</v>
      </c>
      <c r="V185" s="24">
        <v>0</v>
      </c>
      <c r="W185" s="24">
        <v>7</v>
      </c>
      <c r="X185" s="24">
        <v>0</v>
      </c>
      <c r="Y185" s="24">
        <v>13</v>
      </c>
      <c r="Z185" s="24">
        <v>12</v>
      </c>
      <c r="AA185" s="24">
        <v>0</v>
      </c>
      <c r="AB185" s="24">
        <v>33</v>
      </c>
    </row>
    <row r="186" spans="1:28" ht="27.2" customHeight="1" x14ac:dyDescent="0.2">
      <c r="A186" s="145"/>
      <c r="B186" s="269"/>
      <c r="C186" s="270"/>
      <c r="D186" s="258" t="s">
        <v>83</v>
      </c>
      <c r="E186" s="259"/>
      <c r="F186" s="259"/>
      <c r="G186" s="260"/>
      <c r="H186" s="23">
        <v>20</v>
      </c>
      <c r="I186" s="24">
        <v>520</v>
      </c>
      <c r="J186" s="24">
        <v>519</v>
      </c>
      <c r="K186" s="24">
        <v>0</v>
      </c>
      <c r="L186" s="24">
        <v>0</v>
      </c>
      <c r="M186" s="24">
        <v>0</v>
      </c>
      <c r="N186" s="24">
        <v>0</v>
      </c>
      <c r="O186" s="24">
        <v>516</v>
      </c>
      <c r="P186" s="24">
        <v>516</v>
      </c>
      <c r="Q186" s="24">
        <v>0</v>
      </c>
      <c r="R186" s="24">
        <v>0</v>
      </c>
      <c r="S186" s="24">
        <v>0</v>
      </c>
      <c r="T186" s="24">
        <v>0</v>
      </c>
      <c r="U186" s="24">
        <v>79</v>
      </c>
      <c r="V186" s="24">
        <v>5</v>
      </c>
      <c r="W186" s="24">
        <v>30</v>
      </c>
      <c r="X186" s="24">
        <v>0</v>
      </c>
      <c r="Y186" s="24">
        <v>2</v>
      </c>
      <c r="Z186" s="24">
        <v>0</v>
      </c>
      <c r="AA186" s="24">
        <v>0</v>
      </c>
      <c r="AB186" s="24">
        <v>2</v>
      </c>
    </row>
    <row r="187" spans="1:28" ht="27.2" customHeight="1" x14ac:dyDescent="0.2">
      <c r="A187" s="145"/>
      <c r="B187" s="269"/>
      <c r="C187" s="270"/>
      <c r="D187" s="258" t="s">
        <v>84</v>
      </c>
      <c r="E187" s="259"/>
      <c r="F187" s="259"/>
      <c r="G187" s="260"/>
      <c r="H187" s="23">
        <v>21</v>
      </c>
      <c r="I187" s="24">
        <v>122</v>
      </c>
      <c r="J187" s="24">
        <v>58</v>
      </c>
      <c r="K187" s="24">
        <v>0</v>
      </c>
      <c r="L187" s="24">
        <v>0</v>
      </c>
      <c r="M187" s="24">
        <v>0</v>
      </c>
      <c r="N187" s="24">
        <v>0</v>
      </c>
      <c r="O187" s="24">
        <v>57</v>
      </c>
      <c r="P187" s="24">
        <v>57</v>
      </c>
      <c r="Q187" s="24">
        <v>0</v>
      </c>
      <c r="R187" s="24">
        <v>0</v>
      </c>
      <c r="S187" s="24">
        <v>0</v>
      </c>
      <c r="T187" s="24">
        <v>0</v>
      </c>
      <c r="U187" s="24">
        <v>11</v>
      </c>
      <c r="V187" s="24">
        <v>2</v>
      </c>
      <c r="W187" s="24">
        <v>3</v>
      </c>
      <c r="X187" s="24">
        <v>1</v>
      </c>
      <c r="Y187" s="24">
        <v>15</v>
      </c>
      <c r="Z187" s="24">
        <v>15</v>
      </c>
      <c r="AA187" s="24">
        <v>0</v>
      </c>
      <c r="AB187" s="24">
        <v>65</v>
      </c>
    </row>
    <row r="188" spans="1:28" ht="27.2" customHeight="1" x14ac:dyDescent="0.2">
      <c r="A188" s="145"/>
      <c r="B188" s="271"/>
      <c r="C188" s="272"/>
      <c r="D188" s="165" t="s">
        <v>85</v>
      </c>
      <c r="E188" s="166"/>
      <c r="F188" s="166"/>
      <c r="G188" s="167"/>
      <c r="H188" s="23">
        <v>22</v>
      </c>
      <c r="I188" s="24">
        <v>247</v>
      </c>
      <c r="J188" s="24">
        <v>246</v>
      </c>
      <c r="K188" s="24">
        <v>0</v>
      </c>
      <c r="L188" s="24">
        <v>0</v>
      </c>
      <c r="M188" s="24">
        <v>0</v>
      </c>
      <c r="N188" s="24">
        <v>0</v>
      </c>
      <c r="O188" s="24">
        <v>247</v>
      </c>
      <c r="P188" s="24">
        <v>246</v>
      </c>
      <c r="Q188" s="24">
        <v>0</v>
      </c>
      <c r="R188" s="24">
        <v>0</v>
      </c>
      <c r="S188" s="24">
        <v>1</v>
      </c>
      <c r="T188" s="24">
        <v>0</v>
      </c>
      <c r="U188" s="24">
        <v>44</v>
      </c>
      <c r="V188" s="24">
        <v>4</v>
      </c>
      <c r="W188" s="24">
        <v>24</v>
      </c>
      <c r="X188" s="24">
        <v>3</v>
      </c>
      <c r="Y188" s="24">
        <v>0</v>
      </c>
      <c r="Z188" s="24">
        <v>0</v>
      </c>
      <c r="AA188" s="24">
        <v>0</v>
      </c>
      <c r="AB188" s="24">
        <v>0</v>
      </c>
    </row>
    <row r="189" spans="1:28" ht="21.75" customHeight="1" x14ac:dyDescent="0.2">
      <c r="A189" s="145"/>
      <c r="B189" s="261" t="s">
        <v>86</v>
      </c>
      <c r="C189" s="262"/>
      <c r="D189" s="138" t="s">
        <v>87</v>
      </c>
      <c r="E189" s="139"/>
      <c r="F189" s="139"/>
      <c r="G189" s="140"/>
      <c r="H189" s="23">
        <v>23</v>
      </c>
      <c r="I189" s="24">
        <v>1002</v>
      </c>
      <c r="J189" s="24">
        <v>276</v>
      </c>
      <c r="K189" s="24">
        <v>0</v>
      </c>
      <c r="L189" s="24">
        <v>0</v>
      </c>
      <c r="M189" s="24">
        <v>0</v>
      </c>
      <c r="N189" s="24">
        <v>0</v>
      </c>
      <c r="O189" s="24">
        <v>258</v>
      </c>
      <c r="P189" s="24">
        <v>250</v>
      </c>
      <c r="Q189" s="24">
        <v>2</v>
      </c>
      <c r="R189" s="24">
        <v>4</v>
      </c>
      <c r="S189" s="24">
        <v>2</v>
      </c>
      <c r="T189" s="24">
        <v>9</v>
      </c>
      <c r="U189" s="24">
        <v>53</v>
      </c>
      <c r="V189" s="24">
        <v>12</v>
      </c>
      <c r="W189" s="24">
        <v>12</v>
      </c>
      <c r="X189" s="24">
        <v>5</v>
      </c>
      <c r="Y189" s="24">
        <v>359</v>
      </c>
      <c r="Z189" s="24">
        <v>358</v>
      </c>
      <c r="AA189" s="24">
        <v>0</v>
      </c>
      <c r="AB189" s="24">
        <v>734</v>
      </c>
    </row>
    <row r="190" spans="1:28" ht="27" customHeight="1" x14ac:dyDescent="0.2">
      <c r="A190" s="145"/>
      <c r="B190" s="263"/>
      <c r="C190" s="264"/>
      <c r="D190" s="36" t="s">
        <v>34</v>
      </c>
      <c r="E190" s="138" t="s">
        <v>88</v>
      </c>
      <c r="F190" s="139"/>
      <c r="G190" s="140"/>
      <c r="H190" s="23">
        <v>24</v>
      </c>
      <c r="I190" s="24">
        <v>21</v>
      </c>
      <c r="J190" s="24">
        <v>12</v>
      </c>
      <c r="K190" s="24">
        <v>0</v>
      </c>
      <c r="L190" s="24">
        <v>0</v>
      </c>
      <c r="M190" s="24">
        <v>0</v>
      </c>
      <c r="N190" s="24">
        <v>0</v>
      </c>
      <c r="O190" s="24">
        <v>12</v>
      </c>
      <c r="P190" s="24">
        <v>12</v>
      </c>
      <c r="Q190" s="24">
        <v>0</v>
      </c>
      <c r="R190" s="24">
        <v>0</v>
      </c>
      <c r="S190" s="24">
        <v>0</v>
      </c>
      <c r="T190" s="24">
        <v>0</v>
      </c>
      <c r="U190" s="24">
        <v>1</v>
      </c>
      <c r="V190" s="24">
        <v>0</v>
      </c>
      <c r="W190" s="24">
        <v>0</v>
      </c>
      <c r="X190" s="24">
        <v>0</v>
      </c>
      <c r="Y190" s="24">
        <v>2</v>
      </c>
      <c r="Z190" s="24">
        <v>2</v>
      </c>
      <c r="AA190" s="24">
        <v>0</v>
      </c>
      <c r="AB190" s="24">
        <v>9</v>
      </c>
    </row>
    <row r="191" spans="1:28" ht="21.75" customHeight="1" x14ac:dyDescent="0.2">
      <c r="A191" s="145"/>
      <c r="B191" s="263"/>
      <c r="C191" s="264"/>
      <c r="D191" s="138" t="s">
        <v>89</v>
      </c>
      <c r="E191" s="139"/>
      <c r="F191" s="139"/>
      <c r="G191" s="140"/>
      <c r="H191" s="23">
        <v>25</v>
      </c>
      <c r="I191" s="24">
        <v>8758</v>
      </c>
      <c r="J191" s="24">
        <v>6957</v>
      </c>
      <c r="K191" s="24">
        <v>62</v>
      </c>
      <c r="L191" s="24">
        <v>0</v>
      </c>
      <c r="M191" s="24">
        <v>58</v>
      </c>
      <c r="N191" s="24">
        <v>0</v>
      </c>
      <c r="O191" s="24">
        <v>6288</v>
      </c>
      <c r="P191" s="24">
        <v>6240</v>
      </c>
      <c r="Q191" s="24">
        <v>21</v>
      </c>
      <c r="R191" s="24">
        <v>22</v>
      </c>
      <c r="S191" s="24">
        <v>5</v>
      </c>
      <c r="T191" s="24">
        <v>13</v>
      </c>
      <c r="U191" s="24">
        <v>850</v>
      </c>
      <c r="V191" s="24">
        <v>147</v>
      </c>
      <c r="W191" s="24">
        <v>61</v>
      </c>
      <c r="X191" s="24">
        <v>27</v>
      </c>
      <c r="Y191" s="24">
        <v>2457</v>
      </c>
      <c r="Z191" s="24">
        <v>2452</v>
      </c>
      <c r="AA191" s="24">
        <v>0</v>
      </c>
      <c r="AB191" s="24">
        <v>2390</v>
      </c>
    </row>
    <row r="192" spans="1:28" ht="21.75" customHeight="1" x14ac:dyDescent="0.2">
      <c r="A192" s="145"/>
      <c r="B192" s="263"/>
      <c r="C192" s="264"/>
      <c r="D192" s="138" t="s">
        <v>90</v>
      </c>
      <c r="E192" s="139"/>
      <c r="F192" s="139"/>
      <c r="G192" s="140"/>
      <c r="H192" s="23">
        <v>26</v>
      </c>
      <c r="I192" s="24">
        <v>140</v>
      </c>
      <c r="J192" s="24">
        <v>72</v>
      </c>
      <c r="K192" s="24">
        <v>2</v>
      </c>
      <c r="L192" s="24">
        <v>0</v>
      </c>
      <c r="M192" s="24">
        <v>2</v>
      </c>
      <c r="N192" s="24">
        <v>0</v>
      </c>
      <c r="O192" s="24">
        <v>55</v>
      </c>
      <c r="P192" s="24">
        <v>55</v>
      </c>
      <c r="Q192" s="24">
        <v>0</v>
      </c>
      <c r="R192" s="24">
        <v>0</v>
      </c>
      <c r="S192" s="24">
        <v>0</v>
      </c>
      <c r="T192" s="24">
        <v>0</v>
      </c>
      <c r="U192" s="24">
        <v>1</v>
      </c>
      <c r="V192" s="24">
        <v>2</v>
      </c>
      <c r="W192" s="24">
        <v>0</v>
      </c>
      <c r="X192" s="24">
        <v>0</v>
      </c>
      <c r="Y192" s="24">
        <v>12</v>
      </c>
      <c r="Z192" s="24">
        <v>12</v>
      </c>
      <c r="AA192" s="24">
        <v>0</v>
      </c>
      <c r="AB192" s="24">
        <v>83</v>
      </c>
    </row>
    <row r="193" spans="1:28" ht="27.2" customHeight="1" x14ac:dyDescent="0.2">
      <c r="A193" s="145"/>
      <c r="B193" s="263"/>
      <c r="C193" s="264"/>
      <c r="D193" s="138" t="s">
        <v>144</v>
      </c>
      <c r="E193" s="139"/>
      <c r="F193" s="139"/>
      <c r="G193" s="140"/>
      <c r="H193" s="23">
        <v>27</v>
      </c>
      <c r="I193" s="24">
        <v>17</v>
      </c>
      <c r="J193" s="24">
        <v>10</v>
      </c>
      <c r="K193" s="24">
        <v>0</v>
      </c>
      <c r="L193" s="24">
        <v>0</v>
      </c>
      <c r="M193" s="24">
        <v>0</v>
      </c>
      <c r="N193" s="24">
        <v>0</v>
      </c>
      <c r="O193" s="24">
        <v>7</v>
      </c>
      <c r="P193" s="24">
        <v>7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1</v>
      </c>
      <c r="Z193" s="24">
        <v>1</v>
      </c>
      <c r="AA193" s="24">
        <v>0</v>
      </c>
      <c r="AB193" s="24">
        <v>10</v>
      </c>
    </row>
    <row r="194" spans="1:28" ht="22.5" customHeight="1" x14ac:dyDescent="0.2">
      <c r="A194" s="145"/>
      <c r="B194" s="263"/>
      <c r="C194" s="264"/>
      <c r="D194" s="138" t="s">
        <v>92</v>
      </c>
      <c r="E194" s="139"/>
      <c r="F194" s="139"/>
      <c r="G194" s="140"/>
      <c r="H194" s="23">
        <v>28</v>
      </c>
      <c r="I194" s="24">
        <v>101</v>
      </c>
      <c r="J194" s="24">
        <v>66</v>
      </c>
      <c r="K194" s="24">
        <v>0</v>
      </c>
      <c r="L194" s="24">
        <v>0</v>
      </c>
      <c r="M194" s="24">
        <v>0</v>
      </c>
      <c r="N194" s="24">
        <v>0</v>
      </c>
      <c r="O194" s="24">
        <v>57</v>
      </c>
      <c r="P194" s="24">
        <v>57</v>
      </c>
      <c r="Q194" s="24">
        <v>0</v>
      </c>
      <c r="R194" s="24">
        <v>0</v>
      </c>
      <c r="S194" s="24">
        <v>0</v>
      </c>
      <c r="T194" s="24">
        <v>0</v>
      </c>
      <c r="U194" s="24">
        <v>1</v>
      </c>
      <c r="V194" s="24">
        <v>1</v>
      </c>
      <c r="W194" s="24">
        <v>1</v>
      </c>
      <c r="X194" s="24">
        <v>0</v>
      </c>
      <c r="Y194" s="24">
        <v>3</v>
      </c>
      <c r="Z194" s="24">
        <v>3</v>
      </c>
      <c r="AA194" s="24">
        <v>0</v>
      </c>
      <c r="AB194" s="24">
        <v>44</v>
      </c>
    </row>
    <row r="195" spans="1:28" ht="24.75" customHeight="1" x14ac:dyDescent="0.2">
      <c r="A195" s="145"/>
      <c r="B195" s="265"/>
      <c r="C195" s="266"/>
      <c r="D195" s="138" t="s">
        <v>93</v>
      </c>
      <c r="E195" s="139"/>
      <c r="F195" s="139"/>
      <c r="G195" s="140"/>
      <c r="H195" s="23">
        <v>29</v>
      </c>
      <c r="I195" s="24">
        <v>7</v>
      </c>
      <c r="J195" s="24">
        <v>1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7</v>
      </c>
    </row>
    <row r="196" spans="1:28" ht="24.75" customHeight="1" x14ac:dyDescent="0.2">
      <c r="A196" s="145"/>
      <c r="B196" s="136" t="s">
        <v>145</v>
      </c>
      <c r="C196" s="136"/>
      <c r="D196" s="136"/>
      <c r="E196" s="136"/>
      <c r="F196" s="136"/>
      <c r="G196" s="137"/>
      <c r="H196" s="23">
        <v>30</v>
      </c>
      <c r="I196" s="24">
        <v>43</v>
      </c>
      <c r="J196" s="24">
        <v>17</v>
      </c>
      <c r="K196" s="24">
        <v>0</v>
      </c>
      <c r="L196" s="24">
        <v>0</v>
      </c>
      <c r="M196" s="24">
        <v>0</v>
      </c>
      <c r="N196" s="24">
        <v>0</v>
      </c>
      <c r="O196" s="24">
        <v>15</v>
      </c>
      <c r="P196" s="24">
        <v>15</v>
      </c>
      <c r="Q196" s="24">
        <v>0</v>
      </c>
      <c r="R196" s="24">
        <v>0</v>
      </c>
      <c r="S196" s="24">
        <v>0</v>
      </c>
      <c r="T196" s="24">
        <v>0</v>
      </c>
      <c r="U196" s="24">
        <v>3</v>
      </c>
      <c r="V196" s="24">
        <v>0</v>
      </c>
      <c r="W196" s="24">
        <v>1</v>
      </c>
      <c r="X196" s="24">
        <v>0</v>
      </c>
      <c r="Y196" s="24">
        <v>0</v>
      </c>
      <c r="Z196" s="24">
        <v>0</v>
      </c>
      <c r="AA196" s="24">
        <v>0</v>
      </c>
      <c r="AB196" s="24">
        <v>28</v>
      </c>
    </row>
    <row r="197" spans="1:28" ht="23.25" customHeight="1" x14ac:dyDescent="0.2">
      <c r="A197" s="145"/>
      <c r="B197" s="136" t="s">
        <v>146</v>
      </c>
      <c r="C197" s="136"/>
      <c r="D197" s="136"/>
      <c r="E197" s="136"/>
      <c r="F197" s="136"/>
      <c r="G197" s="137"/>
      <c r="H197" s="23">
        <v>31</v>
      </c>
      <c r="I197" s="24">
        <v>10520</v>
      </c>
      <c r="J197" s="24">
        <v>7554</v>
      </c>
      <c r="K197" s="24">
        <v>11</v>
      </c>
      <c r="L197" s="24">
        <v>0</v>
      </c>
      <c r="M197" s="24">
        <v>10</v>
      </c>
      <c r="N197" s="24">
        <v>0</v>
      </c>
      <c r="O197" s="24">
        <v>7447</v>
      </c>
      <c r="P197" s="24">
        <v>7356</v>
      </c>
      <c r="Q197" s="24">
        <v>6</v>
      </c>
      <c r="R197" s="24">
        <v>45</v>
      </c>
      <c r="S197" s="24">
        <v>40</v>
      </c>
      <c r="T197" s="24">
        <v>0</v>
      </c>
      <c r="U197" s="24">
        <v>1087</v>
      </c>
      <c r="V197" s="24">
        <v>35</v>
      </c>
      <c r="W197" s="24">
        <v>1063</v>
      </c>
      <c r="X197" s="24">
        <v>127</v>
      </c>
      <c r="Y197" s="24">
        <v>5567</v>
      </c>
      <c r="Z197" s="24">
        <v>5551</v>
      </c>
      <c r="AA197" s="24">
        <v>0</v>
      </c>
      <c r="AB197" s="24">
        <v>3046</v>
      </c>
    </row>
    <row r="198" spans="1:28" ht="27.2" customHeight="1" x14ac:dyDescent="0.2">
      <c r="A198" s="145"/>
      <c r="B198" s="136" t="s">
        <v>147</v>
      </c>
      <c r="C198" s="136"/>
      <c r="D198" s="136"/>
      <c r="E198" s="136"/>
      <c r="F198" s="136"/>
      <c r="G198" s="137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45"/>
      <c r="B199" s="256" t="s">
        <v>148</v>
      </c>
      <c r="C199" s="256"/>
      <c r="D199" s="256"/>
      <c r="E199" s="256"/>
      <c r="F199" s="256"/>
      <c r="G199" s="257"/>
      <c r="H199" s="23">
        <v>33</v>
      </c>
      <c r="I199" s="24">
        <v>3</v>
      </c>
      <c r="J199" s="24">
        <v>1</v>
      </c>
      <c r="K199" s="24">
        <v>0</v>
      </c>
      <c r="L199" s="24">
        <v>0</v>
      </c>
      <c r="M199" s="24">
        <v>0</v>
      </c>
      <c r="N199" s="24">
        <v>0</v>
      </c>
      <c r="O199" s="24">
        <v>1</v>
      </c>
      <c r="P199" s="24">
        <v>1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2</v>
      </c>
      <c r="Z199" s="24">
        <v>2</v>
      </c>
      <c r="AA199" s="24">
        <v>0</v>
      </c>
      <c r="AB199" s="24">
        <v>2</v>
      </c>
    </row>
    <row r="200" spans="1:28" ht="33" customHeight="1" x14ac:dyDescent="0.2">
      <c r="A200" s="145"/>
      <c r="B200" s="256" t="s">
        <v>149</v>
      </c>
      <c r="C200" s="256"/>
      <c r="D200" s="256"/>
      <c r="E200" s="256"/>
      <c r="F200" s="256"/>
      <c r="G200" s="257"/>
      <c r="H200" s="23">
        <v>34</v>
      </c>
      <c r="I200" s="24">
        <v>2639</v>
      </c>
      <c r="J200" s="24">
        <v>1417</v>
      </c>
      <c r="K200" s="24">
        <v>4</v>
      </c>
      <c r="L200" s="24">
        <v>0</v>
      </c>
      <c r="M200" s="24">
        <v>4</v>
      </c>
      <c r="N200" s="24">
        <v>0</v>
      </c>
      <c r="O200" s="24">
        <v>1375</v>
      </c>
      <c r="P200" s="24">
        <v>1332</v>
      </c>
      <c r="Q200" s="24">
        <v>15</v>
      </c>
      <c r="R200" s="24">
        <v>27</v>
      </c>
      <c r="S200" s="24">
        <v>1</v>
      </c>
      <c r="T200" s="24">
        <v>0</v>
      </c>
      <c r="U200" s="24">
        <v>357</v>
      </c>
      <c r="V200" s="24">
        <v>21</v>
      </c>
      <c r="W200" s="24">
        <v>86</v>
      </c>
      <c r="X200" s="24">
        <v>5</v>
      </c>
      <c r="Y200" s="24">
        <v>918</v>
      </c>
      <c r="Z200" s="24">
        <v>916</v>
      </c>
      <c r="AA200" s="24">
        <v>0</v>
      </c>
      <c r="AB200" s="24">
        <v>1258</v>
      </c>
    </row>
    <row r="201" spans="1:28" ht="22.5" customHeight="1" x14ac:dyDescent="0.2">
      <c r="A201" s="145"/>
      <c r="B201" s="175" t="s">
        <v>150</v>
      </c>
      <c r="C201" s="175"/>
      <c r="D201" s="175"/>
      <c r="E201" s="175"/>
      <c r="F201" s="175"/>
      <c r="G201" s="176"/>
      <c r="H201" s="23">
        <v>35</v>
      </c>
      <c r="I201" s="24">
        <v>10443</v>
      </c>
      <c r="J201" s="24">
        <v>927</v>
      </c>
      <c r="K201" s="24">
        <v>7</v>
      </c>
      <c r="L201" s="24">
        <v>0</v>
      </c>
      <c r="M201" s="24">
        <v>7</v>
      </c>
      <c r="N201" s="24">
        <v>0</v>
      </c>
      <c r="O201" s="24">
        <v>862</v>
      </c>
      <c r="P201" s="24">
        <v>847</v>
      </c>
      <c r="Q201" s="24">
        <v>15</v>
      </c>
      <c r="R201" s="24">
        <v>0</v>
      </c>
      <c r="S201" s="24">
        <v>0</v>
      </c>
      <c r="T201" s="24">
        <v>9</v>
      </c>
      <c r="U201" s="24">
        <v>91</v>
      </c>
      <c r="V201" s="24">
        <v>1</v>
      </c>
      <c r="W201" s="24">
        <v>9</v>
      </c>
      <c r="X201" s="24">
        <v>12</v>
      </c>
      <c r="Y201" s="24">
        <v>1753</v>
      </c>
      <c r="Z201" s="24">
        <v>1753</v>
      </c>
      <c r="AA201" s="24">
        <v>0</v>
      </c>
      <c r="AB201" s="24">
        <v>9565</v>
      </c>
    </row>
    <row r="202" spans="1:28" ht="27.2" customHeight="1" x14ac:dyDescent="0.2">
      <c r="A202" s="145"/>
      <c r="B202" s="175" t="s">
        <v>151</v>
      </c>
      <c r="C202" s="175"/>
      <c r="D202" s="175"/>
      <c r="E202" s="175"/>
      <c r="F202" s="175"/>
      <c r="G202" s="176"/>
      <c r="H202" s="23">
        <v>36</v>
      </c>
      <c r="I202" s="24">
        <v>25</v>
      </c>
      <c r="J202" s="24">
        <v>11</v>
      </c>
      <c r="K202" s="24">
        <v>0</v>
      </c>
      <c r="L202" s="24">
        <v>0</v>
      </c>
      <c r="M202" s="24">
        <v>0</v>
      </c>
      <c r="N202" s="24">
        <v>0</v>
      </c>
      <c r="O202" s="24">
        <v>11</v>
      </c>
      <c r="P202" s="24">
        <v>11</v>
      </c>
      <c r="Q202" s="24">
        <v>0</v>
      </c>
      <c r="R202" s="24">
        <v>0</v>
      </c>
      <c r="S202" s="24">
        <v>0</v>
      </c>
      <c r="T202" s="24">
        <v>0</v>
      </c>
      <c r="U202" s="24">
        <v>4</v>
      </c>
      <c r="V202" s="24">
        <v>0</v>
      </c>
      <c r="W202" s="24">
        <v>0</v>
      </c>
      <c r="X202" s="24">
        <v>0</v>
      </c>
      <c r="Y202" s="24">
        <v>11</v>
      </c>
      <c r="Z202" s="24">
        <v>11</v>
      </c>
      <c r="AA202" s="24">
        <v>0</v>
      </c>
      <c r="AB202" s="24">
        <v>14</v>
      </c>
    </row>
    <row r="203" spans="1:28" ht="24" customHeight="1" x14ac:dyDescent="0.2">
      <c r="A203" s="145"/>
      <c r="B203" s="175" t="s">
        <v>152</v>
      </c>
      <c r="C203" s="175"/>
      <c r="D203" s="175"/>
      <c r="E203" s="175"/>
      <c r="F203" s="175"/>
      <c r="G203" s="176"/>
      <c r="H203" s="23">
        <v>37</v>
      </c>
      <c r="I203" s="24">
        <v>635</v>
      </c>
      <c r="J203" s="24">
        <v>322</v>
      </c>
      <c r="K203" s="24">
        <v>0</v>
      </c>
      <c r="L203" s="24">
        <v>0</v>
      </c>
      <c r="M203" s="24">
        <v>0</v>
      </c>
      <c r="N203" s="24">
        <v>0</v>
      </c>
      <c r="O203" s="24">
        <v>310</v>
      </c>
      <c r="P203" s="24">
        <v>309</v>
      </c>
      <c r="Q203" s="24">
        <v>0</v>
      </c>
      <c r="R203" s="24">
        <v>1</v>
      </c>
      <c r="S203" s="24">
        <v>0</v>
      </c>
      <c r="T203" s="24">
        <v>0</v>
      </c>
      <c r="U203" s="24">
        <v>27</v>
      </c>
      <c r="V203" s="24">
        <v>20</v>
      </c>
      <c r="W203" s="24">
        <v>0</v>
      </c>
      <c r="X203" s="24">
        <v>0</v>
      </c>
      <c r="Y203" s="24">
        <v>94</v>
      </c>
      <c r="Z203" s="24">
        <v>94</v>
      </c>
      <c r="AA203" s="24">
        <v>0</v>
      </c>
      <c r="AB203" s="24">
        <v>325</v>
      </c>
    </row>
    <row r="204" spans="1:28" ht="22.5" customHeight="1" x14ac:dyDescent="0.2">
      <c r="A204" s="145"/>
      <c r="B204" s="139" t="s">
        <v>153</v>
      </c>
      <c r="C204" s="139"/>
      <c r="D204" s="139"/>
      <c r="E204" s="139"/>
      <c r="F204" s="139"/>
      <c r="G204" s="140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45"/>
      <c r="B205" s="175" t="s">
        <v>154</v>
      </c>
      <c r="C205" s="175"/>
      <c r="D205" s="175"/>
      <c r="E205" s="175"/>
      <c r="F205" s="175"/>
      <c r="G205" s="176"/>
      <c r="H205" s="23">
        <v>39</v>
      </c>
      <c r="I205" s="24">
        <v>211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19</v>
      </c>
      <c r="Z205" s="24">
        <v>19</v>
      </c>
      <c r="AA205" s="24">
        <v>0</v>
      </c>
      <c r="AB205" s="24">
        <v>211</v>
      </c>
    </row>
    <row r="206" spans="1:28" ht="27.2" customHeight="1" x14ac:dyDescent="0.2">
      <c r="A206" s="145"/>
      <c r="B206" s="175" t="s">
        <v>155</v>
      </c>
      <c r="C206" s="175"/>
      <c r="D206" s="175"/>
      <c r="E206" s="175"/>
      <c r="F206" s="175"/>
      <c r="G206" s="176"/>
      <c r="H206" s="23">
        <v>40</v>
      </c>
      <c r="I206" s="24">
        <v>288</v>
      </c>
      <c r="J206" s="24">
        <v>4</v>
      </c>
      <c r="K206" s="24">
        <v>0</v>
      </c>
      <c r="L206" s="24">
        <v>0</v>
      </c>
      <c r="M206" s="24">
        <v>0</v>
      </c>
      <c r="N206" s="24">
        <v>0</v>
      </c>
      <c r="O206" s="24">
        <v>3</v>
      </c>
      <c r="P206" s="24">
        <v>3</v>
      </c>
      <c r="Q206" s="24">
        <v>0</v>
      </c>
      <c r="R206" s="24">
        <v>0</v>
      </c>
      <c r="S206" s="24">
        <v>0</v>
      </c>
      <c r="T206" s="24">
        <v>2</v>
      </c>
      <c r="U206" s="24">
        <v>1</v>
      </c>
      <c r="V206" s="24">
        <v>0</v>
      </c>
      <c r="W206" s="24">
        <v>0</v>
      </c>
      <c r="X206" s="24">
        <v>0</v>
      </c>
      <c r="Y206" s="24">
        <v>122</v>
      </c>
      <c r="Z206" s="24">
        <v>122</v>
      </c>
      <c r="AA206" s="24">
        <v>0</v>
      </c>
      <c r="AB206" s="24">
        <v>283</v>
      </c>
    </row>
    <row r="207" spans="1:28" ht="31.5" customHeight="1" x14ac:dyDescent="0.2">
      <c r="A207" s="145"/>
      <c r="B207" s="175" t="s">
        <v>156</v>
      </c>
      <c r="C207" s="175"/>
      <c r="D207" s="175"/>
      <c r="E207" s="175"/>
      <c r="F207" s="175"/>
      <c r="G207" s="176"/>
      <c r="H207" s="23">
        <v>41</v>
      </c>
      <c r="I207" s="24">
        <v>436</v>
      </c>
      <c r="J207" s="24">
        <v>338</v>
      </c>
      <c r="K207" s="24">
        <v>8</v>
      </c>
      <c r="L207" s="24">
        <v>0</v>
      </c>
      <c r="M207" s="24">
        <v>8</v>
      </c>
      <c r="N207" s="24">
        <v>0</v>
      </c>
      <c r="O207" s="24">
        <v>312</v>
      </c>
      <c r="P207" s="24">
        <v>283</v>
      </c>
      <c r="Q207" s="24">
        <v>2</v>
      </c>
      <c r="R207" s="24">
        <v>26</v>
      </c>
      <c r="S207" s="24">
        <v>1</v>
      </c>
      <c r="T207" s="24">
        <v>0</v>
      </c>
      <c r="U207" s="24">
        <v>42</v>
      </c>
      <c r="V207" s="24">
        <v>0</v>
      </c>
      <c r="W207" s="24">
        <v>84</v>
      </c>
      <c r="X207" s="24">
        <v>11</v>
      </c>
      <c r="Y207" s="24">
        <v>293</v>
      </c>
      <c r="Z207" s="24">
        <v>292</v>
      </c>
      <c r="AA207" s="24">
        <v>0</v>
      </c>
      <c r="AB207" s="24">
        <v>115</v>
      </c>
    </row>
    <row r="208" spans="1:28" ht="51" customHeight="1" x14ac:dyDescent="0.2">
      <c r="A208" s="145"/>
      <c r="B208" s="175" t="s">
        <v>157</v>
      </c>
      <c r="C208" s="175"/>
      <c r="D208" s="175"/>
      <c r="E208" s="175"/>
      <c r="F208" s="175"/>
      <c r="G208" s="176"/>
      <c r="H208" s="23">
        <v>42</v>
      </c>
      <c r="I208" s="24">
        <v>9748</v>
      </c>
      <c r="J208" s="24">
        <v>6293</v>
      </c>
      <c r="K208" s="24">
        <v>13</v>
      </c>
      <c r="L208" s="24">
        <v>1</v>
      </c>
      <c r="M208" s="24">
        <v>7</v>
      </c>
      <c r="N208" s="24">
        <v>0</v>
      </c>
      <c r="O208" s="24">
        <v>6189</v>
      </c>
      <c r="P208" s="24">
        <v>6142</v>
      </c>
      <c r="Q208" s="24">
        <v>11</v>
      </c>
      <c r="R208" s="24">
        <v>27</v>
      </c>
      <c r="S208" s="24">
        <v>9</v>
      </c>
      <c r="T208" s="24">
        <v>0</v>
      </c>
      <c r="U208" s="24">
        <v>928</v>
      </c>
      <c r="V208" s="24">
        <v>4</v>
      </c>
      <c r="W208" s="24">
        <v>30</v>
      </c>
      <c r="X208" s="24">
        <v>20</v>
      </c>
      <c r="Y208" s="24">
        <v>7251</v>
      </c>
      <c r="Z208" s="24">
        <v>7238</v>
      </c>
      <c r="AA208" s="24">
        <v>0</v>
      </c>
      <c r="AB208" s="24">
        <v>3533</v>
      </c>
    </row>
    <row r="209" spans="1:28" ht="42" customHeight="1" x14ac:dyDescent="0.2">
      <c r="A209" s="145"/>
      <c r="B209" s="175" t="s">
        <v>158</v>
      </c>
      <c r="C209" s="175"/>
      <c r="D209" s="175"/>
      <c r="E209" s="175"/>
      <c r="F209" s="175"/>
      <c r="G209" s="176"/>
      <c r="H209" s="23">
        <v>43</v>
      </c>
      <c r="I209" s="24">
        <v>311</v>
      </c>
      <c r="J209" s="24">
        <v>258</v>
      </c>
      <c r="K209" s="24">
        <v>0</v>
      </c>
      <c r="L209" s="24">
        <v>0</v>
      </c>
      <c r="M209" s="24">
        <v>0</v>
      </c>
      <c r="N209" s="24">
        <v>0</v>
      </c>
      <c r="O209" s="24">
        <v>258</v>
      </c>
      <c r="P209" s="24">
        <v>258</v>
      </c>
      <c r="Q209" s="24">
        <v>0</v>
      </c>
      <c r="R209" s="24">
        <v>0</v>
      </c>
      <c r="S209" s="24">
        <v>0</v>
      </c>
      <c r="T209" s="24">
        <v>0</v>
      </c>
      <c r="U209" s="24">
        <v>41</v>
      </c>
      <c r="V209" s="24">
        <v>0</v>
      </c>
      <c r="W209" s="24">
        <v>0</v>
      </c>
      <c r="X209" s="24">
        <v>0</v>
      </c>
      <c r="Y209" s="24">
        <v>69</v>
      </c>
      <c r="Z209" s="24">
        <v>69</v>
      </c>
      <c r="AA209" s="24">
        <v>0</v>
      </c>
      <c r="AB209" s="24">
        <v>53</v>
      </c>
    </row>
    <row r="210" spans="1:28" ht="52.5" customHeight="1" x14ac:dyDescent="0.2">
      <c r="A210" s="145"/>
      <c r="B210" s="175" t="s">
        <v>159</v>
      </c>
      <c r="C210" s="175"/>
      <c r="D210" s="175"/>
      <c r="E210" s="175"/>
      <c r="F210" s="175"/>
      <c r="G210" s="176"/>
      <c r="H210" s="23">
        <v>44</v>
      </c>
      <c r="I210" s="24">
        <v>10260</v>
      </c>
      <c r="J210" s="24">
        <v>6668</v>
      </c>
      <c r="K210" s="24">
        <v>72</v>
      </c>
      <c r="L210" s="24">
        <v>1</v>
      </c>
      <c r="M210" s="24">
        <v>66</v>
      </c>
      <c r="N210" s="24">
        <v>0</v>
      </c>
      <c r="O210" s="24">
        <v>5708</v>
      </c>
      <c r="P210" s="24">
        <v>5650</v>
      </c>
      <c r="Q210" s="24">
        <v>38</v>
      </c>
      <c r="R210" s="24">
        <v>15</v>
      </c>
      <c r="S210" s="24">
        <v>5</v>
      </c>
      <c r="T210" s="24">
        <v>27</v>
      </c>
      <c r="U210" s="24">
        <v>574</v>
      </c>
      <c r="V210" s="24">
        <v>305</v>
      </c>
      <c r="W210" s="24">
        <v>48</v>
      </c>
      <c r="X210" s="24">
        <v>22</v>
      </c>
      <c r="Y210" s="24">
        <v>1413</v>
      </c>
      <c r="Z210" s="24">
        <v>1410</v>
      </c>
      <c r="AA210" s="24">
        <v>0</v>
      </c>
      <c r="AB210" s="24">
        <v>4450</v>
      </c>
    </row>
    <row r="211" spans="1:28" ht="24" customHeight="1" x14ac:dyDescent="0.2">
      <c r="A211" s="145"/>
      <c r="B211" s="175" t="s">
        <v>160</v>
      </c>
      <c r="C211" s="175"/>
      <c r="D211" s="175"/>
      <c r="E211" s="175"/>
      <c r="F211" s="175"/>
      <c r="G211" s="176"/>
      <c r="H211" s="23">
        <v>45</v>
      </c>
      <c r="I211" s="24">
        <v>1691</v>
      </c>
      <c r="J211" s="24">
        <v>1160</v>
      </c>
      <c r="K211" s="24">
        <v>7</v>
      </c>
      <c r="L211" s="24">
        <v>0</v>
      </c>
      <c r="M211" s="24">
        <v>6</v>
      </c>
      <c r="N211" s="24">
        <v>0</v>
      </c>
      <c r="O211" s="24">
        <v>1130</v>
      </c>
      <c r="P211" s="24">
        <v>1128</v>
      </c>
      <c r="Q211" s="24">
        <v>0</v>
      </c>
      <c r="R211" s="24">
        <v>2</v>
      </c>
      <c r="S211" s="24">
        <v>0</v>
      </c>
      <c r="T211" s="24">
        <v>0</v>
      </c>
      <c r="U211" s="24">
        <v>590</v>
      </c>
      <c r="V211" s="24">
        <v>0</v>
      </c>
      <c r="W211" s="24">
        <v>26</v>
      </c>
      <c r="X211" s="24">
        <v>1</v>
      </c>
      <c r="Y211" s="24">
        <v>393</v>
      </c>
      <c r="Z211" s="24">
        <v>393</v>
      </c>
      <c r="AA211" s="24">
        <v>0</v>
      </c>
      <c r="AB211" s="24">
        <v>554</v>
      </c>
    </row>
    <row r="212" spans="1:28" ht="41.25" customHeight="1" x14ac:dyDescent="0.2">
      <c r="A212" s="145"/>
      <c r="B212" s="175" t="s">
        <v>161</v>
      </c>
      <c r="C212" s="175"/>
      <c r="D212" s="175"/>
      <c r="E212" s="175"/>
      <c r="F212" s="175"/>
      <c r="G212" s="176"/>
      <c r="H212" s="23">
        <v>46</v>
      </c>
      <c r="I212" s="24">
        <v>7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7</v>
      </c>
    </row>
    <row r="213" spans="1:28" ht="28.5" customHeight="1" x14ac:dyDescent="0.2">
      <c r="A213" s="145"/>
      <c r="B213" s="175" t="s">
        <v>162</v>
      </c>
      <c r="C213" s="175"/>
      <c r="D213" s="175"/>
      <c r="E213" s="175"/>
      <c r="F213" s="175"/>
      <c r="G213" s="176"/>
      <c r="H213" s="23">
        <v>47</v>
      </c>
      <c r="I213" s="24">
        <v>1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1</v>
      </c>
    </row>
    <row r="214" spans="1:28" ht="25.5" customHeight="1" x14ac:dyDescent="0.2">
      <c r="A214" s="146"/>
      <c r="B214" s="175" t="s">
        <v>163</v>
      </c>
      <c r="C214" s="175"/>
      <c r="D214" s="175"/>
      <c r="E214" s="175"/>
      <c r="F214" s="175"/>
      <c r="G214" s="176"/>
      <c r="H214" s="23">
        <v>48</v>
      </c>
      <c r="I214" s="24">
        <v>285</v>
      </c>
      <c r="J214" s="24">
        <v>217</v>
      </c>
      <c r="K214" s="24">
        <v>1</v>
      </c>
      <c r="L214" s="24">
        <v>0</v>
      </c>
      <c r="M214" s="24">
        <v>1</v>
      </c>
      <c r="N214" s="24">
        <v>0</v>
      </c>
      <c r="O214" s="24">
        <v>196</v>
      </c>
      <c r="P214" s="24">
        <v>195</v>
      </c>
      <c r="Q214" s="24">
        <v>0</v>
      </c>
      <c r="R214" s="24">
        <v>0</v>
      </c>
      <c r="S214" s="24">
        <v>1</v>
      </c>
      <c r="T214" s="24">
        <v>0</v>
      </c>
      <c r="U214" s="24">
        <v>50</v>
      </c>
      <c r="V214" s="24">
        <v>1</v>
      </c>
      <c r="W214" s="24">
        <v>1</v>
      </c>
      <c r="X214" s="24">
        <v>7</v>
      </c>
      <c r="Y214" s="24">
        <v>98</v>
      </c>
      <c r="Z214" s="24">
        <v>98</v>
      </c>
      <c r="AA214" s="24">
        <v>0</v>
      </c>
      <c r="AB214" s="24">
        <v>88</v>
      </c>
    </row>
    <row r="215" spans="1:28" ht="19.5" customHeight="1" x14ac:dyDescent="0.2">
      <c r="A215" s="135" t="s">
        <v>115</v>
      </c>
      <c r="B215" s="136"/>
      <c r="C215" s="136"/>
      <c r="D215" s="136"/>
      <c r="E215" s="136"/>
      <c r="F215" s="136"/>
      <c r="G215" s="137"/>
      <c r="H215" s="23">
        <v>49</v>
      </c>
      <c r="I215" s="24">
        <f t="shared" ref="I215:AB215" si="2">SUM(I167:I214)</f>
        <v>194934</v>
      </c>
      <c r="J215" s="24">
        <f t="shared" si="2"/>
        <v>109844</v>
      </c>
      <c r="K215" s="24">
        <f t="shared" si="2"/>
        <v>492</v>
      </c>
      <c r="L215" s="24">
        <f t="shared" si="2"/>
        <v>6</v>
      </c>
      <c r="M215" s="24">
        <f t="shared" si="2"/>
        <v>443</v>
      </c>
      <c r="N215" s="24">
        <f t="shared" si="2"/>
        <v>0</v>
      </c>
      <c r="O215" s="24">
        <f t="shared" si="2"/>
        <v>104479</v>
      </c>
      <c r="P215" s="24">
        <f t="shared" si="2"/>
        <v>103132</v>
      </c>
      <c r="Q215" s="24">
        <f t="shared" si="2"/>
        <v>347</v>
      </c>
      <c r="R215" s="24">
        <f t="shared" si="2"/>
        <v>689</v>
      </c>
      <c r="S215" s="24">
        <f t="shared" si="2"/>
        <v>311</v>
      </c>
      <c r="T215" s="24">
        <f t="shared" si="2"/>
        <v>157</v>
      </c>
      <c r="U215" s="24">
        <f t="shared" si="2"/>
        <v>16400</v>
      </c>
      <c r="V215" s="24">
        <f t="shared" si="2"/>
        <v>1747</v>
      </c>
      <c r="W215" s="24">
        <f t="shared" si="2"/>
        <v>6136</v>
      </c>
      <c r="X215" s="24">
        <f t="shared" si="2"/>
        <v>1020</v>
      </c>
      <c r="Y215" s="24">
        <f t="shared" si="2"/>
        <v>72157</v>
      </c>
      <c r="Z215" s="24">
        <f t="shared" si="2"/>
        <v>72015</v>
      </c>
      <c r="AA215" s="24">
        <f t="shared" si="2"/>
        <v>0</v>
      </c>
      <c r="AB215" s="24">
        <f t="shared" si="2"/>
        <v>89664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8"/>
      <c r="B217" s="179"/>
      <c r="C217" s="179"/>
      <c r="D217" s="179"/>
      <c r="E217" s="179"/>
      <c r="F217" s="179"/>
      <c r="G217" s="180"/>
      <c r="H217" s="187" t="s">
        <v>15</v>
      </c>
      <c r="I217" s="168" t="s">
        <v>1148</v>
      </c>
      <c r="J217" s="168" t="s">
        <v>16</v>
      </c>
      <c r="K217" s="168" t="s">
        <v>17</v>
      </c>
      <c r="L217" s="171" t="s">
        <v>18</v>
      </c>
      <c r="M217" s="172"/>
      <c r="N217" s="173"/>
      <c r="O217" s="168" t="s">
        <v>19</v>
      </c>
      <c r="P217" s="171" t="s">
        <v>20</v>
      </c>
      <c r="Q217" s="172"/>
      <c r="R217" s="172"/>
      <c r="S217" s="173"/>
      <c r="T217" s="168" t="s">
        <v>21</v>
      </c>
      <c r="U217" s="171" t="s">
        <v>22</v>
      </c>
      <c r="V217" s="172"/>
      <c r="W217" s="172"/>
      <c r="X217" s="173"/>
      <c r="Y217" s="171" t="s">
        <v>23</v>
      </c>
      <c r="Z217" s="172"/>
      <c r="AA217" s="173"/>
      <c r="AB217" s="168" t="s">
        <v>24</v>
      </c>
    </row>
    <row r="218" spans="1:28" ht="19.5" customHeight="1" x14ac:dyDescent="0.2">
      <c r="A218" s="181"/>
      <c r="B218" s="182"/>
      <c r="C218" s="182"/>
      <c r="D218" s="182"/>
      <c r="E218" s="182"/>
      <c r="F218" s="182"/>
      <c r="G218" s="183"/>
      <c r="H218" s="188"/>
      <c r="I218" s="170"/>
      <c r="J218" s="170"/>
      <c r="K218" s="170"/>
      <c r="L218" s="168" t="s">
        <v>25</v>
      </c>
      <c r="M218" s="168" t="s">
        <v>26</v>
      </c>
      <c r="N218" s="168" t="s">
        <v>27</v>
      </c>
      <c r="O218" s="170"/>
      <c r="P218" s="168" t="s">
        <v>28</v>
      </c>
      <c r="Q218" s="168" t="s">
        <v>29</v>
      </c>
      <c r="R218" s="168" t="s">
        <v>30</v>
      </c>
      <c r="S218" s="168" t="s">
        <v>31</v>
      </c>
      <c r="T218" s="170"/>
      <c r="U218" s="171" t="s">
        <v>32</v>
      </c>
      <c r="V218" s="172"/>
      <c r="W218" s="172"/>
      <c r="X218" s="173"/>
      <c r="Y218" s="168" t="s">
        <v>33</v>
      </c>
      <c r="Z218" s="171" t="s">
        <v>34</v>
      </c>
      <c r="AA218" s="173"/>
      <c r="AB218" s="170"/>
    </row>
    <row r="219" spans="1:28" ht="90" customHeight="1" x14ac:dyDescent="0.2">
      <c r="A219" s="184"/>
      <c r="B219" s="185"/>
      <c r="C219" s="185"/>
      <c r="D219" s="185"/>
      <c r="E219" s="185"/>
      <c r="F219" s="185"/>
      <c r="G219" s="186"/>
      <c r="H219" s="18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9" t="s">
        <v>35</v>
      </c>
      <c r="V219" s="16" t="s">
        <v>36</v>
      </c>
      <c r="W219" s="16" t="s">
        <v>37</v>
      </c>
      <c r="X219" s="16" t="s">
        <v>38</v>
      </c>
      <c r="Y219" s="169"/>
      <c r="Z219" s="18" t="s">
        <v>39</v>
      </c>
      <c r="AA219" s="17" t="s">
        <v>40</v>
      </c>
      <c r="AB219" s="169"/>
    </row>
    <row r="220" spans="1:28" ht="15" customHeight="1" x14ac:dyDescent="0.2">
      <c r="A220" s="150" t="s">
        <v>41</v>
      </c>
      <c r="B220" s="151"/>
      <c r="C220" s="151"/>
      <c r="D220" s="151"/>
      <c r="E220" s="151"/>
      <c r="F220" s="151"/>
      <c r="G220" s="152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53" t="s">
        <v>118</v>
      </c>
      <c r="B221" s="154"/>
      <c r="C221" s="154"/>
      <c r="D221" s="154"/>
      <c r="E221" s="154"/>
      <c r="F221" s="154"/>
      <c r="G221" s="155"/>
      <c r="H221" s="23">
        <v>1</v>
      </c>
      <c r="I221" s="31">
        <v>3375</v>
      </c>
      <c r="J221" s="31">
        <v>1229</v>
      </c>
      <c r="K221" s="31">
        <v>112</v>
      </c>
      <c r="L221" s="31">
        <v>0</v>
      </c>
      <c r="M221" s="31">
        <v>111</v>
      </c>
      <c r="N221" s="31">
        <v>1</v>
      </c>
      <c r="O221" s="31">
        <v>648</v>
      </c>
      <c r="P221" s="31">
        <v>644</v>
      </c>
      <c r="Q221" s="31">
        <v>1</v>
      </c>
      <c r="R221" s="31">
        <v>0</v>
      </c>
      <c r="S221" s="31">
        <v>3</v>
      </c>
      <c r="T221" s="31">
        <v>0</v>
      </c>
      <c r="U221" s="31">
        <v>20</v>
      </c>
      <c r="V221" s="31">
        <v>57</v>
      </c>
      <c r="W221" s="31">
        <v>6</v>
      </c>
      <c r="X221" s="31">
        <v>16</v>
      </c>
      <c r="Y221" s="31">
        <v>12</v>
      </c>
      <c r="Z221" s="31">
        <v>12</v>
      </c>
      <c r="AA221" s="31">
        <v>0</v>
      </c>
      <c r="AB221" s="31">
        <v>2615</v>
      </c>
    </row>
    <row r="222" spans="1:28" ht="21.75" customHeight="1" x14ac:dyDescent="0.2">
      <c r="A222" s="156" t="s">
        <v>32</v>
      </c>
      <c r="B222" s="157"/>
      <c r="C222" s="157"/>
      <c r="D222" s="165" t="s">
        <v>51</v>
      </c>
      <c r="E222" s="166"/>
      <c r="F222" s="166"/>
      <c r="G222" s="167"/>
      <c r="H222" s="23">
        <v>2</v>
      </c>
      <c r="I222" s="31">
        <v>1587</v>
      </c>
      <c r="J222" s="31">
        <v>601</v>
      </c>
      <c r="K222" s="31">
        <v>43</v>
      </c>
      <c r="L222" s="31">
        <v>0</v>
      </c>
      <c r="M222" s="31">
        <v>42</v>
      </c>
      <c r="N222" s="31">
        <v>1</v>
      </c>
      <c r="O222" s="31">
        <v>365</v>
      </c>
      <c r="P222" s="31">
        <v>364</v>
      </c>
      <c r="Q222" s="31">
        <v>1</v>
      </c>
      <c r="R222" s="31">
        <v>0</v>
      </c>
      <c r="S222" s="31">
        <v>0</v>
      </c>
      <c r="T222" s="31">
        <v>0</v>
      </c>
      <c r="U222" s="31">
        <v>14</v>
      </c>
      <c r="V222" s="31">
        <v>18</v>
      </c>
      <c r="W222" s="31">
        <v>2</v>
      </c>
      <c r="X222" s="31">
        <v>8</v>
      </c>
      <c r="Y222" s="31">
        <v>5</v>
      </c>
      <c r="Z222" s="31">
        <v>5</v>
      </c>
      <c r="AA222" s="31">
        <v>0</v>
      </c>
      <c r="AB222" s="31">
        <v>1179</v>
      </c>
    </row>
    <row r="223" spans="1:28" ht="21.75" customHeight="1" x14ac:dyDescent="0.2">
      <c r="A223" s="159"/>
      <c r="B223" s="160"/>
      <c r="C223" s="160"/>
      <c r="D223" s="165" t="s">
        <v>52</v>
      </c>
      <c r="E223" s="166"/>
      <c r="F223" s="166"/>
      <c r="G223" s="167"/>
      <c r="H223" s="23">
        <v>3</v>
      </c>
      <c r="I223" s="31">
        <v>1377</v>
      </c>
      <c r="J223" s="31">
        <v>504</v>
      </c>
      <c r="K223" s="31">
        <v>55</v>
      </c>
      <c r="L223" s="31">
        <v>0</v>
      </c>
      <c r="M223" s="31">
        <v>55</v>
      </c>
      <c r="N223" s="31">
        <v>0</v>
      </c>
      <c r="O223" s="31">
        <v>195</v>
      </c>
      <c r="P223" s="31">
        <v>192</v>
      </c>
      <c r="Q223" s="31">
        <v>0</v>
      </c>
      <c r="R223" s="31">
        <v>0</v>
      </c>
      <c r="S223" s="31">
        <v>3</v>
      </c>
      <c r="T223" s="31">
        <v>0</v>
      </c>
      <c r="U223" s="31">
        <v>2</v>
      </c>
      <c r="V223" s="31">
        <v>35</v>
      </c>
      <c r="W223" s="31">
        <v>3</v>
      </c>
      <c r="X223" s="31">
        <v>8</v>
      </c>
      <c r="Y223" s="31">
        <v>7</v>
      </c>
      <c r="Z223" s="31">
        <v>7</v>
      </c>
      <c r="AA223" s="31">
        <v>0</v>
      </c>
      <c r="AB223" s="31">
        <v>1127</v>
      </c>
    </row>
    <row r="224" spans="1:28" ht="21.75" customHeight="1" x14ac:dyDescent="0.2">
      <c r="A224" s="159"/>
      <c r="B224" s="160"/>
      <c r="C224" s="160"/>
      <c r="D224" s="165" t="s">
        <v>48</v>
      </c>
      <c r="E224" s="166"/>
      <c r="F224" s="166"/>
      <c r="G224" s="167"/>
      <c r="H224" s="23">
        <v>4</v>
      </c>
      <c r="I224" s="47">
        <v>356</v>
      </c>
      <c r="J224" s="31">
        <v>95</v>
      </c>
      <c r="K224" s="31">
        <v>4</v>
      </c>
      <c r="L224" s="31">
        <v>0</v>
      </c>
      <c r="M224" s="31">
        <v>4</v>
      </c>
      <c r="N224" s="31">
        <v>0</v>
      </c>
      <c r="O224" s="31">
        <v>71</v>
      </c>
      <c r="P224" s="31">
        <v>71</v>
      </c>
      <c r="Q224" s="31">
        <v>0</v>
      </c>
      <c r="R224" s="31">
        <v>0</v>
      </c>
      <c r="S224" s="31">
        <v>0</v>
      </c>
      <c r="T224" s="31">
        <v>0</v>
      </c>
      <c r="U224" s="31">
        <v>1</v>
      </c>
      <c r="V224" s="31">
        <v>4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281</v>
      </c>
    </row>
    <row r="225" spans="1:28" ht="21.75" customHeight="1" x14ac:dyDescent="0.2">
      <c r="A225" s="162"/>
      <c r="B225" s="163"/>
      <c r="C225" s="163"/>
      <c r="D225" s="165" t="s">
        <v>49</v>
      </c>
      <c r="E225" s="166"/>
      <c r="F225" s="166"/>
      <c r="G225" s="167"/>
      <c r="H225" s="23">
        <v>5</v>
      </c>
      <c r="I225" s="47">
        <v>43</v>
      </c>
      <c r="J225" s="31">
        <v>17</v>
      </c>
      <c r="K225" s="31">
        <v>0</v>
      </c>
      <c r="L225" s="31">
        <v>0</v>
      </c>
      <c r="M225" s="31">
        <v>0</v>
      </c>
      <c r="N225" s="31">
        <v>0</v>
      </c>
      <c r="O225" s="31">
        <v>15</v>
      </c>
      <c r="P225" s="31">
        <v>15</v>
      </c>
      <c r="Q225" s="31">
        <v>0</v>
      </c>
      <c r="R225" s="31">
        <v>0</v>
      </c>
      <c r="S225" s="31">
        <v>0</v>
      </c>
      <c r="T225" s="31">
        <v>0</v>
      </c>
      <c r="U225" s="31">
        <v>3</v>
      </c>
      <c r="V225" s="31">
        <v>0</v>
      </c>
      <c r="W225" s="31">
        <v>1</v>
      </c>
      <c r="X225" s="31">
        <v>0</v>
      </c>
      <c r="Y225" s="31">
        <v>0</v>
      </c>
      <c r="Z225" s="31">
        <v>0</v>
      </c>
      <c r="AA225" s="31">
        <v>0</v>
      </c>
      <c r="AB225" s="31">
        <v>28</v>
      </c>
    </row>
    <row r="226" spans="1:28" ht="38.25" customHeight="1" x14ac:dyDescent="0.2">
      <c r="A226" s="248" t="s">
        <v>165</v>
      </c>
      <c r="B226" s="141" t="s">
        <v>166</v>
      </c>
      <c r="C226" s="142"/>
      <c r="D226" s="142"/>
      <c r="E226" s="142"/>
      <c r="F226" s="142"/>
      <c r="G226" s="143"/>
      <c r="H226" s="23">
        <v>6</v>
      </c>
      <c r="I226" s="47">
        <v>55</v>
      </c>
      <c r="J226" s="31">
        <v>30</v>
      </c>
      <c r="K226" s="31">
        <v>1</v>
      </c>
      <c r="L226" s="31">
        <v>0</v>
      </c>
      <c r="M226" s="31">
        <v>1</v>
      </c>
      <c r="N226" s="31">
        <v>0</v>
      </c>
      <c r="O226" s="31">
        <v>25</v>
      </c>
      <c r="P226" s="31">
        <v>25</v>
      </c>
      <c r="Q226" s="31">
        <v>0</v>
      </c>
      <c r="R226" s="31">
        <v>0</v>
      </c>
      <c r="S226" s="31">
        <v>0</v>
      </c>
      <c r="T226" s="31">
        <v>0</v>
      </c>
      <c r="U226" s="31">
        <v>1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29</v>
      </c>
    </row>
    <row r="227" spans="1:28" ht="33" customHeight="1" x14ac:dyDescent="0.2">
      <c r="A227" s="249"/>
      <c r="B227" s="141" t="s">
        <v>167</v>
      </c>
      <c r="C227" s="142"/>
      <c r="D227" s="142"/>
      <c r="E227" s="142"/>
      <c r="F227" s="142"/>
      <c r="G227" s="143"/>
      <c r="H227" s="23">
        <v>7</v>
      </c>
      <c r="I227" s="47">
        <v>310</v>
      </c>
      <c r="J227" s="31">
        <v>44</v>
      </c>
      <c r="K227" s="31">
        <v>14</v>
      </c>
      <c r="L227" s="31">
        <v>0</v>
      </c>
      <c r="M227" s="31">
        <v>14</v>
      </c>
      <c r="N227" s="31">
        <v>0</v>
      </c>
      <c r="O227" s="31">
        <v>26</v>
      </c>
      <c r="P227" s="31">
        <v>26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270</v>
      </c>
    </row>
    <row r="228" spans="1:28" ht="57" customHeight="1" x14ac:dyDescent="0.2">
      <c r="A228" s="249"/>
      <c r="B228" s="141" t="s">
        <v>168</v>
      </c>
      <c r="C228" s="142"/>
      <c r="D228" s="142"/>
      <c r="E228" s="142"/>
      <c r="F228" s="142"/>
      <c r="G228" s="143"/>
      <c r="H228" s="23">
        <v>8</v>
      </c>
      <c r="I228" s="47">
        <v>35</v>
      </c>
      <c r="J228" s="31">
        <v>5</v>
      </c>
      <c r="K228" s="31">
        <v>0</v>
      </c>
      <c r="L228" s="31">
        <v>0</v>
      </c>
      <c r="M228" s="31">
        <v>0</v>
      </c>
      <c r="N228" s="31">
        <v>0</v>
      </c>
      <c r="O228" s="31">
        <v>4</v>
      </c>
      <c r="P228" s="31">
        <v>4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31</v>
      </c>
    </row>
    <row r="229" spans="1:28" ht="27.2" customHeight="1" x14ac:dyDescent="0.2">
      <c r="A229" s="249"/>
      <c r="B229" s="251" t="s">
        <v>169</v>
      </c>
      <c r="C229" s="252"/>
      <c r="D229" s="252"/>
      <c r="E229" s="252"/>
      <c r="F229" s="252"/>
      <c r="G229" s="253"/>
      <c r="H229" s="23">
        <v>9</v>
      </c>
      <c r="I229" s="47">
        <v>665</v>
      </c>
      <c r="J229" s="31">
        <v>321</v>
      </c>
      <c r="K229" s="31">
        <v>24</v>
      </c>
      <c r="L229" s="31">
        <v>0</v>
      </c>
      <c r="M229" s="31">
        <v>24</v>
      </c>
      <c r="N229" s="31">
        <v>0</v>
      </c>
      <c r="O229" s="31">
        <v>203</v>
      </c>
      <c r="P229" s="31">
        <v>202</v>
      </c>
      <c r="Q229" s="31">
        <v>1</v>
      </c>
      <c r="R229" s="31">
        <v>0</v>
      </c>
      <c r="S229" s="31">
        <v>0</v>
      </c>
      <c r="T229" s="31">
        <v>0</v>
      </c>
      <c r="U229" s="31">
        <v>7</v>
      </c>
      <c r="V229" s="31">
        <v>9</v>
      </c>
      <c r="W229" s="31">
        <v>1</v>
      </c>
      <c r="X229" s="31">
        <v>1</v>
      </c>
      <c r="Y229" s="31">
        <v>2</v>
      </c>
      <c r="Z229" s="31">
        <v>2</v>
      </c>
      <c r="AA229" s="31">
        <v>0</v>
      </c>
      <c r="AB229" s="31">
        <v>438</v>
      </c>
    </row>
    <row r="230" spans="1:28" ht="27.2" customHeight="1" x14ac:dyDescent="0.2">
      <c r="A230" s="249"/>
      <c r="B230" s="251" t="s">
        <v>170</v>
      </c>
      <c r="C230" s="252"/>
      <c r="D230" s="252"/>
      <c r="E230" s="252"/>
      <c r="F230" s="252"/>
      <c r="G230" s="253"/>
      <c r="H230" s="23">
        <v>10</v>
      </c>
      <c r="I230" s="47">
        <v>1121</v>
      </c>
      <c r="J230" s="31">
        <v>345</v>
      </c>
      <c r="K230" s="31">
        <v>65</v>
      </c>
      <c r="L230" s="31">
        <v>0</v>
      </c>
      <c r="M230" s="31">
        <v>65</v>
      </c>
      <c r="N230" s="31">
        <v>0</v>
      </c>
      <c r="O230" s="31">
        <v>224</v>
      </c>
      <c r="P230" s="31">
        <v>224</v>
      </c>
      <c r="Q230" s="31">
        <v>0</v>
      </c>
      <c r="R230" s="31">
        <v>0</v>
      </c>
      <c r="S230" s="31">
        <v>0</v>
      </c>
      <c r="T230" s="31">
        <v>0</v>
      </c>
      <c r="U230" s="31">
        <v>4</v>
      </c>
      <c r="V230" s="31">
        <v>18</v>
      </c>
      <c r="W230" s="31">
        <v>1</v>
      </c>
      <c r="X230" s="31">
        <v>0</v>
      </c>
      <c r="Y230" s="31">
        <v>0</v>
      </c>
      <c r="Z230" s="31">
        <v>0</v>
      </c>
      <c r="AA230" s="31">
        <v>0</v>
      </c>
      <c r="AB230" s="31">
        <v>832</v>
      </c>
    </row>
    <row r="231" spans="1:28" ht="27.2" customHeight="1" x14ac:dyDescent="0.2">
      <c r="A231" s="249"/>
      <c r="B231" s="254" t="s">
        <v>32</v>
      </c>
      <c r="C231" s="251" t="s">
        <v>171</v>
      </c>
      <c r="D231" s="252"/>
      <c r="E231" s="252"/>
      <c r="F231" s="252"/>
      <c r="G231" s="253"/>
      <c r="H231" s="23">
        <v>11</v>
      </c>
      <c r="I231" s="47">
        <v>43</v>
      </c>
      <c r="J231" s="31">
        <v>17</v>
      </c>
      <c r="K231" s="31">
        <v>0</v>
      </c>
      <c r="L231" s="31">
        <v>0</v>
      </c>
      <c r="M231" s="31">
        <v>0</v>
      </c>
      <c r="N231" s="31">
        <v>0</v>
      </c>
      <c r="O231" s="31">
        <v>15</v>
      </c>
      <c r="P231" s="31">
        <v>15</v>
      </c>
      <c r="Q231" s="31">
        <v>0</v>
      </c>
      <c r="R231" s="31">
        <v>0</v>
      </c>
      <c r="S231" s="31">
        <v>0</v>
      </c>
      <c r="T231" s="31">
        <v>0</v>
      </c>
      <c r="U231" s="31">
        <v>3</v>
      </c>
      <c r="V231" s="31">
        <v>0</v>
      </c>
      <c r="W231" s="31">
        <v>1</v>
      </c>
      <c r="X231" s="31">
        <v>0</v>
      </c>
      <c r="Y231" s="31">
        <v>0</v>
      </c>
      <c r="Z231" s="31">
        <v>0</v>
      </c>
      <c r="AA231" s="31">
        <v>0</v>
      </c>
      <c r="AB231" s="31">
        <v>28</v>
      </c>
    </row>
    <row r="232" spans="1:28" ht="27.2" customHeight="1" x14ac:dyDescent="0.2">
      <c r="A232" s="249"/>
      <c r="B232" s="255"/>
      <c r="C232" s="251" t="s">
        <v>172</v>
      </c>
      <c r="D232" s="252"/>
      <c r="E232" s="252"/>
      <c r="F232" s="252"/>
      <c r="G232" s="253"/>
      <c r="H232" s="23">
        <v>12</v>
      </c>
      <c r="I232" s="47">
        <v>1078</v>
      </c>
      <c r="J232" s="31">
        <v>328</v>
      </c>
      <c r="K232" s="31">
        <v>65</v>
      </c>
      <c r="L232" s="31">
        <v>0</v>
      </c>
      <c r="M232" s="31">
        <v>65</v>
      </c>
      <c r="N232" s="31">
        <v>0</v>
      </c>
      <c r="O232" s="31">
        <v>209</v>
      </c>
      <c r="P232" s="31">
        <v>209</v>
      </c>
      <c r="Q232" s="31">
        <v>0</v>
      </c>
      <c r="R232" s="31">
        <v>0</v>
      </c>
      <c r="S232" s="31">
        <v>0</v>
      </c>
      <c r="T232" s="31">
        <v>0</v>
      </c>
      <c r="U232" s="31">
        <v>1</v>
      </c>
      <c r="V232" s="31">
        <v>18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804</v>
      </c>
    </row>
    <row r="233" spans="1:28" ht="27.2" customHeight="1" x14ac:dyDescent="0.2">
      <c r="A233" s="249"/>
      <c r="B233" s="251" t="s">
        <v>173</v>
      </c>
      <c r="C233" s="252"/>
      <c r="D233" s="252"/>
      <c r="E233" s="252"/>
      <c r="F233" s="252"/>
      <c r="G233" s="253"/>
      <c r="H233" s="23">
        <v>13</v>
      </c>
      <c r="I233" s="47">
        <v>215</v>
      </c>
      <c r="J233" s="31">
        <v>30</v>
      </c>
      <c r="K233" s="31">
        <v>4</v>
      </c>
      <c r="L233" s="31">
        <v>0</v>
      </c>
      <c r="M233" s="31">
        <v>3</v>
      </c>
      <c r="N233" s="31">
        <v>1</v>
      </c>
      <c r="O233" s="31">
        <v>6</v>
      </c>
      <c r="P233" s="31">
        <v>6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1</v>
      </c>
      <c r="W233" s="31">
        <v>0</v>
      </c>
      <c r="X233" s="31">
        <v>0</v>
      </c>
      <c r="Y233" s="31">
        <v>1</v>
      </c>
      <c r="Z233" s="31">
        <v>1</v>
      </c>
      <c r="AA233" s="31">
        <v>0</v>
      </c>
      <c r="AB233" s="31">
        <v>205</v>
      </c>
    </row>
    <row r="234" spans="1:28" ht="27.2" customHeight="1" x14ac:dyDescent="0.2">
      <c r="A234" s="249"/>
      <c r="B234" s="141" t="s">
        <v>174</v>
      </c>
      <c r="C234" s="142"/>
      <c r="D234" s="142"/>
      <c r="E234" s="142"/>
      <c r="F234" s="142"/>
      <c r="G234" s="143"/>
      <c r="H234" s="23">
        <v>14</v>
      </c>
      <c r="I234" s="47">
        <v>1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1</v>
      </c>
    </row>
    <row r="235" spans="1:28" ht="27.2" customHeight="1" x14ac:dyDescent="0.2">
      <c r="A235" s="249"/>
      <c r="B235" s="141" t="s">
        <v>175</v>
      </c>
      <c r="C235" s="142"/>
      <c r="D235" s="142"/>
      <c r="E235" s="142"/>
      <c r="F235" s="142"/>
      <c r="G235" s="143"/>
      <c r="H235" s="23">
        <v>15</v>
      </c>
      <c r="I235" s="47">
        <v>173</v>
      </c>
      <c r="J235" s="31">
        <v>95</v>
      </c>
      <c r="K235" s="31">
        <v>0</v>
      </c>
      <c r="L235" s="31">
        <v>0</v>
      </c>
      <c r="M235" s="31">
        <v>0</v>
      </c>
      <c r="N235" s="31">
        <v>0</v>
      </c>
      <c r="O235" s="31">
        <v>43</v>
      </c>
      <c r="P235" s="31">
        <v>43</v>
      </c>
      <c r="Q235" s="31">
        <v>0</v>
      </c>
      <c r="R235" s="31">
        <v>0</v>
      </c>
      <c r="S235" s="31">
        <v>0</v>
      </c>
      <c r="T235" s="31">
        <v>0</v>
      </c>
      <c r="U235" s="31">
        <v>6</v>
      </c>
      <c r="V235" s="31">
        <v>7</v>
      </c>
      <c r="W235" s="31">
        <v>1</v>
      </c>
      <c r="X235" s="31">
        <v>7</v>
      </c>
      <c r="Y235" s="31">
        <v>2</v>
      </c>
      <c r="Z235" s="31">
        <v>2</v>
      </c>
      <c r="AA235" s="31">
        <v>0</v>
      </c>
      <c r="AB235" s="31">
        <v>130</v>
      </c>
    </row>
    <row r="236" spans="1:28" ht="27.2" customHeight="1" x14ac:dyDescent="0.2">
      <c r="A236" s="249"/>
      <c r="B236" s="141" t="s">
        <v>176</v>
      </c>
      <c r="C236" s="142"/>
      <c r="D236" s="142"/>
      <c r="E236" s="142"/>
      <c r="F236" s="142"/>
      <c r="G236" s="143"/>
      <c r="H236" s="23">
        <v>16</v>
      </c>
      <c r="I236" s="47">
        <v>7</v>
      </c>
      <c r="J236" s="31">
        <v>1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7</v>
      </c>
    </row>
    <row r="237" spans="1:28" ht="27.2" customHeight="1" x14ac:dyDescent="0.2">
      <c r="A237" s="249"/>
      <c r="B237" s="141" t="s">
        <v>177</v>
      </c>
      <c r="C237" s="142"/>
      <c r="D237" s="142"/>
      <c r="E237" s="142"/>
      <c r="F237" s="142"/>
      <c r="G237" s="143"/>
      <c r="H237" s="23">
        <v>17</v>
      </c>
      <c r="I237" s="47">
        <v>695</v>
      </c>
      <c r="J237" s="31">
        <v>313</v>
      </c>
      <c r="K237" s="31">
        <v>4</v>
      </c>
      <c r="L237" s="31">
        <v>0</v>
      </c>
      <c r="M237" s="31">
        <v>4</v>
      </c>
      <c r="N237" s="31">
        <v>0</v>
      </c>
      <c r="O237" s="31">
        <v>87</v>
      </c>
      <c r="P237" s="31">
        <v>84</v>
      </c>
      <c r="Q237" s="31">
        <v>0</v>
      </c>
      <c r="R237" s="31">
        <v>0</v>
      </c>
      <c r="S237" s="31">
        <v>3</v>
      </c>
      <c r="T237" s="31">
        <v>0</v>
      </c>
      <c r="U237" s="31">
        <v>1</v>
      </c>
      <c r="V237" s="31">
        <v>21</v>
      </c>
      <c r="W237" s="31">
        <v>2</v>
      </c>
      <c r="X237" s="31">
        <v>8</v>
      </c>
      <c r="Y237" s="31">
        <v>7</v>
      </c>
      <c r="Z237" s="31">
        <v>7</v>
      </c>
      <c r="AA237" s="31">
        <v>0</v>
      </c>
      <c r="AB237" s="31">
        <v>604</v>
      </c>
    </row>
    <row r="238" spans="1:28" ht="89.1" customHeight="1" x14ac:dyDescent="0.2">
      <c r="A238" s="249"/>
      <c r="B238" s="141" t="s">
        <v>178</v>
      </c>
      <c r="C238" s="142"/>
      <c r="D238" s="142"/>
      <c r="E238" s="142"/>
      <c r="F238" s="142"/>
      <c r="G238" s="143"/>
      <c r="H238" s="23">
        <v>18</v>
      </c>
      <c r="I238" s="47">
        <v>98</v>
      </c>
      <c r="J238" s="31">
        <v>45</v>
      </c>
      <c r="K238" s="31">
        <v>0</v>
      </c>
      <c r="L238" s="31">
        <v>0</v>
      </c>
      <c r="M238" s="31">
        <v>0</v>
      </c>
      <c r="N238" s="31">
        <v>0</v>
      </c>
      <c r="O238" s="31">
        <v>30</v>
      </c>
      <c r="P238" s="31">
        <v>30</v>
      </c>
      <c r="Q238" s="31">
        <v>0</v>
      </c>
      <c r="R238" s="31">
        <v>0</v>
      </c>
      <c r="S238" s="31">
        <v>0</v>
      </c>
      <c r="T238" s="31">
        <v>0</v>
      </c>
      <c r="U238" s="31">
        <v>1</v>
      </c>
      <c r="V238" s="31">
        <v>1</v>
      </c>
      <c r="W238" s="31">
        <v>1</v>
      </c>
      <c r="X238" s="31">
        <v>0</v>
      </c>
      <c r="Y238" s="31">
        <v>0</v>
      </c>
      <c r="Z238" s="31">
        <v>0</v>
      </c>
      <c r="AA238" s="31">
        <v>0</v>
      </c>
      <c r="AB238" s="31">
        <v>68</v>
      </c>
    </row>
    <row r="239" spans="1:28" ht="21.75" customHeight="1" x14ac:dyDescent="0.2">
      <c r="A239" s="250"/>
      <c r="B239" s="141" t="s">
        <v>179</v>
      </c>
      <c r="C239" s="142"/>
      <c r="D239" s="142"/>
      <c r="E239" s="142"/>
      <c r="F239" s="142"/>
      <c r="G239" s="143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8" t="s">
        <v>115</v>
      </c>
      <c r="B240" s="139"/>
      <c r="C240" s="139"/>
      <c r="D240" s="139"/>
      <c r="E240" s="139"/>
      <c r="F240" s="139"/>
      <c r="G240" s="140"/>
      <c r="H240" s="23">
        <v>20</v>
      </c>
      <c r="I240" s="31">
        <f t="shared" ref="I240:AB240" si="3">SUM(I221:I239)</f>
        <v>11234</v>
      </c>
      <c r="J240" s="31">
        <f t="shared" si="3"/>
        <v>4020</v>
      </c>
      <c r="K240" s="31">
        <f t="shared" si="3"/>
        <v>391</v>
      </c>
      <c r="L240" s="31">
        <f t="shared" si="3"/>
        <v>0</v>
      </c>
      <c r="M240" s="31">
        <f t="shared" si="3"/>
        <v>388</v>
      </c>
      <c r="N240" s="31">
        <f t="shared" si="3"/>
        <v>3</v>
      </c>
      <c r="O240" s="31">
        <f t="shared" si="3"/>
        <v>2166</v>
      </c>
      <c r="P240" s="31">
        <f t="shared" si="3"/>
        <v>2154</v>
      </c>
      <c r="Q240" s="31">
        <f t="shared" si="3"/>
        <v>3</v>
      </c>
      <c r="R240" s="31">
        <f t="shared" si="3"/>
        <v>0</v>
      </c>
      <c r="S240" s="31">
        <f t="shared" si="3"/>
        <v>9</v>
      </c>
      <c r="T240" s="31">
        <f t="shared" si="3"/>
        <v>0</v>
      </c>
      <c r="U240" s="31">
        <f t="shared" si="3"/>
        <v>64</v>
      </c>
      <c r="V240" s="31">
        <f t="shared" si="3"/>
        <v>189</v>
      </c>
      <c r="W240" s="31">
        <f t="shared" si="3"/>
        <v>19</v>
      </c>
      <c r="X240" s="31">
        <f t="shared" si="3"/>
        <v>48</v>
      </c>
      <c r="Y240" s="31">
        <f t="shared" si="3"/>
        <v>36</v>
      </c>
      <c r="Z240" s="31">
        <f t="shared" si="3"/>
        <v>36</v>
      </c>
      <c r="AA240" s="31">
        <f t="shared" si="3"/>
        <v>0</v>
      </c>
      <c r="AB240" s="31">
        <f t="shared" si="3"/>
        <v>8677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8"/>
      <c r="B243" s="179"/>
      <c r="C243" s="179"/>
      <c r="D243" s="179"/>
      <c r="E243" s="179"/>
      <c r="F243" s="179"/>
      <c r="G243" s="180"/>
      <c r="H243" s="187" t="s">
        <v>15</v>
      </c>
      <c r="I243" s="168" t="s">
        <v>1148</v>
      </c>
      <c r="J243" s="168" t="s">
        <v>16</v>
      </c>
      <c r="K243" s="168" t="s">
        <v>17</v>
      </c>
      <c r="L243" s="171" t="s">
        <v>18</v>
      </c>
      <c r="M243" s="172"/>
      <c r="N243" s="173"/>
      <c r="O243" s="168" t="s">
        <v>19</v>
      </c>
      <c r="P243" s="171" t="s">
        <v>20</v>
      </c>
      <c r="Q243" s="172"/>
      <c r="R243" s="172"/>
      <c r="S243" s="173"/>
      <c r="T243" s="168" t="s">
        <v>21</v>
      </c>
      <c r="U243" s="171" t="s">
        <v>22</v>
      </c>
      <c r="V243" s="172"/>
      <c r="W243" s="172"/>
      <c r="X243" s="173"/>
      <c r="Y243" s="171" t="s">
        <v>23</v>
      </c>
      <c r="Z243" s="172"/>
      <c r="AA243" s="173"/>
      <c r="AB243" s="168" t="s">
        <v>24</v>
      </c>
    </row>
    <row r="244" spans="1:28" ht="27" customHeight="1" x14ac:dyDescent="0.2">
      <c r="A244" s="181"/>
      <c r="B244" s="182"/>
      <c r="C244" s="182"/>
      <c r="D244" s="182"/>
      <c r="E244" s="182"/>
      <c r="F244" s="182"/>
      <c r="G244" s="183"/>
      <c r="H244" s="188"/>
      <c r="I244" s="170"/>
      <c r="J244" s="170"/>
      <c r="K244" s="170"/>
      <c r="L244" s="168" t="s">
        <v>25</v>
      </c>
      <c r="M244" s="168" t="s">
        <v>26</v>
      </c>
      <c r="N244" s="168" t="s">
        <v>27</v>
      </c>
      <c r="O244" s="170"/>
      <c r="P244" s="168" t="s">
        <v>28</v>
      </c>
      <c r="Q244" s="168" t="s">
        <v>29</v>
      </c>
      <c r="R244" s="168" t="s">
        <v>30</v>
      </c>
      <c r="S244" s="168" t="s">
        <v>31</v>
      </c>
      <c r="T244" s="170"/>
      <c r="U244" s="171" t="s">
        <v>32</v>
      </c>
      <c r="V244" s="172"/>
      <c r="W244" s="172"/>
      <c r="X244" s="173"/>
      <c r="Y244" s="168" t="s">
        <v>33</v>
      </c>
      <c r="Z244" s="171" t="s">
        <v>34</v>
      </c>
      <c r="AA244" s="173"/>
      <c r="AB244" s="170"/>
    </row>
    <row r="245" spans="1:28" ht="80.25" customHeight="1" x14ac:dyDescent="0.2">
      <c r="A245" s="184"/>
      <c r="B245" s="185"/>
      <c r="C245" s="185"/>
      <c r="D245" s="185"/>
      <c r="E245" s="185"/>
      <c r="F245" s="185"/>
      <c r="G245" s="186"/>
      <c r="H245" s="18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9" t="s">
        <v>35</v>
      </c>
      <c r="V245" s="16" t="s">
        <v>36</v>
      </c>
      <c r="W245" s="16" t="s">
        <v>37</v>
      </c>
      <c r="X245" s="16" t="s">
        <v>38</v>
      </c>
      <c r="Y245" s="169"/>
      <c r="Z245" s="18" t="s">
        <v>39</v>
      </c>
      <c r="AA245" s="17" t="s">
        <v>40</v>
      </c>
      <c r="AB245" s="169"/>
    </row>
    <row r="246" spans="1:28" ht="14.25" customHeight="1" x14ac:dyDescent="0.2">
      <c r="A246" s="150" t="s">
        <v>41</v>
      </c>
      <c r="B246" s="151"/>
      <c r="C246" s="151"/>
      <c r="D246" s="151"/>
      <c r="E246" s="151"/>
      <c r="F246" s="151"/>
      <c r="G246" s="152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53" t="s">
        <v>43</v>
      </c>
      <c r="B247" s="154"/>
      <c r="C247" s="154"/>
      <c r="D247" s="154"/>
      <c r="E247" s="154"/>
      <c r="F247" s="154"/>
      <c r="G247" s="155"/>
      <c r="H247" s="23">
        <v>1</v>
      </c>
      <c r="I247" s="31">
        <v>42426</v>
      </c>
      <c r="J247" s="31">
        <v>10395</v>
      </c>
      <c r="K247" s="31">
        <v>37</v>
      </c>
      <c r="L247" s="31">
        <v>0</v>
      </c>
      <c r="M247" s="31">
        <v>30</v>
      </c>
      <c r="N247" s="31">
        <v>0</v>
      </c>
      <c r="O247" s="31">
        <v>9664</v>
      </c>
      <c r="P247" s="31">
        <v>9516</v>
      </c>
      <c r="Q247" s="31">
        <v>9</v>
      </c>
      <c r="R247" s="31">
        <v>96</v>
      </c>
      <c r="S247" s="31">
        <v>43</v>
      </c>
      <c r="T247" s="31">
        <v>0</v>
      </c>
      <c r="U247" s="31">
        <v>1605</v>
      </c>
      <c r="V247" s="31">
        <v>69</v>
      </c>
      <c r="W247" s="31">
        <v>1680</v>
      </c>
      <c r="X247" s="31">
        <v>169</v>
      </c>
      <c r="Y247" s="31">
        <v>47397</v>
      </c>
      <c r="Z247" s="31">
        <v>47352</v>
      </c>
      <c r="AA247" s="31">
        <v>0</v>
      </c>
      <c r="AB247" s="31">
        <v>32680</v>
      </c>
    </row>
    <row r="248" spans="1:28" ht="21" customHeight="1" x14ac:dyDescent="0.2">
      <c r="A248" s="156" t="s">
        <v>181</v>
      </c>
      <c r="B248" s="158"/>
      <c r="C248" s="165" t="s">
        <v>51</v>
      </c>
      <c r="D248" s="166"/>
      <c r="E248" s="166"/>
      <c r="F248" s="166"/>
      <c r="G248" s="167"/>
      <c r="H248" s="23">
        <v>2</v>
      </c>
      <c r="I248" s="31">
        <v>27947</v>
      </c>
      <c r="J248" s="31">
        <v>436</v>
      </c>
      <c r="K248" s="31">
        <v>2</v>
      </c>
      <c r="L248" s="31">
        <v>0</v>
      </c>
      <c r="M248" s="31">
        <v>2</v>
      </c>
      <c r="N248" s="31">
        <v>0</v>
      </c>
      <c r="O248" s="31">
        <v>243</v>
      </c>
      <c r="P248" s="31">
        <v>220</v>
      </c>
      <c r="Q248" s="31">
        <v>0</v>
      </c>
      <c r="R248" s="31">
        <v>23</v>
      </c>
      <c r="S248" s="31">
        <v>0</v>
      </c>
      <c r="T248" s="31">
        <v>0</v>
      </c>
      <c r="U248" s="31">
        <v>56</v>
      </c>
      <c r="V248" s="31">
        <v>9</v>
      </c>
      <c r="W248" s="31">
        <v>109</v>
      </c>
      <c r="X248" s="31">
        <v>7</v>
      </c>
      <c r="Y248" s="31">
        <v>40798</v>
      </c>
      <c r="Z248" s="31">
        <v>40780</v>
      </c>
      <c r="AA248" s="31">
        <v>0</v>
      </c>
      <c r="AB248" s="31">
        <v>27684</v>
      </c>
    </row>
    <row r="249" spans="1:28" ht="21" customHeight="1" x14ac:dyDescent="0.2">
      <c r="A249" s="159"/>
      <c r="B249" s="161"/>
      <c r="C249" s="165" t="s">
        <v>52</v>
      </c>
      <c r="D249" s="166"/>
      <c r="E249" s="166"/>
      <c r="F249" s="166"/>
      <c r="G249" s="167"/>
      <c r="H249" s="23">
        <v>3</v>
      </c>
      <c r="I249" s="31">
        <v>843</v>
      </c>
      <c r="J249" s="31">
        <v>697</v>
      </c>
      <c r="K249" s="31">
        <v>14</v>
      </c>
      <c r="L249" s="31">
        <v>0</v>
      </c>
      <c r="M249" s="31">
        <v>10</v>
      </c>
      <c r="N249" s="31">
        <v>0</v>
      </c>
      <c r="O249" s="31">
        <v>441</v>
      </c>
      <c r="P249" s="31">
        <v>429</v>
      </c>
      <c r="Q249" s="31">
        <v>0</v>
      </c>
      <c r="R249" s="31">
        <v>10</v>
      </c>
      <c r="S249" s="31">
        <v>2</v>
      </c>
      <c r="T249" s="31">
        <v>0</v>
      </c>
      <c r="U249" s="31">
        <v>90</v>
      </c>
      <c r="V249" s="31">
        <v>13</v>
      </c>
      <c r="W249" s="31">
        <v>168</v>
      </c>
      <c r="X249" s="31">
        <v>16</v>
      </c>
      <c r="Y249" s="31">
        <v>31</v>
      </c>
      <c r="Z249" s="31">
        <v>29</v>
      </c>
      <c r="AA249" s="31">
        <v>0</v>
      </c>
      <c r="AB249" s="31">
        <v>386</v>
      </c>
    </row>
    <row r="250" spans="1:28" ht="21" customHeight="1" x14ac:dyDescent="0.2">
      <c r="A250" s="159"/>
      <c r="B250" s="161"/>
      <c r="C250" s="165" t="s">
        <v>182</v>
      </c>
      <c r="D250" s="166"/>
      <c r="E250" s="166"/>
      <c r="F250" s="166"/>
      <c r="G250" s="167"/>
      <c r="H250" s="23">
        <v>4</v>
      </c>
      <c r="I250" s="31">
        <v>3115</v>
      </c>
      <c r="J250" s="31">
        <v>1708</v>
      </c>
      <c r="K250" s="31">
        <v>10</v>
      </c>
      <c r="L250" s="31">
        <v>0</v>
      </c>
      <c r="M250" s="31">
        <v>8</v>
      </c>
      <c r="N250" s="31">
        <v>0</v>
      </c>
      <c r="O250" s="31">
        <v>1533</v>
      </c>
      <c r="P250" s="31">
        <v>1511</v>
      </c>
      <c r="Q250" s="31">
        <v>3</v>
      </c>
      <c r="R250" s="31">
        <v>18</v>
      </c>
      <c r="S250" s="31">
        <v>1</v>
      </c>
      <c r="T250" s="31">
        <v>0</v>
      </c>
      <c r="U250" s="31">
        <v>372</v>
      </c>
      <c r="V250" s="31">
        <v>12</v>
      </c>
      <c r="W250" s="31">
        <v>340</v>
      </c>
      <c r="X250" s="31">
        <v>19</v>
      </c>
      <c r="Y250" s="31">
        <v>1001</v>
      </c>
      <c r="Z250" s="31">
        <v>992</v>
      </c>
      <c r="AA250" s="31">
        <v>0</v>
      </c>
      <c r="AB250" s="31">
        <v>1563</v>
      </c>
    </row>
    <row r="251" spans="1:28" ht="21" customHeight="1" x14ac:dyDescent="0.2">
      <c r="A251" s="162"/>
      <c r="B251" s="164"/>
      <c r="C251" s="165" t="s">
        <v>49</v>
      </c>
      <c r="D251" s="166"/>
      <c r="E251" s="166"/>
      <c r="F251" s="166"/>
      <c r="G251" s="167"/>
      <c r="H251" s="23">
        <v>5</v>
      </c>
      <c r="I251" s="31">
        <v>10520</v>
      </c>
      <c r="J251" s="31">
        <v>7554</v>
      </c>
      <c r="K251" s="31">
        <v>11</v>
      </c>
      <c r="L251" s="31">
        <v>0</v>
      </c>
      <c r="M251" s="31">
        <v>10</v>
      </c>
      <c r="N251" s="31">
        <v>0</v>
      </c>
      <c r="O251" s="31">
        <v>7447</v>
      </c>
      <c r="P251" s="31">
        <v>7356</v>
      </c>
      <c r="Q251" s="31">
        <v>6</v>
      </c>
      <c r="R251" s="31">
        <v>45</v>
      </c>
      <c r="S251" s="31">
        <v>40</v>
      </c>
      <c r="T251" s="31">
        <v>0</v>
      </c>
      <c r="U251" s="31">
        <v>1087</v>
      </c>
      <c r="V251" s="31">
        <v>35</v>
      </c>
      <c r="W251" s="31">
        <v>1063</v>
      </c>
      <c r="X251" s="31">
        <v>127</v>
      </c>
      <c r="Y251" s="31">
        <v>5567</v>
      </c>
      <c r="Z251" s="31">
        <v>5551</v>
      </c>
      <c r="AA251" s="31">
        <v>0</v>
      </c>
      <c r="AB251" s="31">
        <v>3046</v>
      </c>
    </row>
    <row r="252" spans="1:28" ht="27.2" customHeight="1" x14ac:dyDescent="0.2">
      <c r="A252" s="144" t="s">
        <v>165</v>
      </c>
      <c r="B252" s="138" t="s">
        <v>183</v>
      </c>
      <c r="C252" s="139"/>
      <c r="D252" s="139"/>
      <c r="E252" s="139"/>
      <c r="F252" s="139"/>
      <c r="G252" s="140"/>
      <c r="H252" s="23">
        <v>6</v>
      </c>
      <c r="I252" s="31">
        <v>27938</v>
      </c>
      <c r="J252" s="31">
        <v>435</v>
      </c>
      <c r="K252" s="31">
        <v>2</v>
      </c>
      <c r="L252" s="31">
        <v>0</v>
      </c>
      <c r="M252" s="31">
        <v>2</v>
      </c>
      <c r="N252" s="31">
        <v>0</v>
      </c>
      <c r="O252" s="31">
        <v>243</v>
      </c>
      <c r="P252" s="31">
        <v>220</v>
      </c>
      <c r="Q252" s="31">
        <v>0</v>
      </c>
      <c r="R252" s="31">
        <v>23</v>
      </c>
      <c r="S252" s="31">
        <v>0</v>
      </c>
      <c r="T252" s="31">
        <v>0</v>
      </c>
      <c r="U252" s="31">
        <v>56</v>
      </c>
      <c r="V252" s="31">
        <v>9</v>
      </c>
      <c r="W252" s="31">
        <v>109</v>
      </c>
      <c r="X252" s="31">
        <v>7</v>
      </c>
      <c r="Y252" s="31">
        <v>40798</v>
      </c>
      <c r="Z252" s="31">
        <v>40780</v>
      </c>
      <c r="AA252" s="31">
        <v>0</v>
      </c>
      <c r="AB252" s="31">
        <v>27675</v>
      </c>
    </row>
    <row r="253" spans="1:28" ht="27.2" customHeight="1" x14ac:dyDescent="0.2">
      <c r="A253" s="145"/>
      <c r="B253" s="216" t="s">
        <v>32</v>
      </c>
      <c r="C253" s="135" t="s">
        <v>184</v>
      </c>
      <c r="D253" s="136"/>
      <c r="E253" s="136"/>
      <c r="F253" s="136"/>
      <c r="G253" s="137"/>
      <c r="H253" s="23">
        <v>7</v>
      </c>
      <c r="I253" s="31">
        <v>1842</v>
      </c>
      <c r="J253" s="31">
        <v>23</v>
      </c>
      <c r="K253" s="31">
        <v>0</v>
      </c>
      <c r="L253" s="31">
        <v>0</v>
      </c>
      <c r="M253" s="31">
        <v>0</v>
      </c>
      <c r="N253" s="31">
        <v>0</v>
      </c>
      <c r="O253" s="31">
        <v>5</v>
      </c>
      <c r="P253" s="31">
        <v>4</v>
      </c>
      <c r="Q253" s="31">
        <v>0</v>
      </c>
      <c r="R253" s="31">
        <v>1</v>
      </c>
      <c r="S253" s="31">
        <v>0</v>
      </c>
      <c r="T253" s="31">
        <v>0</v>
      </c>
      <c r="U253" s="31">
        <v>2</v>
      </c>
      <c r="V253" s="31">
        <v>0</v>
      </c>
      <c r="W253" s="31">
        <v>3</v>
      </c>
      <c r="X253" s="31">
        <v>0</v>
      </c>
      <c r="Y253" s="31">
        <v>90</v>
      </c>
      <c r="Z253" s="31">
        <v>87</v>
      </c>
      <c r="AA253" s="31">
        <v>0</v>
      </c>
      <c r="AB253" s="31">
        <v>1834</v>
      </c>
    </row>
    <row r="254" spans="1:28" ht="27.2" customHeight="1" x14ac:dyDescent="0.2">
      <c r="A254" s="145"/>
      <c r="B254" s="233"/>
      <c r="C254" s="135" t="s">
        <v>185</v>
      </c>
      <c r="D254" s="136"/>
      <c r="E254" s="136"/>
      <c r="F254" s="136"/>
      <c r="G254" s="137"/>
      <c r="H254" s="23">
        <v>8</v>
      </c>
      <c r="I254" s="31">
        <v>120</v>
      </c>
      <c r="J254" s="31">
        <v>9</v>
      </c>
      <c r="K254" s="31">
        <v>0</v>
      </c>
      <c r="L254" s="31">
        <v>0</v>
      </c>
      <c r="M254" s="31">
        <v>0</v>
      </c>
      <c r="N254" s="31">
        <v>0</v>
      </c>
      <c r="O254" s="31">
        <v>4</v>
      </c>
      <c r="P254" s="31">
        <v>4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2</v>
      </c>
      <c r="X254" s="31">
        <v>0</v>
      </c>
      <c r="Y254" s="31">
        <v>285</v>
      </c>
      <c r="Z254" s="31">
        <v>283</v>
      </c>
      <c r="AA254" s="31">
        <v>0</v>
      </c>
      <c r="AB254" s="31">
        <v>114</v>
      </c>
    </row>
    <row r="255" spans="1:28" ht="27.2" customHeight="1" x14ac:dyDescent="0.2">
      <c r="A255" s="145"/>
      <c r="B255" s="233"/>
      <c r="C255" s="135" t="s">
        <v>186</v>
      </c>
      <c r="D255" s="136"/>
      <c r="E255" s="136"/>
      <c r="F255" s="136"/>
      <c r="G255" s="137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45"/>
      <c r="B256" s="233"/>
      <c r="C256" s="135" t="s">
        <v>187</v>
      </c>
      <c r="D256" s="136"/>
      <c r="E256" s="136"/>
      <c r="F256" s="136"/>
      <c r="G256" s="137"/>
      <c r="H256" s="23">
        <v>10</v>
      </c>
      <c r="I256" s="31">
        <v>3</v>
      </c>
      <c r="J256" s="31">
        <v>3</v>
      </c>
      <c r="K256" s="31">
        <v>0</v>
      </c>
      <c r="L256" s="31">
        <v>0</v>
      </c>
      <c r="M256" s="31">
        <v>0</v>
      </c>
      <c r="N256" s="31">
        <v>0</v>
      </c>
      <c r="O256" s="31">
        <v>1</v>
      </c>
      <c r="P256" s="31">
        <v>1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1</v>
      </c>
      <c r="X256" s="31">
        <v>0</v>
      </c>
      <c r="Y256" s="31">
        <v>0</v>
      </c>
      <c r="Z256" s="31">
        <v>0</v>
      </c>
      <c r="AA256" s="31">
        <v>0</v>
      </c>
      <c r="AB256" s="31">
        <v>2</v>
      </c>
    </row>
    <row r="257" spans="1:28" ht="27.2" customHeight="1" x14ac:dyDescent="0.2">
      <c r="A257" s="145"/>
      <c r="B257" s="233"/>
      <c r="C257" s="135" t="s">
        <v>188</v>
      </c>
      <c r="D257" s="136"/>
      <c r="E257" s="136"/>
      <c r="F257" s="136"/>
      <c r="G257" s="137"/>
      <c r="H257" s="23">
        <v>11</v>
      </c>
      <c r="I257" s="31">
        <v>14</v>
      </c>
      <c r="J257" s="31">
        <v>11</v>
      </c>
      <c r="K257" s="31">
        <v>0</v>
      </c>
      <c r="L257" s="31">
        <v>0</v>
      </c>
      <c r="M257" s="31">
        <v>0</v>
      </c>
      <c r="N257" s="31">
        <v>0</v>
      </c>
      <c r="O257" s="31">
        <v>2</v>
      </c>
      <c r="P257" s="31">
        <v>2</v>
      </c>
      <c r="Q257" s="31">
        <v>0</v>
      </c>
      <c r="R257" s="31">
        <v>0</v>
      </c>
      <c r="S257" s="31">
        <v>0</v>
      </c>
      <c r="T257" s="31">
        <v>0</v>
      </c>
      <c r="U257" s="31">
        <v>1</v>
      </c>
      <c r="V257" s="31">
        <v>0</v>
      </c>
      <c r="W257" s="31">
        <v>1</v>
      </c>
      <c r="X257" s="31">
        <v>0</v>
      </c>
      <c r="Y257" s="31">
        <v>3</v>
      </c>
      <c r="Z257" s="31">
        <v>1</v>
      </c>
      <c r="AA257" s="31">
        <v>0</v>
      </c>
      <c r="AB257" s="31">
        <v>10</v>
      </c>
    </row>
    <row r="258" spans="1:28" ht="27.2" customHeight="1" x14ac:dyDescent="0.2">
      <c r="A258" s="145"/>
      <c r="B258" s="233"/>
      <c r="C258" s="135" t="s">
        <v>189</v>
      </c>
      <c r="D258" s="136"/>
      <c r="E258" s="136"/>
      <c r="F258" s="136"/>
      <c r="G258" s="137"/>
      <c r="H258" s="23">
        <v>12</v>
      </c>
      <c r="I258" s="31">
        <v>13</v>
      </c>
      <c r="J258" s="31">
        <v>12</v>
      </c>
      <c r="K258" s="31">
        <v>0</v>
      </c>
      <c r="L258" s="31">
        <v>0</v>
      </c>
      <c r="M258" s="31">
        <v>0</v>
      </c>
      <c r="N258" s="31">
        <v>0</v>
      </c>
      <c r="O258" s="31">
        <v>8</v>
      </c>
      <c r="P258" s="31">
        <v>7</v>
      </c>
      <c r="Q258" s="31">
        <v>0</v>
      </c>
      <c r="R258" s="31">
        <v>1</v>
      </c>
      <c r="S258" s="31">
        <v>0</v>
      </c>
      <c r="T258" s="31">
        <v>0</v>
      </c>
      <c r="U258" s="31">
        <v>4</v>
      </c>
      <c r="V258" s="31">
        <v>0</v>
      </c>
      <c r="W258" s="31">
        <v>1</v>
      </c>
      <c r="X258" s="31">
        <v>2</v>
      </c>
      <c r="Y258" s="31">
        <v>0</v>
      </c>
      <c r="Z258" s="31">
        <v>0</v>
      </c>
      <c r="AA258" s="31">
        <v>0</v>
      </c>
      <c r="AB258" s="31">
        <v>5</v>
      </c>
    </row>
    <row r="259" spans="1:28" ht="21.75" customHeight="1" x14ac:dyDescent="0.2">
      <c r="A259" s="145"/>
      <c r="B259" s="233"/>
      <c r="C259" s="135" t="s">
        <v>190</v>
      </c>
      <c r="D259" s="136"/>
      <c r="E259" s="136"/>
      <c r="F259" s="136"/>
      <c r="G259" s="137"/>
      <c r="H259" s="23">
        <v>13</v>
      </c>
      <c r="I259" s="31">
        <v>5</v>
      </c>
      <c r="J259" s="31">
        <v>5</v>
      </c>
      <c r="K259" s="31">
        <v>0</v>
      </c>
      <c r="L259" s="31">
        <v>0</v>
      </c>
      <c r="M259" s="31">
        <v>0</v>
      </c>
      <c r="N259" s="31">
        <v>0</v>
      </c>
      <c r="O259" s="31">
        <v>3</v>
      </c>
      <c r="P259" s="31">
        <v>3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2</v>
      </c>
      <c r="W259" s="31">
        <v>3</v>
      </c>
      <c r="X259" s="31">
        <v>0</v>
      </c>
      <c r="Y259" s="31">
        <v>0</v>
      </c>
      <c r="Z259" s="31">
        <v>0</v>
      </c>
      <c r="AA259" s="31">
        <v>0</v>
      </c>
      <c r="AB259" s="31">
        <v>2</v>
      </c>
    </row>
    <row r="260" spans="1:28" ht="39" customHeight="1" x14ac:dyDescent="0.2">
      <c r="A260" s="145"/>
      <c r="B260" s="233"/>
      <c r="C260" s="135" t="s">
        <v>191</v>
      </c>
      <c r="D260" s="136"/>
      <c r="E260" s="136"/>
      <c r="F260" s="136"/>
      <c r="G260" s="137"/>
      <c r="H260" s="23">
        <v>14</v>
      </c>
      <c r="I260" s="31">
        <v>6</v>
      </c>
      <c r="J260" s="31">
        <v>6</v>
      </c>
      <c r="K260" s="31">
        <v>0</v>
      </c>
      <c r="L260" s="31">
        <v>0</v>
      </c>
      <c r="M260" s="31">
        <v>0</v>
      </c>
      <c r="N260" s="31">
        <v>0</v>
      </c>
      <c r="O260" s="31">
        <v>3</v>
      </c>
      <c r="P260" s="31">
        <v>2</v>
      </c>
      <c r="Q260" s="31">
        <v>0</v>
      </c>
      <c r="R260" s="31">
        <v>1</v>
      </c>
      <c r="S260" s="31">
        <v>0</v>
      </c>
      <c r="T260" s="31">
        <v>0</v>
      </c>
      <c r="U260" s="31">
        <v>0</v>
      </c>
      <c r="V260" s="31">
        <v>0</v>
      </c>
      <c r="W260" s="31">
        <v>1</v>
      </c>
      <c r="X260" s="31">
        <v>0</v>
      </c>
      <c r="Y260" s="31">
        <v>0</v>
      </c>
      <c r="Z260" s="31">
        <v>0</v>
      </c>
      <c r="AA260" s="31">
        <v>0</v>
      </c>
      <c r="AB260" s="31">
        <v>3</v>
      </c>
    </row>
    <row r="261" spans="1:28" ht="28.5" customHeight="1" x14ac:dyDescent="0.2">
      <c r="A261" s="145"/>
      <c r="B261" s="233"/>
      <c r="C261" s="135" t="s">
        <v>192</v>
      </c>
      <c r="D261" s="136"/>
      <c r="E261" s="136"/>
      <c r="F261" s="136"/>
      <c r="G261" s="137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45"/>
      <c r="B262" s="233"/>
      <c r="C262" s="135" t="s">
        <v>193</v>
      </c>
      <c r="D262" s="136"/>
      <c r="E262" s="136"/>
      <c r="F262" s="136"/>
      <c r="G262" s="137"/>
      <c r="H262" s="23">
        <v>16</v>
      </c>
      <c r="I262" s="31">
        <v>1</v>
      </c>
      <c r="J262" s="31">
        <v>1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1</v>
      </c>
    </row>
    <row r="263" spans="1:28" ht="21.75" customHeight="1" x14ac:dyDescent="0.2">
      <c r="A263" s="145"/>
      <c r="B263" s="233"/>
      <c r="C263" s="135" t="s">
        <v>194</v>
      </c>
      <c r="D263" s="136"/>
      <c r="E263" s="136"/>
      <c r="F263" s="136"/>
      <c r="G263" s="137"/>
      <c r="H263" s="23">
        <v>17</v>
      </c>
      <c r="I263" s="31">
        <v>7</v>
      </c>
      <c r="J263" s="31">
        <v>5</v>
      </c>
      <c r="K263" s="31">
        <v>0</v>
      </c>
      <c r="L263" s="31">
        <v>0</v>
      </c>
      <c r="M263" s="31">
        <v>0</v>
      </c>
      <c r="N263" s="31">
        <v>0</v>
      </c>
      <c r="O263" s="31">
        <v>2</v>
      </c>
      <c r="P263" s="31">
        <v>2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1</v>
      </c>
      <c r="Z263" s="31">
        <v>1</v>
      </c>
      <c r="AA263" s="31">
        <v>0</v>
      </c>
      <c r="AB263" s="31">
        <v>5</v>
      </c>
    </row>
    <row r="264" spans="1:28" ht="21.75" customHeight="1" x14ac:dyDescent="0.2">
      <c r="A264" s="145"/>
      <c r="B264" s="233"/>
      <c r="C264" s="135" t="s">
        <v>195</v>
      </c>
      <c r="D264" s="136"/>
      <c r="E264" s="136"/>
      <c r="F264" s="136"/>
      <c r="G264" s="137"/>
      <c r="H264" s="23">
        <v>18</v>
      </c>
      <c r="I264" s="31">
        <v>23</v>
      </c>
      <c r="J264" s="31">
        <v>17</v>
      </c>
      <c r="K264" s="31">
        <v>0</v>
      </c>
      <c r="L264" s="31">
        <v>0</v>
      </c>
      <c r="M264" s="31">
        <v>0</v>
      </c>
      <c r="N264" s="31">
        <v>0</v>
      </c>
      <c r="O264" s="31">
        <v>7</v>
      </c>
      <c r="P264" s="31">
        <v>7</v>
      </c>
      <c r="Q264" s="31">
        <v>0</v>
      </c>
      <c r="R264" s="31">
        <v>0</v>
      </c>
      <c r="S264" s="31">
        <v>0</v>
      </c>
      <c r="T264" s="31">
        <v>0</v>
      </c>
      <c r="U264" s="31">
        <v>2</v>
      </c>
      <c r="V264" s="31">
        <v>6</v>
      </c>
      <c r="W264" s="31">
        <v>2</v>
      </c>
      <c r="X264" s="31">
        <v>2</v>
      </c>
      <c r="Y264" s="31">
        <v>0</v>
      </c>
      <c r="Z264" s="31">
        <v>0</v>
      </c>
      <c r="AA264" s="31">
        <v>0</v>
      </c>
      <c r="AB264" s="31">
        <v>16</v>
      </c>
    </row>
    <row r="265" spans="1:28" ht="41.25" customHeight="1" x14ac:dyDescent="0.2">
      <c r="A265" s="145"/>
      <c r="B265" s="233"/>
      <c r="C265" s="135" t="s">
        <v>196</v>
      </c>
      <c r="D265" s="136"/>
      <c r="E265" s="136"/>
      <c r="F265" s="136"/>
      <c r="G265" s="137"/>
      <c r="H265" s="23">
        <v>19</v>
      </c>
      <c r="I265" s="31">
        <v>14</v>
      </c>
      <c r="J265" s="31">
        <v>14</v>
      </c>
      <c r="K265" s="31">
        <v>0</v>
      </c>
      <c r="L265" s="31">
        <v>0</v>
      </c>
      <c r="M265" s="31">
        <v>0</v>
      </c>
      <c r="N265" s="31">
        <v>0</v>
      </c>
      <c r="O265" s="31">
        <v>11</v>
      </c>
      <c r="P265" s="31">
        <v>11</v>
      </c>
      <c r="Q265" s="31">
        <v>0</v>
      </c>
      <c r="R265" s="31">
        <v>0</v>
      </c>
      <c r="S265" s="31">
        <v>0</v>
      </c>
      <c r="T265" s="31">
        <v>0</v>
      </c>
      <c r="U265" s="31">
        <v>10</v>
      </c>
      <c r="V265" s="31">
        <v>0</v>
      </c>
      <c r="W265" s="31">
        <v>6</v>
      </c>
      <c r="X265" s="31">
        <v>0</v>
      </c>
      <c r="Y265" s="31">
        <v>0</v>
      </c>
      <c r="Z265" s="31">
        <v>0</v>
      </c>
      <c r="AA265" s="31">
        <v>0</v>
      </c>
      <c r="AB265" s="31">
        <v>3</v>
      </c>
    </row>
    <row r="266" spans="1:28" ht="27.2" customHeight="1" x14ac:dyDescent="0.2">
      <c r="A266" s="146"/>
      <c r="B266" s="217"/>
      <c r="C266" s="165" t="s">
        <v>197</v>
      </c>
      <c r="D266" s="166"/>
      <c r="E266" s="166"/>
      <c r="F266" s="166"/>
      <c r="G266" s="167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8" t="s">
        <v>94</v>
      </c>
      <c r="B267" s="199"/>
      <c r="C267" s="199"/>
      <c r="D267" s="199"/>
      <c r="E267" s="199"/>
      <c r="F267" s="199"/>
      <c r="G267" s="200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44" t="s">
        <v>165</v>
      </c>
      <c r="B268" s="138" t="s">
        <v>198</v>
      </c>
      <c r="C268" s="139"/>
      <c r="D268" s="139"/>
      <c r="E268" s="139"/>
      <c r="F268" s="139"/>
      <c r="G268" s="140"/>
      <c r="H268" s="23">
        <v>21</v>
      </c>
      <c r="I268" s="31">
        <v>2</v>
      </c>
      <c r="J268" s="31">
        <v>2</v>
      </c>
      <c r="K268" s="31">
        <v>0</v>
      </c>
      <c r="L268" s="31">
        <v>0</v>
      </c>
      <c r="M268" s="31">
        <v>0</v>
      </c>
      <c r="N268" s="31">
        <v>0</v>
      </c>
      <c r="O268" s="31">
        <v>2</v>
      </c>
      <c r="P268" s="31">
        <v>2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45"/>
      <c r="B269" s="138" t="s">
        <v>199</v>
      </c>
      <c r="C269" s="139"/>
      <c r="D269" s="139"/>
      <c r="E269" s="139"/>
      <c r="F269" s="139"/>
      <c r="G269" s="140"/>
      <c r="H269" s="23">
        <v>22</v>
      </c>
      <c r="I269" s="31">
        <v>5</v>
      </c>
      <c r="J269" s="31">
        <v>5</v>
      </c>
      <c r="K269" s="31">
        <v>0</v>
      </c>
      <c r="L269" s="31">
        <v>0</v>
      </c>
      <c r="M269" s="31">
        <v>0</v>
      </c>
      <c r="N269" s="31">
        <v>0</v>
      </c>
      <c r="O269" s="31">
        <v>5</v>
      </c>
      <c r="P269" s="31">
        <v>5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2</v>
      </c>
      <c r="Z269" s="31">
        <v>2</v>
      </c>
      <c r="AA269" s="31">
        <v>0</v>
      </c>
      <c r="AB269" s="31">
        <v>0</v>
      </c>
    </row>
    <row r="270" spans="1:28" ht="41.25" customHeight="1" x14ac:dyDescent="0.2">
      <c r="A270" s="145"/>
      <c r="B270" s="138" t="s">
        <v>200</v>
      </c>
      <c r="C270" s="139"/>
      <c r="D270" s="139"/>
      <c r="E270" s="139"/>
      <c r="F270" s="139"/>
      <c r="G270" s="140"/>
      <c r="H270" s="23">
        <v>23</v>
      </c>
      <c r="I270" s="31">
        <v>3</v>
      </c>
      <c r="J270" s="31">
        <v>2</v>
      </c>
      <c r="K270" s="31">
        <v>0</v>
      </c>
      <c r="L270" s="31">
        <v>0</v>
      </c>
      <c r="M270" s="31">
        <v>0</v>
      </c>
      <c r="N270" s="31">
        <v>0</v>
      </c>
      <c r="O270" s="31">
        <v>2</v>
      </c>
      <c r="P270" s="31">
        <v>2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1</v>
      </c>
      <c r="X270" s="31">
        <v>0</v>
      </c>
      <c r="Y270" s="31">
        <v>1</v>
      </c>
      <c r="Z270" s="31">
        <v>1</v>
      </c>
      <c r="AA270" s="31">
        <v>0</v>
      </c>
      <c r="AB270" s="31">
        <v>1</v>
      </c>
    </row>
    <row r="271" spans="1:28" ht="27.2" customHeight="1" x14ac:dyDescent="0.2">
      <c r="A271" s="145"/>
      <c r="B271" s="216" t="s">
        <v>34</v>
      </c>
      <c r="C271" s="138" t="s">
        <v>201</v>
      </c>
      <c r="D271" s="139"/>
      <c r="E271" s="139"/>
      <c r="F271" s="139"/>
      <c r="G271" s="140"/>
      <c r="H271" s="23">
        <v>24</v>
      </c>
      <c r="I271" s="31">
        <v>5663</v>
      </c>
      <c r="J271" s="31">
        <v>444</v>
      </c>
      <c r="K271" s="31">
        <v>2</v>
      </c>
      <c r="L271" s="31">
        <v>0</v>
      </c>
      <c r="M271" s="31">
        <v>2</v>
      </c>
      <c r="N271" s="31">
        <v>0</v>
      </c>
      <c r="O271" s="31">
        <v>252</v>
      </c>
      <c r="P271" s="31">
        <v>229</v>
      </c>
      <c r="Q271" s="31">
        <v>0</v>
      </c>
      <c r="R271" s="31">
        <v>23</v>
      </c>
      <c r="S271" s="31">
        <v>0</v>
      </c>
      <c r="T271" s="31">
        <v>0</v>
      </c>
      <c r="U271" s="31">
        <v>56</v>
      </c>
      <c r="V271" s="31">
        <v>9</v>
      </c>
      <c r="W271" s="31">
        <v>110</v>
      </c>
      <c r="X271" s="31">
        <v>7</v>
      </c>
      <c r="Y271" s="31">
        <v>28</v>
      </c>
      <c r="Z271" s="31">
        <v>11</v>
      </c>
      <c r="AA271" s="31">
        <v>0</v>
      </c>
      <c r="AB271" s="31">
        <v>5392</v>
      </c>
    </row>
    <row r="272" spans="1:28" ht="27.2" customHeight="1" x14ac:dyDescent="0.2">
      <c r="A272" s="145"/>
      <c r="B272" s="217"/>
      <c r="C272" s="32" t="s">
        <v>32</v>
      </c>
      <c r="D272" s="138" t="s">
        <v>202</v>
      </c>
      <c r="E272" s="139"/>
      <c r="F272" s="139"/>
      <c r="G272" s="140"/>
      <c r="H272" s="23">
        <v>25</v>
      </c>
      <c r="I272" s="31">
        <v>5183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5</v>
      </c>
      <c r="Z272" s="31">
        <v>5</v>
      </c>
      <c r="AA272" s="31">
        <v>0</v>
      </c>
      <c r="AB272" s="31">
        <v>5183</v>
      </c>
    </row>
    <row r="273" spans="1:28" ht="27.2" customHeight="1" x14ac:dyDescent="0.2">
      <c r="A273" s="145"/>
      <c r="B273" s="138" t="s">
        <v>203</v>
      </c>
      <c r="C273" s="139"/>
      <c r="D273" s="139"/>
      <c r="E273" s="139"/>
      <c r="F273" s="139"/>
      <c r="G273" s="140"/>
      <c r="H273" s="23">
        <v>26</v>
      </c>
      <c r="I273" s="31">
        <v>26</v>
      </c>
      <c r="J273" s="31">
        <v>18</v>
      </c>
      <c r="K273" s="31">
        <v>0</v>
      </c>
      <c r="L273" s="31">
        <v>0</v>
      </c>
      <c r="M273" s="31">
        <v>0</v>
      </c>
      <c r="N273" s="31">
        <v>0</v>
      </c>
      <c r="O273" s="31">
        <v>13</v>
      </c>
      <c r="P273" s="31">
        <v>13</v>
      </c>
      <c r="Q273" s="31">
        <v>0</v>
      </c>
      <c r="R273" s="31">
        <v>0</v>
      </c>
      <c r="S273" s="31">
        <v>0</v>
      </c>
      <c r="T273" s="31">
        <v>0</v>
      </c>
      <c r="U273" s="31">
        <v>2</v>
      </c>
      <c r="V273" s="31">
        <v>0</v>
      </c>
      <c r="W273" s="31">
        <v>4</v>
      </c>
      <c r="X273" s="31">
        <v>1</v>
      </c>
      <c r="Y273" s="31">
        <v>1</v>
      </c>
      <c r="Z273" s="31">
        <v>1</v>
      </c>
      <c r="AA273" s="31">
        <v>0</v>
      </c>
      <c r="AB273" s="31">
        <v>13</v>
      </c>
    </row>
    <row r="274" spans="1:28" ht="27.2" customHeight="1" x14ac:dyDescent="0.2">
      <c r="A274" s="145"/>
      <c r="B274" s="138" t="s">
        <v>204</v>
      </c>
      <c r="C274" s="139"/>
      <c r="D274" s="139"/>
      <c r="E274" s="139"/>
      <c r="F274" s="139"/>
      <c r="G274" s="140"/>
      <c r="H274" s="23">
        <v>27</v>
      </c>
      <c r="I274" s="31">
        <v>37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1</v>
      </c>
      <c r="P274" s="31">
        <v>0</v>
      </c>
      <c r="Q274" s="31">
        <v>0</v>
      </c>
      <c r="R274" s="31">
        <v>0</v>
      </c>
      <c r="S274" s="31">
        <v>1</v>
      </c>
      <c r="T274" s="31">
        <v>0</v>
      </c>
      <c r="U274" s="31">
        <v>0</v>
      </c>
      <c r="V274" s="31">
        <v>0</v>
      </c>
      <c r="W274" s="31">
        <v>0</v>
      </c>
      <c r="X274" s="31">
        <v>1</v>
      </c>
      <c r="Y274" s="31">
        <v>24</v>
      </c>
      <c r="Z274" s="31">
        <v>24</v>
      </c>
      <c r="AA274" s="31">
        <v>0</v>
      </c>
      <c r="AB274" s="31">
        <v>36</v>
      </c>
    </row>
    <row r="275" spans="1:28" ht="27.2" customHeight="1" x14ac:dyDescent="0.2">
      <c r="A275" s="145"/>
      <c r="B275" s="138" t="s">
        <v>205</v>
      </c>
      <c r="C275" s="139"/>
      <c r="D275" s="139"/>
      <c r="E275" s="139"/>
      <c r="F275" s="139"/>
      <c r="G275" s="140"/>
      <c r="H275" s="23">
        <v>28</v>
      </c>
      <c r="I275" s="31">
        <v>667</v>
      </c>
      <c r="J275" s="31">
        <v>650</v>
      </c>
      <c r="K275" s="31">
        <v>5</v>
      </c>
      <c r="L275" s="31">
        <v>0</v>
      </c>
      <c r="M275" s="31">
        <v>1</v>
      </c>
      <c r="N275" s="31">
        <v>0</v>
      </c>
      <c r="O275" s="31">
        <v>414</v>
      </c>
      <c r="P275" s="31">
        <v>404</v>
      </c>
      <c r="Q275" s="31">
        <v>0</v>
      </c>
      <c r="R275" s="31">
        <v>10</v>
      </c>
      <c r="S275" s="31">
        <v>0</v>
      </c>
      <c r="T275" s="31">
        <v>0</v>
      </c>
      <c r="U275" s="31">
        <v>86</v>
      </c>
      <c r="V275" s="31">
        <v>3</v>
      </c>
      <c r="W275" s="31">
        <v>165</v>
      </c>
      <c r="X275" s="31">
        <v>8</v>
      </c>
      <c r="Y275" s="31">
        <v>15</v>
      </c>
      <c r="Z275" s="31">
        <v>13</v>
      </c>
      <c r="AA275" s="31">
        <v>0</v>
      </c>
      <c r="AB275" s="31">
        <v>246</v>
      </c>
    </row>
    <row r="276" spans="1:28" ht="27.2" customHeight="1" x14ac:dyDescent="0.2">
      <c r="A276" s="145"/>
      <c r="B276" s="220" t="s">
        <v>34</v>
      </c>
      <c r="C276" s="242" t="s">
        <v>206</v>
      </c>
      <c r="D276" s="243"/>
      <c r="E276" s="243"/>
      <c r="F276" s="243"/>
      <c r="G276" s="244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45"/>
      <c r="B277" s="222"/>
      <c r="C277" s="138" t="s">
        <v>207</v>
      </c>
      <c r="D277" s="139"/>
      <c r="E277" s="139"/>
      <c r="F277" s="139"/>
      <c r="G277" s="140"/>
      <c r="H277" s="23">
        <v>30</v>
      </c>
      <c r="I277" s="31">
        <v>164</v>
      </c>
      <c r="J277" s="31">
        <v>161</v>
      </c>
      <c r="K277" s="31">
        <v>0</v>
      </c>
      <c r="L277" s="31">
        <v>0</v>
      </c>
      <c r="M277" s="31">
        <v>0</v>
      </c>
      <c r="N277" s="31">
        <v>0</v>
      </c>
      <c r="O277" s="31">
        <v>112</v>
      </c>
      <c r="P277" s="31">
        <v>110</v>
      </c>
      <c r="Q277" s="31">
        <v>0</v>
      </c>
      <c r="R277" s="31">
        <v>2</v>
      </c>
      <c r="S277" s="31">
        <v>0</v>
      </c>
      <c r="T277" s="31">
        <v>0</v>
      </c>
      <c r="U277" s="31">
        <v>29</v>
      </c>
      <c r="V277" s="31">
        <v>3</v>
      </c>
      <c r="W277" s="31">
        <v>44</v>
      </c>
      <c r="X277" s="31">
        <v>1</v>
      </c>
      <c r="Y277" s="31">
        <v>2</v>
      </c>
      <c r="Z277" s="31">
        <v>0</v>
      </c>
      <c r="AA277" s="31">
        <v>0</v>
      </c>
      <c r="AB277" s="31">
        <v>50</v>
      </c>
    </row>
    <row r="278" spans="1:28" ht="27.2" customHeight="1" x14ac:dyDescent="0.2">
      <c r="A278" s="145"/>
      <c r="B278" s="138" t="s">
        <v>208</v>
      </c>
      <c r="C278" s="139"/>
      <c r="D278" s="139"/>
      <c r="E278" s="139"/>
      <c r="F278" s="139"/>
      <c r="G278" s="140"/>
      <c r="H278" s="23">
        <v>31</v>
      </c>
      <c r="I278" s="31">
        <v>1031</v>
      </c>
      <c r="J278" s="31">
        <v>499</v>
      </c>
      <c r="K278" s="31">
        <v>5</v>
      </c>
      <c r="L278" s="31">
        <v>0</v>
      </c>
      <c r="M278" s="31">
        <v>5</v>
      </c>
      <c r="N278" s="31">
        <v>0</v>
      </c>
      <c r="O278" s="31">
        <v>440</v>
      </c>
      <c r="P278" s="31">
        <v>436</v>
      </c>
      <c r="Q278" s="31">
        <v>1</v>
      </c>
      <c r="R278" s="31">
        <v>3</v>
      </c>
      <c r="S278" s="31">
        <v>0</v>
      </c>
      <c r="T278" s="31">
        <v>0</v>
      </c>
      <c r="U278" s="31">
        <v>77</v>
      </c>
      <c r="V278" s="31">
        <v>9</v>
      </c>
      <c r="W278" s="31">
        <v>74</v>
      </c>
      <c r="X278" s="31">
        <v>14</v>
      </c>
      <c r="Y278" s="31">
        <v>421</v>
      </c>
      <c r="Z278" s="31">
        <v>420</v>
      </c>
      <c r="AA278" s="31">
        <v>0</v>
      </c>
      <c r="AB278" s="31">
        <v>585</v>
      </c>
    </row>
    <row r="279" spans="1:28" ht="27.2" customHeight="1" x14ac:dyDescent="0.2">
      <c r="A279" s="145"/>
      <c r="B279" s="33" t="s">
        <v>34</v>
      </c>
      <c r="C279" s="242" t="s">
        <v>206</v>
      </c>
      <c r="D279" s="243"/>
      <c r="E279" s="243"/>
      <c r="F279" s="243"/>
      <c r="G279" s="244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45"/>
      <c r="B280" s="138" t="s">
        <v>209</v>
      </c>
      <c r="C280" s="139"/>
      <c r="D280" s="139"/>
      <c r="E280" s="139"/>
      <c r="F280" s="139"/>
      <c r="G280" s="140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45"/>
      <c r="B281" s="138" t="s">
        <v>210</v>
      </c>
      <c r="C281" s="139"/>
      <c r="D281" s="139"/>
      <c r="E281" s="139"/>
      <c r="F281" s="139"/>
      <c r="G281" s="140"/>
      <c r="H281" s="23">
        <v>34</v>
      </c>
      <c r="I281" s="31">
        <v>22</v>
      </c>
      <c r="J281" s="31">
        <v>10</v>
      </c>
      <c r="K281" s="31">
        <v>0</v>
      </c>
      <c r="L281" s="31">
        <v>0</v>
      </c>
      <c r="M281" s="31">
        <v>0</v>
      </c>
      <c r="N281" s="31">
        <v>0</v>
      </c>
      <c r="O281" s="31">
        <v>10</v>
      </c>
      <c r="P281" s="31">
        <v>10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3</v>
      </c>
      <c r="X281" s="31">
        <v>0</v>
      </c>
      <c r="Y281" s="31">
        <v>10</v>
      </c>
      <c r="Z281" s="31">
        <v>10</v>
      </c>
      <c r="AA281" s="31">
        <v>0</v>
      </c>
      <c r="AB281" s="31">
        <v>12</v>
      </c>
    </row>
    <row r="282" spans="1:28" ht="27.2" customHeight="1" x14ac:dyDescent="0.2">
      <c r="A282" s="145"/>
      <c r="B282" s="245" t="s">
        <v>211</v>
      </c>
      <c r="C282" s="246"/>
      <c r="D282" s="246"/>
      <c r="E282" s="246"/>
      <c r="F282" s="246"/>
      <c r="G282" s="247"/>
      <c r="H282" s="23">
        <v>35</v>
      </c>
      <c r="I282" s="53">
        <v>8937</v>
      </c>
      <c r="J282" s="53">
        <v>6398</v>
      </c>
      <c r="K282" s="53">
        <v>9</v>
      </c>
      <c r="L282" s="53">
        <v>0</v>
      </c>
      <c r="M282" s="53">
        <v>8</v>
      </c>
      <c r="N282" s="53">
        <v>0</v>
      </c>
      <c r="O282" s="53">
        <v>6301</v>
      </c>
      <c r="P282" s="53">
        <v>6230</v>
      </c>
      <c r="Q282" s="53">
        <v>3</v>
      </c>
      <c r="R282" s="53">
        <v>38</v>
      </c>
      <c r="S282" s="53">
        <v>30</v>
      </c>
      <c r="T282" s="53">
        <v>0</v>
      </c>
      <c r="U282" s="53">
        <v>933</v>
      </c>
      <c r="V282" s="53">
        <v>35</v>
      </c>
      <c r="W282" s="53">
        <v>985</v>
      </c>
      <c r="X282" s="53">
        <v>113</v>
      </c>
      <c r="Y282" s="53">
        <v>4954</v>
      </c>
      <c r="Z282" s="53">
        <v>4939</v>
      </c>
      <c r="AA282" s="53">
        <v>0</v>
      </c>
      <c r="AB282" s="53">
        <v>2612</v>
      </c>
    </row>
    <row r="283" spans="1:28" ht="27.2" customHeight="1" x14ac:dyDescent="0.2">
      <c r="A283" s="145"/>
      <c r="B283" s="138" t="s">
        <v>212</v>
      </c>
      <c r="C283" s="139"/>
      <c r="D283" s="139"/>
      <c r="E283" s="139"/>
      <c r="F283" s="139"/>
      <c r="G283" s="140"/>
      <c r="H283" s="23">
        <v>36</v>
      </c>
      <c r="I283" s="31">
        <v>1286</v>
      </c>
      <c r="J283" s="31">
        <v>1041</v>
      </c>
      <c r="K283" s="31">
        <v>0</v>
      </c>
      <c r="L283" s="31">
        <v>0</v>
      </c>
      <c r="M283" s="31">
        <v>0</v>
      </c>
      <c r="N283" s="31">
        <v>0</v>
      </c>
      <c r="O283" s="31">
        <v>1042</v>
      </c>
      <c r="P283" s="31">
        <v>1024</v>
      </c>
      <c r="Q283" s="31">
        <v>2</v>
      </c>
      <c r="R283" s="31">
        <v>6</v>
      </c>
      <c r="S283" s="31">
        <v>10</v>
      </c>
      <c r="T283" s="31">
        <v>0</v>
      </c>
      <c r="U283" s="31">
        <v>131</v>
      </c>
      <c r="V283" s="31">
        <v>1</v>
      </c>
      <c r="W283" s="31">
        <v>63</v>
      </c>
      <c r="X283" s="31">
        <v>13</v>
      </c>
      <c r="Y283" s="31">
        <v>381</v>
      </c>
      <c r="Z283" s="31">
        <v>381</v>
      </c>
      <c r="AA283" s="31">
        <v>0</v>
      </c>
      <c r="AB283" s="31">
        <v>244</v>
      </c>
    </row>
    <row r="284" spans="1:28" ht="27.2" customHeight="1" x14ac:dyDescent="0.2">
      <c r="A284" s="145"/>
      <c r="B284" s="216" t="s">
        <v>32</v>
      </c>
      <c r="C284" s="242" t="s">
        <v>213</v>
      </c>
      <c r="D284" s="243"/>
      <c r="E284" s="243"/>
      <c r="F284" s="243"/>
      <c r="G284" s="244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45"/>
      <c r="B285" s="233"/>
      <c r="C285" s="138" t="s">
        <v>214</v>
      </c>
      <c r="D285" s="139"/>
      <c r="E285" s="139"/>
      <c r="F285" s="139"/>
      <c r="G285" s="140"/>
      <c r="H285" s="23">
        <v>38</v>
      </c>
      <c r="I285" s="31">
        <v>1253</v>
      </c>
      <c r="J285" s="31">
        <v>1039</v>
      </c>
      <c r="K285" s="31">
        <v>0</v>
      </c>
      <c r="L285" s="31">
        <v>0</v>
      </c>
      <c r="M285" s="31">
        <v>0</v>
      </c>
      <c r="N285" s="31">
        <v>0</v>
      </c>
      <c r="O285" s="31">
        <v>1040</v>
      </c>
      <c r="P285" s="31">
        <v>1022</v>
      </c>
      <c r="Q285" s="31">
        <v>2</v>
      </c>
      <c r="R285" s="31">
        <v>6</v>
      </c>
      <c r="S285" s="31">
        <v>10</v>
      </c>
      <c r="T285" s="31">
        <v>0</v>
      </c>
      <c r="U285" s="31">
        <v>131</v>
      </c>
      <c r="V285" s="31">
        <v>0</v>
      </c>
      <c r="W285" s="31">
        <v>62</v>
      </c>
      <c r="X285" s="31">
        <v>13</v>
      </c>
      <c r="Y285" s="31">
        <v>375</v>
      </c>
      <c r="Z285" s="31">
        <v>375</v>
      </c>
      <c r="AA285" s="31">
        <v>0</v>
      </c>
      <c r="AB285" s="31">
        <v>213</v>
      </c>
    </row>
    <row r="286" spans="1:28" ht="27.2" customHeight="1" x14ac:dyDescent="0.2">
      <c r="A286" s="145"/>
      <c r="B286" s="217"/>
      <c r="C286" s="138" t="s">
        <v>215</v>
      </c>
      <c r="D286" s="139"/>
      <c r="E286" s="139"/>
      <c r="F286" s="139"/>
      <c r="G286" s="140"/>
      <c r="H286" s="23">
        <v>39</v>
      </c>
      <c r="I286" s="54">
        <v>33</v>
      </c>
      <c r="J286" s="54">
        <v>2</v>
      </c>
      <c r="K286" s="54">
        <v>0</v>
      </c>
      <c r="L286" s="54">
        <v>0</v>
      </c>
      <c r="M286" s="31">
        <v>0</v>
      </c>
      <c r="N286" s="31">
        <v>0</v>
      </c>
      <c r="O286" s="31">
        <v>2</v>
      </c>
      <c r="P286" s="31">
        <v>2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1</v>
      </c>
      <c r="W286" s="31">
        <v>1</v>
      </c>
      <c r="X286" s="31">
        <v>0</v>
      </c>
      <c r="Y286" s="31">
        <v>6</v>
      </c>
      <c r="Z286" s="31">
        <v>6</v>
      </c>
      <c r="AA286" s="31">
        <v>0</v>
      </c>
      <c r="AB286" s="31">
        <v>31</v>
      </c>
    </row>
    <row r="287" spans="1:28" ht="27.2" customHeight="1" x14ac:dyDescent="0.2">
      <c r="A287" s="145"/>
      <c r="B287" s="138" t="s">
        <v>216</v>
      </c>
      <c r="C287" s="139"/>
      <c r="D287" s="139"/>
      <c r="E287" s="139"/>
      <c r="F287" s="139"/>
      <c r="G287" s="140"/>
      <c r="H287" s="23">
        <v>40</v>
      </c>
      <c r="I287" s="54">
        <v>1254</v>
      </c>
      <c r="J287" s="54">
        <v>987</v>
      </c>
      <c r="K287" s="54">
        <v>5</v>
      </c>
      <c r="L287" s="54">
        <v>0</v>
      </c>
      <c r="M287" s="31">
        <v>3</v>
      </c>
      <c r="N287" s="31">
        <v>0</v>
      </c>
      <c r="O287" s="31">
        <v>893</v>
      </c>
      <c r="P287" s="31">
        <v>880</v>
      </c>
      <c r="Q287" s="31">
        <v>0</v>
      </c>
      <c r="R287" s="31">
        <v>13</v>
      </c>
      <c r="S287" s="31">
        <v>0</v>
      </c>
      <c r="T287" s="31">
        <v>0</v>
      </c>
      <c r="U287" s="31">
        <v>278</v>
      </c>
      <c r="V287" s="31">
        <v>2</v>
      </c>
      <c r="W287" s="31">
        <v>214</v>
      </c>
      <c r="X287" s="31">
        <v>0</v>
      </c>
      <c r="Y287" s="31">
        <v>205</v>
      </c>
      <c r="Z287" s="31">
        <v>199</v>
      </c>
      <c r="AA287" s="31">
        <v>0</v>
      </c>
      <c r="AB287" s="31">
        <v>350</v>
      </c>
    </row>
    <row r="288" spans="1:28" ht="24" customHeight="1" x14ac:dyDescent="0.2">
      <c r="A288" s="145"/>
      <c r="B288" s="138" t="s">
        <v>217</v>
      </c>
      <c r="C288" s="139"/>
      <c r="D288" s="139"/>
      <c r="E288" s="139"/>
      <c r="F288" s="139"/>
      <c r="G288" s="140"/>
      <c r="H288" s="23">
        <v>41</v>
      </c>
      <c r="I288" s="31">
        <v>68</v>
      </c>
      <c r="J288" s="31">
        <v>36</v>
      </c>
      <c r="K288" s="31">
        <v>8</v>
      </c>
      <c r="L288" s="31">
        <v>0</v>
      </c>
      <c r="M288" s="31">
        <v>8</v>
      </c>
      <c r="N288" s="31">
        <v>0</v>
      </c>
      <c r="O288" s="31">
        <v>18</v>
      </c>
      <c r="P288" s="31">
        <v>17</v>
      </c>
      <c r="Q288" s="31">
        <v>0</v>
      </c>
      <c r="R288" s="31">
        <v>0</v>
      </c>
      <c r="S288" s="31">
        <v>1</v>
      </c>
      <c r="T288" s="31">
        <v>0</v>
      </c>
      <c r="U288" s="31">
        <v>2</v>
      </c>
      <c r="V288" s="31">
        <v>9</v>
      </c>
      <c r="W288" s="31">
        <v>1</v>
      </c>
      <c r="X288" s="31">
        <v>7</v>
      </c>
      <c r="Y288" s="31">
        <v>7</v>
      </c>
      <c r="Z288" s="31">
        <v>7</v>
      </c>
      <c r="AA288" s="31">
        <v>0</v>
      </c>
      <c r="AB288" s="31">
        <v>42</v>
      </c>
    </row>
    <row r="289" spans="1:28" ht="27.75" customHeight="1" x14ac:dyDescent="0.2">
      <c r="A289" s="145"/>
      <c r="B289" s="33" t="s">
        <v>34</v>
      </c>
      <c r="C289" s="242" t="s">
        <v>206</v>
      </c>
      <c r="D289" s="243"/>
      <c r="E289" s="243"/>
      <c r="F289" s="243"/>
      <c r="G289" s="244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45"/>
      <c r="B290" s="138" t="s">
        <v>218</v>
      </c>
      <c r="C290" s="139"/>
      <c r="D290" s="139"/>
      <c r="E290" s="139"/>
      <c r="F290" s="139"/>
      <c r="G290" s="140"/>
      <c r="H290" s="23">
        <v>43</v>
      </c>
      <c r="I290" s="31">
        <v>357</v>
      </c>
      <c r="J290" s="31">
        <v>121</v>
      </c>
      <c r="K290" s="31">
        <v>0</v>
      </c>
      <c r="L290" s="31">
        <v>0</v>
      </c>
      <c r="M290" s="31">
        <v>0</v>
      </c>
      <c r="N290" s="31">
        <v>0</v>
      </c>
      <c r="O290" s="31">
        <v>110</v>
      </c>
      <c r="P290" s="31">
        <v>105</v>
      </c>
      <c r="Q290" s="31">
        <v>2</v>
      </c>
      <c r="R290" s="31">
        <v>2</v>
      </c>
      <c r="S290" s="31">
        <v>1</v>
      </c>
      <c r="T290" s="31">
        <v>0</v>
      </c>
      <c r="U290" s="31">
        <v>9</v>
      </c>
      <c r="V290" s="31">
        <v>0</v>
      </c>
      <c r="W290" s="31">
        <v>20</v>
      </c>
      <c r="X290" s="31">
        <v>4</v>
      </c>
      <c r="Y290" s="31">
        <v>288</v>
      </c>
      <c r="Z290" s="31">
        <v>287</v>
      </c>
      <c r="AA290" s="31">
        <v>0</v>
      </c>
      <c r="AB290" s="31">
        <v>246</v>
      </c>
    </row>
    <row r="291" spans="1:28" ht="27.2" customHeight="1" x14ac:dyDescent="0.2">
      <c r="A291" s="145"/>
      <c r="B291" s="138" t="s">
        <v>219</v>
      </c>
      <c r="C291" s="139"/>
      <c r="D291" s="139"/>
      <c r="E291" s="139"/>
      <c r="F291" s="139"/>
      <c r="G291" s="140"/>
      <c r="H291" s="23">
        <v>44</v>
      </c>
      <c r="I291" s="31">
        <v>324</v>
      </c>
      <c r="J291" s="31">
        <v>118</v>
      </c>
      <c r="K291" s="31">
        <v>2</v>
      </c>
      <c r="L291" s="31">
        <v>0</v>
      </c>
      <c r="M291" s="31">
        <v>2</v>
      </c>
      <c r="N291" s="31">
        <v>0</v>
      </c>
      <c r="O291" s="31">
        <v>106</v>
      </c>
      <c r="P291" s="31">
        <v>104</v>
      </c>
      <c r="Q291" s="31">
        <v>1</v>
      </c>
      <c r="R291" s="31">
        <v>1</v>
      </c>
      <c r="S291" s="31">
        <v>0</v>
      </c>
      <c r="T291" s="31">
        <v>0</v>
      </c>
      <c r="U291" s="31">
        <v>23</v>
      </c>
      <c r="V291" s="31">
        <v>0</v>
      </c>
      <c r="W291" s="31">
        <v>16</v>
      </c>
      <c r="X291" s="31">
        <v>1</v>
      </c>
      <c r="Y291" s="31">
        <v>234</v>
      </c>
      <c r="Z291" s="31">
        <v>233</v>
      </c>
      <c r="AA291" s="31">
        <v>0</v>
      </c>
      <c r="AB291" s="31">
        <v>215</v>
      </c>
    </row>
    <row r="292" spans="1:28" ht="27.2" customHeight="1" x14ac:dyDescent="0.2">
      <c r="A292" s="145"/>
      <c r="B292" s="216" t="s">
        <v>32</v>
      </c>
      <c r="C292" s="138" t="s">
        <v>220</v>
      </c>
      <c r="D292" s="139"/>
      <c r="E292" s="139"/>
      <c r="F292" s="139"/>
      <c r="G292" s="140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45"/>
      <c r="B293" s="233"/>
      <c r="C293" s="138" t="s">
        <v>221</v>
      </c>
      <c r="D293" s="139"/>
      <c r="E293" s="139"/>
      <c r="F293" s="139"/>
      <c r="G293" s="140"/>
      <c r="H293" s="23">
        <v>46</v>
      </c>
      <c r="I293" s="54">
        <v>322</v>
      </c>
      <c r="J293" s="54">
        <v>117</v>
      </c>
      <c r="K293" s="54">
        <v>2</v>
      </c>
      <c r="L293" s="54">
        <v>0</v>
      </c>
      <c r="M293" s="31">
        <v>2</v>
      </c>
      <c r="N293" s="31">
        <v>0</v>
      </c>
      <c r="O293" s="31">
        <v>106</v>
      </c>
      <c r="P293" s="31">
        <v>104</v>
      </c>
      <c r="Q293" s="31">
        <v>1</v>
      </c>
      <c r="R293" s="31">
        <v>1</v>
      </c>
      <c r="S293" s="31">
        <v>0</v>
      </c>
      <c r="T293" s="31">
        <v>0</v>
      </c>
      <c r="U293" s="31">
        <v>23</v>
      </c>
      <c r="V293" s="31">
        <v>0</v>
      </c>
      <c r="W293" s="31">
        <v>16</v>
      </c>
      <c r="X293" s="31">
        <v>1</v>
      </c>
      <c r="Y293" s="31">
        <v>234</v>
      </c>
      <c r="Z293" s="31">
        <v>233</v>
      </c>
      <c r="AA293" s="31">
        <v>0</v>
      </c>
      <c r="AB293" s="31">
        <v>213</v>
      </c>
    </row>
    <row r="294" spans="1:28" ht="27.2" customHeight="1" x14ac:dyDescent="0.2">
      <c r="A294" s="145"/>
      <c r="B294" s="217"/>
      <c r="C294" s="138" t="s">
        <v>222</v>
      </c>
      <c r="D294" s="139"/>
      <c r="E294" s="139"/>
      <c r="F294" s="139"/>
      <c r="G294" s="140"/>
      <c r="H294" s="23">
        <v>47</v>
      </c>
      <c r="I294" s="31">
        <v>2</v>
      </c>
      <c r="J294" s="31">
        <v>1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2</v>
      </c>
    </row>
    <row r="295" spans="1:28" ht="33" customHeight="1" x14ac:dyDescent="0.2">
      <c r="A295" s="145"/>
      <c r="B295" s="138" t="s">
        <v>223</v>
      </c>
      <c r="C295" s="139"/>
      <c r="D295" s="139"/>
      <c r="E295" s="139"/>
      <c r="F295" s="139"/>
      <c r="G295" s="140"/>
      <c r="H295" s="23">
        <v>48</v>
      </c>
      <c r="I295" s="31">
        <v>1</v>
      </c>
      <c r="J295" s="31">
        <v>1</v>
      </c>
      <c r="K295" s="31">
        <v>0</v>
      </c>
      <c r="L295" s="31">
        <v>0</v>
      </c>
      <c r="M295" s="31">
        <v>0</v>
      </c>
      <c r="N295" s="31">
        <v>0</v>
      </c>
      <c r="O295" s="31">
        <v>1</v>
      </c>
      <c r="P295" s="31">
        <v>1</v>
      </c>
      <c r="Q295" s="31">
        <v>0</v>
      </c>
      <c r="R295" s="31">
        <v>0</v>
      </c>
      <c r="S295" s="31">
        <v>0</v>
      </c>
      <c r="T295" s="31">
        <v>0</v>
      </c>
      <c r="U295" s="31">
        <v>1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54.75" customHeight="1" x14ac:dyDescent="0.2">
      <c r="A296" s="145"/>
      <c r="B296" s="138" t="s">
        <v>224</v>
      </c>
      <c r="C296" s="139"/>
      <c r="D296" s="139"/>
      <c r="E296" s="139"/>
      <c r="F296" s="139"/>
      <c r="G296" s="140"/>
      <c r="H296" s="23">
        <v>49</v>
      </c>
      <c r="I296" s="31">
        <v>0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</row>
    <row r="297" spans="1:28" ht="52.5" customHeight="1" x14ac:dyDescent="0.2">
      <c r="A297" s="145"/>
      <c r="B297" s="138" t="s">
        <v>225</v>
      </c>
      <c r="C297" s="139"/>
      <c r="D297" s="139"/>
      <c r="E297" s="139"/>
      <c r="F297" s="139"/>
      <c r="G297" s="140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45"/>
      <c r="B298" s="138" t="s">
        <v>226</v>
      </c>
      <c r="C298" s="139"/>
      <c r="D298" s="139"/>
      <c r="E298" s="139"/>
      <c r="F298" s="139"/>
      <c r="G298" s="140"/>
      <c r="H298" s="23">
        <v>51</v>
      </c>
      <c r="I298" s="31">
        <v>2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2</v>
      </c>
    </row>
    <row r="299" spans="1:28" ht="27.2" customHeight="1" x14ac:dyDescent="0.2">
      <c r="A299" s="145"/>
      <c r="B299" s="138" t="s">
        <v>227</v>
      </c>
      <c r="C299" s="139"/>
      <c r="D299" s="139"/>
      <c r="E299" s="139"/>
      <c r="F299" s="139"/>
      <c r="G299" s="140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45"/>
      <c r="B300" s="220" t="s">
        <v>32</v>
      </c>
      <c r="C300" s="138" t="s">
        <v>228</v>
      </c>
      <c r="D300" s="139"/>
      <c r="E300" s="139"/>
      <c r="F300" s="139"/>
      <c r="G300" s="140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45"/>
      <c r="B301" s="222"/>
      <c r="C301" s="138" t="s">
        <v>229</v>
      </c>
      <c r="D301" s="139"/>
      <c r="E301" s="139"/>
      <c r="F301" s="139"/>
      <c r="G301" s="140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45"/>
      <c r="B302" s="138" t="s">
        <v>230</v>
      </c>
      <c r="C302" s="139"/>
      <c r="D302" s="139"/>
      <c r="E302" s="139"/>
      <c r="F302" s="139"/>
      <c r="G302" s="140"/>
      <c r="H302" s="23">
        <v>55</v>
      </c>
      <c r="I302" s="31">
        <v>117</v>
      </c>
      <c r="J302" s="31">
        <v>70</v>
      </c>
      <c r="K302" s="31">
        <v>1</v>
      </c>
      <c r="L302" s="31">
        <v>0</v>
      </c>
      <c r="M302" s="31">
        <v>1</v>
      </c>
      <c r="N302" s="31">
        <v>0</v>
      </c>
      <c r="O302" s="31">
        <v>62</v>
      </c>
      <c r="P302" s="31">
        <v>62</v>
      </c>
      <c r="Q302" s="31">
        <v>0</v>
      </c>
      <c r="R302" s="31">
        <v>0</v>
      </c>
      <c r="S302" s="31">
        <v>0</v>
      </c>
      <c r="T302" s="31">
        <v>0</v>
      </c>
      <c r="U302" s="31">
        <v>7</v>
      </c>
      <c r="V302" s="31">
        <v>1</v>
      </c>
      <c r="W302" s="31">
        <v>24</v>
      </c>
      <c r="X302" s="31">
        <v>0</v>
      </c>
      <c r="Y302" s="31">
        <v>8</v>
      </c>
      <c r="Z302" s="31">
        <v>7</v>
      </c>
      <c r="AA302" s="31">
        <v>0</v>
      </c>
      <c r="AB302" s="31">
        <v>53</v>
      </c>
    </row>
    <row r="303" spans="1:28" ht="27.2" customHeight="1" x14ac:dyDescent="0.2">
      <c r="A303" s="145"/>
      <c r="B303" s="138" t="s">
        <v>231</v>
      </c>
      <c r="C303" s="139"/>
      <c r="D303" s="139"/>
      <c r="E303" s="139"/>
      <c r="F303" s="139"/>
      <c r="G303" s="140"/>
      <c r="H303" s="23">
        <v>56</v>
      </c>
      <c r="I303" s="31">
        <v>8</v>
      </c>
      <c r="J303" s="31">
        <v>1</v>
      </c>
      <c r="K303" s="31">
        <v>0</v>
      </c>
      <c r="L303" s="31">
        <v>0</v>
      </c>
      <c r="M303" s="31">
        <v>0</v>
      </c>
      <c r="N303" s="31">
        <v>0</v>
      </c>
      <c r="O303" s="31">
        <v>1</v>
      </c>
      <c r="P303" s="31">
        <v>1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1</v>
      </c>
      <c r="X303" s="31">
        <v>0</v>
      </c>
      <c r="Y303" s="31">
        <v>2</v>
      </c>
      <c r="Z303" s="31">
        <v>2</v>
      </c>
      <c r="AA303" s="31">
        <v>0</v>
      </c>
      <c r="AB303" s="31">
        <v>7</v>
      </c>
    </row>
    <row r="304" spans="1:28" ht="27.2" customHeight="1" x14ac:dyDescent="0.2">
      <c r="A304" s="145"/>
      <c r="B304" s="138" t="s">
        <v>232</v>
      </c>
      <c r="C304" s="139"/>
      <c r="D304" s="139"/>
      <c r="E304" s="139"/>
      <c r="F304" s="139"/>
      <c r="G304" s="140"/>
      <c r="H304" s="23">
        <v>57</v>
      </c>
      <c r="I304" s="31">
        <v>19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5</v>
      </c>
      <c r="Z304" s="31">
        <v>5</v>
      </c>
      <c r="AA304" s="31">
        <v>0</v>
      </c>
      <c r="AB304" s="31">
        <v>19</v>
      </c>
    </row>
    <row r="305" spans="1:28" ht="27.2" customHeight="1" x14ac:dyDescent="0.2">
      <c r="A305" s="145"/>
      <c r="B305" s="138" t="s">
        <v>233</v>
      </c>
      <c r="C305" s="139"/>
      <c r="D305" s="139"/>
      <c r="E305" s="139"/>
      <c r="F305" s="139"/>
      <c r="G305" s="140"/>
      <c r="H305" s="23">
        <v>58</v>
      </c>
      <c r="I305" s="31">
        <v>1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1</v>
      </c>
      <c r="Z305" s="31">
        <v>1</v>
      </c>
      <c r="AA305" s="31">
        <v>0</v>
      </c>
      <c r="AB305" s="31">
        <v>1</v>
      </c>
    </row>
    <row r="306" spans="1:28" ht="27.2" customHeight="1" x14ac:dyDescent="0.2">
      <c r="A306" s="145"/>
      <c r="B306" s="138" t="s">
        <v>234</v>
      </c>
      <c r="C306" s="139"/>
      <c r="D306" s="139"/>
      <c r="E306" s="139"/>
      <c r="F306" s="139"/>
      <c r="G306" s="140"/>
      <c r="H306" s="23">
        <v>59</v>
      </c>
      <c r="I306" s="31">
        <v>12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4</v>
      </c>
      <c r="Z306" s="31">
        <v>4</v>
      </c>
      <c r="AA306" s="31">
        <v>0</v>
      </c>
      <c r="AB306" s="31">
        <v>12</v>
      </c>
    </row>
    <row r="307" spans="1:28" ht="27.2" customHeight="1" x14ac:dyDescent="0.2">
      <c r="A307" s="145"/>
      <c r="B307" s="220" t="s">
        <v>32</v>
      </c>
      <c r="C307" s="138" t="s">
        <v>235</v>
      </c>
      <c r="D307" s="139"/>
      <c r="E307" s="139"/>
      <c r="F307" s="139"/>
      <c r="G307" s="140"/>
      <c r="H307" s="23">
        <v>60</v>
      </c>
      <c r="I307" s="31">
        <v>8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4</v>
      </c>
      <c r="Z307" s="31">
        <v>4</v>
      </c>
      <c r="AA307" s="31">
        <v>0</v>
      </c>
      <c r="AB307" s="31">
        <v>8</v>
      </c>
    </row>
    <row r="308" spans="1:28" ht="27.2" customHeight="1" x14ac:dyDescent="0.2">
      <c r="A308" s="145"/>
      <c r="B308" s="222"/>
      <c r="C308" s="138" t="s">
        <v>236</v>
      </c>
      <c r="D308" s="139"/>
      <c r="E308" s="139"/>
      <c r="F308" s="139"/>
      <c r="G308" s="140"/>
      <c r="H308" s="23">
        <v>61</v>
      </c>
      <c r="I308" s="54">
        <v>4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4</v>
      </c>
    </row>
    <row r="309" spans="1:28" ht="27.2" customHeight="1" x14ac:dyDescent="0.2">
      <c r="A309" s="145"/>
      <c r="B309" s="138" t="s">
        <v>237</v>
      </c>
      <c r="C309" s="139"/>
      <c r="D309" s="139"/>
      <c r="E309" s="139"/>
      <c r="F309" s="139"/>
      <c r="G309" s="140"/>
      <c r="H309" s="23">
        <v>62</v>
      </c>
      <c r="I309" s="31">
        <v>231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34</v>
      </c>
      <c r="Z309" s="31">
        <v>34</v>
      </c>
      <c r="AA309" s="31">
        <v>0</v>
      </c>
      <c r="AB309" s="31">
        <v>231</v>
      </c>
    </row>
    <row r="310" spans="1:28" ht="27.2" customHeight="1" x14ac:dyDescent="0.2">
      <c r="A310" s="145"/>
      <c r="B310" s="138" t="s">
        <v>238</v>
      </c>
      <c r="C310" s="139"/>
      <c r="D310" s="139"/>
      <c r="E310" s="139"/>
      <c r="F310" s="139"/>
      <c r="G310" s="140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45"/>
      <c r="B311" s="138" t="s">
        <v>239</v>
      </c>
      <c r="C311" s="139"/>
      <c r="D311" s="139"/>
      <c r="E311" s="139"/>
      <c r="F311" s="139"/>
      <c r="G311" s="140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45"/>
      <c r="B312" s="138" t="s">
        <v>240</v>
      </c>
      <c r="C312" s="139"/>
      <c r="D312" s="139"/>
      <c r="E312" s="139"/>
      <c r="F312" s="139"/>
      <c r="G312" s="140"/>
      <c r="H312" s="23">
        <v>65</v>
      </c>
      <c r="I312" s="31">
        <v>77</v>
      </c>
      <c r="J312" s="31">
        <v>1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2</v>
      </c>
      <c r="Z312" s="31">
        <v>2</v>
      </c>
      <c r="AA312" s="31">
        <v>0</v>
      </c>
      <c r="AB312" s="31">
        <v>77</v>
      </c>
    </row>
    <row r="313" spans="1:28" ht="27.2" customHeight="1" x14ac:dyDescent="0.2">
      <c r="A313" s="145"/>
      <c r="B313" s="138" t="s">
        <v>241</v>
      </c>
      <c r="C313" s="139"/>
      <c r="D313" s="139"/>
      <c r="E313" s="139"/>
      <c r="F313" s="139"/>
      <c r="G313" s="140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45"/>
      <c r="B314" s="220" t="s">
        <v>32</v>
      </c>
      <c r="C314" s="138" t="s">
        <v>242</v>
      </c>
      <c r="D314" s="139"/>
      <c r="E314" s="139"/>
      <c r="F314" s="139"/>
      <c r="G314" s="140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45"/>
      <c r="B315" s="222"/>
      <c r="C315" s="138" t="s">
        <v>243</v>
      </c>
      <c r="D315" s="139"/>
      <c r="E315" s="139"/>
      <c r="F315" s="139"/>
      <c r="G315" s="140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45"/>
      <c r="B316" s="138" t="s">
        <v>244</v>
      </c>
      <c r="C316" s="139"/>
      <c r="D316" s="139"/>
      <c r="E316" s="139"/>
      <c r="F316" s="139"/>
      <c r="G316" s="140"/>
      <c r="H316" s="23">
        <v>69</v>
      </c>
      <c r="I316" s="31">
        <v>1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1</v>
      </c>
    </row>
    <row r="317" spans="1:28" ht="27.2" customHeight="1" x14ac:dyDescent="0.2">
      <c r="A317" s="146"/>
      <c r="B317" s="138" t="s">
        <v>179</v>
      </c>
      <c r="C317" s="139"/>
      <c r="D317" s="139"/>
      <c r="E317" s="139"/>
      <c r="F317" s="139"/>
      <c r="G317" s="140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8" t="s">
        <v>115</v>
      </c>
      <c r="B318" s="139"/>
      <c r="C318" s="139"/>
      <c r="D318" s="139"/>
      <c r="E318" s="139"/>
      <c r="F318" s="139"/>
      <c r="G318" s="140"/>
      <c r="H318" s="23">
        <v>71</v>
      </c>
      <c r="I318" s="31">
        <f t="shared" ref="I318:AB318" si="4">SUM(I268:I317,I247:I266)</f>
        <v>141957</v>
      </c>
      <c r="J318" s="31">
        <f t="shared" si="4"/>
        <v>33055</v>
      </c>
      <c r="K318" s="31">
        <f t="shared" si="4"/>
        <v>115</v>
      </c>
      <c r="L318" s="31">
        <f t="shared" si="4"/>
        <v>0</v>
      </c>
      <c r="M318" s="31">
        <f t="shared" si="4"/>
        <v>94</v>
      </c>
      <c r="N318" s="31">
        <f t="shared" si="4"/>
        <v>0</v>
      </c>
      <c r="O318" s="31">
        <f t="shared" si="4"/>
        <v>30550</v>
      </c>
      <c r="P318" s="31">
        <f t="shared" si="4"/>
        <v>30058</v>
      </c>
      <c r="Q318" s="31">
        <f t="shared" si="4"/>
        <v>30</v>
      </c>
      <c r="R318" s="31">
        <f t="shared" si="4"/>
        <v>323</v>
      </c>
      <c r="S318" s="31">
        <f t="shared" si="4"/>
        <v>139</v>
      </c>
      <c r="T318" s="31">
        <f t="shared" si="4"/>
        <v>0</v>
      </c>
      <c r="U318" s="31">
        <f t="shared" si="4"/>
        <v>5073</v>
      </c>
      <c r="V318" s="31">
        <f t="shared" si="4"/>
        <v>228</v>
      </c>
      <c r="W318" s="31">
        <f t="shared" si="4"/>
        <v>5293</v>
      </c>
      <c r="X318" s="31">
        <f t="shared" si="4"/>
        <v>533</v>
      </c>
      <c r="Y318" s="31">
        <f t="shared" si="4"/>
        <v>143224</v>
      </c>
      <c r="Z318" s="31">
        <f t="shared" si="4"/>
        <v>143062</v>
      </c>
      <c r="AA318" s="31">
        <f t="shared" si="4"/>
        <v>0</v>
      </c>
      <c r="AB318" s="31">
        <f t="shared" si="4"/>
        <v>111130</v>
      </c>
    </row>
    <row r="319" spans="1:28" ht="19.5" customHeight="1" x14ac:dyDescent="0.2"/>
    <row r="320" spans="1:28" ht="29.25" customHeight="1" x14ac:dyDescent="0.25">
      <c r="A320" s="241" t="s">
        <v>245</v>
      </c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57"/>
    </row>
    <row r="321" spans="1:28" ht="31.5" customHeight="1" x14ac:dyDescent="0.2">
      <c r="A321" s="178"/>
      <c r="B321" s="179"/>
      <c r="C321" s="179"/>
      <c r="D321" s="179"/>
      <c r="E321" s="179"/>
      <c r="F321" s="179"/>
      <c r="G321" s="180"/>
      <c r="H321" s="187" t="s">
        <v>15</v>
      </c>
      <c r="I321" s="168" t="s">
        <v>1148</v>
      </c>
      <c r="J321" s="168" t="s">
        <v>16</v>
      </c>
      <c r="K321" s="168" t="s">
        <v>17</v>
      </c>
      <c r="L321" s="171" t="s">
        <v>18</v>
      </c>
      <c r="M321" s="172"/>
      <c r="N321" s="173"/>
      <c r="O321" s="168" t="s">
        <v>19</v>
      </c>
      <c r="P321" s="171" t="s">
        <v>20</v>
      </c>
      <c r="Q321" s="172"/>
      <c r="R321" s="172"/>
      <c r="S321" s="173"/>
      <c r="T321" s="168" t="s">
        <v>21</v>
      </c>
      <c r="U321" s="171" t="s">
        <v>22</v>
      </c>
      <c r="V321" s="172"/>
      <c r="W321" s="172"/>
      <c r="X321" s="173"/>
      <c r="Y321" s="171" t="s">
        <v>23</v>
      </c>
      <c r="Z321" s="172"/>
      <c r="AA321" s="173"/>
      <c r="AB321" s="168" t="s">
        <v>24</v>
      </c>
    </row>
    <row r="322" spans="1:28" ht="22.5" customHeight="1" x14ac:dyDescent="0.2">
      <c r="A322" s="181"/>
      <c r="B322" s="182"/>
      <c r="C322" s="182"/>
      <c r="D322" s="182"/>
      <c r="E322" s="182"/>
      <c r="F322" s="182"/>
      <c r="G322" s="183"/>
      <c r="H322" s="188"/>
      <c r="I322" s="170"/>
      <c r="J322" s="170"/>
      <c r="K322" s="170"/>
      <c r="L322" s="168" t="s">
        <v>25</v>
      </c>
      <c r="M322" s="168" t="s">
        <v>26</v>
      </c>
      <c r="N322" s="168" t="s">
        <v>27</v>
      </c>
      <c r="O322" s="170"/>
      <c r="P322" s="168" t="s">
        <v>28</v>
      </c>
      <c r="Q322" s="168" t="s">
        <v>29</v>
      </c>
      <c r="R322" s="168" t="s">
        <v>30</v>
      </c>
      <c r="S322" s="168" t="s">
        <v>31</v>
      </c>
      <c r="T322" s="170"/>
      <c r="U322" s="171" t="s">
        <v>32</v>
      </c>
      <c r="V322" s="172"/>
      <c r="W322" s="172"/>
      <c r="X322" s="173"/>
      <c r="Y322" s="168" t="s">
        <v>33</v>
      </c>
      <c r="Z322" s="171" t="s">
        <v>34</v>
      </c>
      <c r="AA322" s="173"/>
      <c r="AB322" s="170"/>
    </row>
    <row r="323" spans="1:28" ht="79.5" customHeight="1" x14ac:dyDescent="0.2">
      <c r="A323" s="184"/>
      <c r="B323" s="185"/>
      <c r="C323" s="185"/>
      <c r="D323" s="185"/>
      <c r="E323" s="185"/>
      <c r="F323" s="185"/>
      <c r="G323" s="186"/>
      <c r="H323" s="18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9" t="s">
        <v>35</v>
      </c>
      <c r="V323" s="16" t="s">
        <v>36</v>
      </c>
      <c r="W323" s="16" t="s">
        <v>37</v>
      </c>
      <c r="X323" s="16" t="s">
        <v>38</v>
      </c>
      <c r="Y323" s="169"/>
      <c r="Z323" s="18" t="s">
        <v>39</v>
      </c>
      <c r="AA323" s="17" t="s">
        <v>40</v>
      </c>
      <c r="AB323" s="169"/>
    </row>
    <row r="324" spans="1:28" ht="13.5" customHeight="1" x14ac:dyDescent="0.2">
      <c r="A324" s="150" t="s">
        <v>41</v>
      </c>
      <c r="B324" s="151"/>
      <c r="C324" s="151"/>
      <c r="D324" s="151"/>
      <c r="E324" s="151"/>
      <c r="F324" s="151"/>
      <c r="G324" s="152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53" t="s">
        <v>43</v>
      </c>
      <c r="B325" s="154"/>
      <c r="C325" s="154"/>
      <c r="D325" s="154"/>
      <c r="E325" s="154"/>
      <c r="F325" s="154"/>
      <c r="G325" s="155"/>
      <c r="H325" s="23">
        <v>1</v>
      </c>
      <c r="I325" s="31">
        <v>381</v>
      </c>
      <c r="J325" s="31">
        <v>150</v>
      </c>
      <c r="K325" s="31">
        <v>13</v>
      </c>
      <c r="L325" s="31">
        <v>0</v>
      </c>
      <c r="M325" s="31">
        <v>13</v>
      </c>
      <c r="N325" s="31">
        <v>0</v>
      </c>
      <c r="O325" s="31">
        <v>76</v>
      </c>
      <c r="P325" s="31">
        <v>75</v>
      </c>
      <c r="Q325" s="31">
        <v>0</v>
      </c>
      <c r="R325" s="31">
        <v>1</v>
      </c>
      <c r="S325" s="31">
        <v>0</v>
      </c>
      <c r="T325" s="31">
        <v>0</v>
      </c>
      <c r="U325" s="31">
        <v>17</v>
      </c>
      <c r="V325" s="31">
        <v>34</v>
      </c>
      <c r="W325" s="31">
        <v>6</v>
      </c>
      <c r="X325" s="31">
        <v>2</v>
      </c>
      <c r="Y325" s="31">
        <v>168</v>
      </c>
      <c r="Z325" s="31">
        <v>168</v>
      </c>
      <c r="AA325" s="31">
        <v>0</v>
      </c>
      <c r="AB325" s="31">
        <v>292</v>
      </c>
    </row>
    <row r="326" spans="1:28" ht="22.5" customHeight="1" x14ac:dyDescent="0.2">
      <c r="A326" s="156" t="s">
        <v>181</v>
      </c>
      <c r="B326" s="158"/>
      <c r="C326" s="165" t="s">
        <v>51</v>
      </c>
      <c r="D326" s="166"/>
      <c r="E326" s="166"/>
      <c r="F326" s="166"/>
      <c r="G326" s="167"/>
      <c r="H326" s="23">
        <v>2</v>
      </c>
      <c r="I326" s="31">
        <v>102</v>
      </c>
      <c r="J326" s="31">
        <v>58</v>
      </c>
      <c r="K326" s="31">
        <v>4</v>
      </c>
      <c r="L326" s="31">
        <v>0</v>
      </c>
      <c r="M326" s="31">
        <v>4</v>
      </c>
      <c r="N326" s="31">
        <v>0</v>
      </c>
      <c r="O326" s="31">
        <v>32</v>
      </c>
      <c r="P326" s="31">
        <v>32</v>
      </c>
      <c r="Q326" s="31">
        <v>0</v>
      </c>
      <c r="R326" s="31">
        <v>0</v>
      </c>
      <c r="S326" s="31">
        <v>0</v>
      </c>
      <c r="T326" s="31">
        <v>0</v>
      </c>
      <c r="U326" s="31">
        <v>6</v>
      </c>
      <c r="V326" s="31">
        <v>12</v>
      </c>
      <c r="W326" s="31">
        <v>1</v>
      </c>
      <c r="X326" s="31">
        <v>0</v>
      </c>
      <c r="Y326" s="31">
        <v>2</v>
      </c>
      <c r="Z326" s="31">
        <v>2</v>
      </c>
      <c r="AA326" s="31">
        <v>0</v>
      </c>
      <c r="AB326" s="31">
        <v>66</v>
      </c>
    </row>
    <row r="327" spans="1:28" ht="22.5" customHeight="1" x14ac:dyDescent="0.2">
      <c r="A327" s="159"/>
      <c r="B327" s="161"/>
      <c r="C327" s="165" t="s">
        <v>52</v>
      </c>
      <c r="D327" s="166"/>
      <c r="E327" s="166"/>
      <c r="F327" s="166"/>
      <c r="G327" s="167"/>
      <c r="H327" s="23">
        <v>3</v>
      </c>
      <c r="I327" s="31">
        <v>41</v>
      </c>
      <c r="J327" s="31">
        <v>25</v>
      </c>
      <c r="K327" s="31">
        <v>8</v>
      </c>
      <c r="L327" s="31">
        <v>0</v>
      </c>
      <c r="M327" s="31">
        <v>8</v>
      </c>
      <c r="N327" s="31">
        <v>0</v>
      </c>
      <c r="O327" s="31">
        <v>9</v>
      </c>
      <c r="P327" s="31">
        <v>8</v>
      </c>
      <c r="Q327" s="31">
        <v>0</v>
      </c>
      <c r="R327" s="31">
        <v>1</v>
      </c>
      <c r="S327" s="31">
        <v>0</v>
      </c>
      <c r="T327" s="31">
        <v>0</v>
      </c>
      <c r="U327" s="31">
        <v>1</v>
      </c>
      <c r="V327" s="31">
        <v>2</v>
      </c>
      <c r="W327" s="31">
        <v>0</v>
      </c>
      <c r="X327" s="31">
        <v>0</v>
      </c>
      <c r="Y327" s="31">
        <v>6</v>
      </c>
      <c r="Z327" s="31">
        <v>6</v>
      </c>
      <c r="AA327" s="31">
        <v>0</v>
      </c>
      <c r="AB327" s="31">
        <v>24</v>
      </c>
    </row>
    <row r="328" spans="1:28" ht="22.5" customHeight="1" x14ac:dyDescent="0.2">
      <c r="A328" s="159"/>
      <c r="B328" s="161"/>
      <c r="C328" s="165" t="s">
        <v>182</v>
      </c>
      <c r="D328" s="166"/>
      <c r="E328" s="166"/>
      <c r="F328" s="166"/>
      <c r="G328" s="167"/>
      <c r="H328" s="23">
        <v>4</v>
      </c>
      <c r="I328" s="31">
        <v>238</v>
      </c>
      <c r="J328" s="31">
        <v>67</v>
      </c>
      <c r="K328" s="31">
        <v>1</v>
      </c>
      <c r="L328" s="31">
        <v>0</v>
      </c>
      <c r="M328" s="31">
        <v>1</v>
      </c>
      <c r="N328" s="31">
        <v>0</v>
      </c>
      <c r="O328" s="31">
        <v>35</v>
      </c>
      <c r="P328" s="31">
        <v>35</v>
      </c>
      <c r="Q328" s="31">
        <v>0</v>
      </c>
      <c r="R328" s="31">
        <v>0</v>
      </c>
      <c r="S328" s="31">
        <v>0</v>
      </c>
      <c r="T328" s="31">
        <v>0</v>
      </c>
      <c r="U328" s="31">
        <v>10</v>
      </c>
      <c r="V328" s="31">
        <v>20</v>
      </c>
      <c r="W328" s="31">
        <v>5</v>
      </c>
      <c r="X328" s="31">
        <v>2</v>
      </c>
      <c r="Y328" s="31">
        <v>160</v>
      </c>
      <c r="Z328" s="31">
        <v>160</v>
      </c>
      <c r="AA328" s="31">
        <v>0</v>
      </c>
      <c r="AB328" s="31">
        <v>202</v>
      </c>
    </row>
    <row r="329" spans="1:28" ht="22.5" customHeight="1" x14ac:dyDescent="0.2">
      <c r="A329" s="162"/>
      <c r="B329" s="164"/>
      <c r="C329" s="165" t="s">
        <v>49</v>
      </c>
      <c r="D329" s="166"/>
      <c r="E329" s="166"/>
      <c r="F329" s="166"/>
      <c r="G329" s="167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44" t="s">
        <v>165</v>
      </c>
      <c r="B330" s="138" t="s">
        <v>246</v>
      </c>
      <c r="C330" s="139"/>
      <c r="D330" s="139"/>
      <c r="E330" s="139"/>
      <c r="F330" s="139"/>
      <c r="G330" s="140"/>
      <c r="H330" s="23">
        <v>6</v>
      </c>
      <c r="I330" s="31">
        <v>220</v>
      </c>
      <c r="J330" s="31">
        <v>79</v>
      </c>
      <c r="K330" s="31">
        <v>8</v>
      </c>
      <c r="L330" s="31">
        <v>0</v>
      </c>
      <c r="M330" s="31">
        <v>8</v>
      </c>
      <c r="N330" s="31">
        <v>0</v>
      </c>
      <c r="O330" s="31">
        <v>37</v>
      </c>
      <c r="P330" s="31">
        <v>37</v>
      </c>
      <c r="Q330" s="31">
        <v>0</v>
      </c>
      <c r="R330" s="31">
        <v>0</v>
      </c>
      <c r="S330" s="31">
        <v>0</v>
      </c>
      <c r="T330" s="31">
        <v>0</v>
      </c>
      <c r="U330" s="31">
        <v>10</v>
      </c>
      <c r="V330" s="31">
        <v>22</v>
      </c>
      <c r="W330" s="31">
        <v>5</v>
      </c>
      <c r="X330" s="31">
        <v>1</v>
      </c>
      <c r="Y330" s="31">
        <v>141</v>
      </c>
      <c r="Z330" s="31">
        <v>141</v>
      </c>
      <c r="AA330" s="31">
        <v>0</v>
      </c>
      <c r="AB330" s="31">
        <v>175</v>
      </c>
    </row>
    <row r="331" spans="1:28" ht="27.2" customHeight="1" x14ac:dyDescent="0.2">
      <c r="A331" s="145"/>
      <c r="B331" s="36" t="s">
        <v>32</v>
      </c>
      <c r="C331" s="139" t="s">
        <v>247</v>
      </c>
      <c r="D331" s="139"/>
      <c r="E331" s="139"/>
      <c r="F331" s="139"/>
      <c r="G331" s="140"/>
      <c r="H331" s="23">
        <v>7</v>
      </c>
      <c r="I331" s="31">
        <v>4</v>
      </c>
      <c r="J331" s="31">
        <v>3</v>
      </c>
      <c r="K331" s="31">
        <v>0</v>
      </c>
      <c r="L331" s="31">
        <v>0</v>
      </c>
      <c r="M331" s="31">
        <v>0</v>
      </c>
      <c r="N331" s="31">
        <v>0</v>
      </c>
      <c r="O331" s="31">
        <v>1</v>
      </c>
      <c r="P331" s="31">
        <v>1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1</v>
      </c>
      <c r="W331" s="31">
        <v>0</v>
      </c>
      <c r="X331" s="31">
        <v>0</v>
      </c>
      <c r="Y331" s="31">
        <v>1</v>
      </c>
      <c r="Z331" s="31">
        <v>1</v>
      </c>
      <c r="AA331" s="31">
        <v>0</v>
      </c>
      <c r="AB331" s="31">
        <v>3</v>
      </c>
    </row>
    <row r="332" spans="1:28" ht="27.2" customHeight="1" x14ac:dyDescent="0.2">
      <c r="A332" s="145"/>
      <c r="B332" s="138" t="s">
        <v>248</v>
      </c>
      <c r="C332" s="139"/>
      <c r="D332" s="139"/>
      <c r="E332" s="139"/>
      <c r="F332" s="139"/>
      <c r="G332" s="140"/>
      <c r="H332" s="23">
        <v>8</v>
      </c>
      <c r="I332" s="54">
        <v>40</v>
      </c>
      <c r="J332" s="54">
        <v>1</v>
      </c>
      <c r="K332" s="54">
        <v>1</v>
      </c>
      <c r="L332" s="54">
        <v>0</v>
      </c>
      <c r="M332" s="31">
        <v>1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22</v>
      </c>
      <c r="Z332" s="31">
        <v>22</v>
      </c>
      <c r="AA332" s="31">
        <v>0</v>
      </c>
      <c r="AB332" s="31">
        <v>39</v>
      </c>
    </row>
    <row r="333" spans="1:28" ht="27.2" customHeight="1" x14ac:dyDescent="0.2">
      <c r="A333" s="145"/>
      <c r="B333" s="138" t="s">
        <v>249</v>
      </c>
      <c r="C333" s="139"/>
      <c r="D333" s="139"/>
      <c r="E333" s="139"/>
      <c r="F333" s="139"/>
      <c r="G333" s="140"/>
      <c r="H333" s="23">
        <v>9</v>
      </c>
      <c r="I333" s="31">
        <v>3</v>
      </c>
      <c r="J333" s="31">
        <v>3</v>
      </c>
      <c r="K333" s="31">
        <v>0</v>
      </c>
      <c r="L333" s="31">
        <v>0</v>
      </c>
      <c r="M333" s="31">
        <v>0</v>
      </c>
      <c r="N333" s="31">
        <v>0</v>
      </c>
      <c r="O333" s="31">
        <v>2</v>
      </c>
      <c r="P333" s="31">
        <v>1</v>
      </c>
      <c r="Q333" s="31">
        <v>0</v>
      </c>
      <c r="R333" s="31">
        <v>1</v>
      </c>
      <c r="S333" s="31">
        <v>0</v>
      </c>
      <c r="T333" s="31">
        <v>0</v>
      </c>
      <c r="U333" s="31">
        <v>0</v>
      </c>
      <c r="V333" s="31">
        <v>0</v>
      </c>
      <c r="W333" s="31">
        <v>1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45"/>
      <c r="B334" s="138" t="s">
        <v>250</v>
      </c>
      <c r="C334" s="139"/>
      <c r="D334" s="139"/>
      <c r="E334" s="139"/>
      <c r="F334" s="139"/>
      <c r="G334" s="140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45"/>
      <c r="B335" s="138" t="s">
        <v>251</v>
      </c>
      <c r="C335" s="139"/>
      <c r="D335" s="139"/>
      <c r="E335" s="139"/>
      <c r="F335" s="139"/>
      <c r="G335" s="140"/>
      <c r="H335" s="23">
        <v>11</v>
      </c>
      <c r="I335" s="31">
        <v>114</v>
      </c>
      <c r="J335" s="31">
        <v>66</v>
      </c>
      <c r="K335" s="31">
        <v>4</v>
      </c>
      <c r="L335" s="31">
        <v>0</v>
      </c>
      <c r="M335" s="31">
        <v>4</v>
      </c>
      <c r="N335" s="31">
        <v>0</v>
      </c>
      <c r="O335" s="31">
        <v>36</v>
      </c>
      <c r="P335" s="31">
        <v>36</v>
      </c>
      <c r="Q335" s="31">
        <v>0</v>
      </c>
      <c r="R335" s="31">
        <v>0</v>
      </c>
      <c r="S335" s="31">
        <v>0</v>
      </c>
      <c r="T335" s="31">
        <v>0</v>
      </c>
      <c r="U335" s="31">
        <v>7</v>
      </c>
      <c r="V335" s="31">
        <v>12</v>
      </c>
      <c r="W335" s="31">
        <v>0</v>
      </c>
      <c r="X335" s="31">
        <v>0</v>
      </c>
      <c r="Y335" s="31">
        <v>2</v>
      </c>
      <c r="Z335" s="31">
        <v>2</v>
      </c>
      <c r="AA335" s="31">
        <v>0</v>
      </c>
      <c r="AB335" s="31">
        <v>74</v>
      </c>
    </row>
    <row r="336" spans="1:28" ht="27.2" customHeight="1" x14ac:dyDescent="0.2">
      <c r="A336" s="145"/>
      <c r="B336" s="220" t="s">
        <v>32</v>
      </c>
      <c r="C336" s="138" t="s">
        <v>252</v>
      </c>
      <c r="D336" s="139"/>
      <c r="E336" s="139"/>
      <c r="F336" s="139"/>
      <c r="G336" s="140"/>
      <c r="H336" s="23">
        <v>12</v>
      </c>
      <c r="I336" s="31">
        <v>77</v>
      </c>
      <c r="J336" s="31">
        <v>40</v>
      </c>
      <c r="K336" s="31">
        <v>4</v>
      </c>
      <c r="L336" s="31">
        <v>0</v>
      </c>
      <c r="M336" s="31">
        <v>4</v>
      </c>
      <c r="N336" s="31">
        <v>0</v>
      </c>
      <c r="O336" s="31">
        <v>17</v>
      </c>
      <c r="P336" s="31">
        <v>17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4</v>
      </c>
      <c r="W336" s="31">
        <v>0</v>
      </c>
      <c r="X336" s="31">
        <v>0</v>
      </c>
      <c r="Y336" s="31">
        <v>2</v>
      </c>
      <c r="Z336" s="31">
        <v>2</v>
      </c>
      <c r="AA336" s="31">
        <v>0</v>
      </c>
      <c r="AB336" s="31">
        <v>56</v>
      </c>
    </row>
    <row r="337" spans="1:28" ht="27.2" customHeight="1" x14ac:dyDescent="0.2">
      <c r="A337" s="145"/>
      <c r="B337" s="222"/>
      <c r="C337" s="138" t="s">
        <v>253</v>
      </c>
      <c r="D337" s="139"/>
      <c r="E337" s="139"/>
      <c r="F337" s="139"/>
      <c r="G337" s="140"/>
      <c r="H337" s="23">
        <v>13</v>
      </c>
      <c r="I337" s="31">
        <v>23</v>
      </c>
      <c r="J337" s="31">
        <v>16</v>
      </c>
      <c r="K337" s="31">
        <v>0</v>
      </c>
      <c r="L337" s="31">
        <v>0</v>
      </c>
      <c r="M337" s="31">
        <v>0</v>
      </c>
      <c r="N337" s="31">
        <v>0</v>
      </c>
      <c r="O337" s="31">
        <v>14</v>
      </c>
      <c r="P337" s="31">
        <v>14</v>
      </c>
      <c r="Q337" s="31">
        <v>0</v>
      </c>
      <c r="R337" s="31">
        <v>0</v>
      </c>
      <c r="S337" s="31">
        <v>0</v>
      </c>
      <c r="T337" s="31">
        <v>0</v>
      </c>
      <c r="U337" s="31">
        <v>6</v>
      </c>
      <c r="V337" s="31">
        <v>8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9</v>
      </c>
    </row>
    <row r="338" spans="1:28" ht="27.2" customHeight="1" x14ac:dyDescent="0.2">
      <c r="A338" s="145"/>
      <c r="B338" s="138" t="s">
        <v>254</v>
      </c>
      <c r="C338" s="139"/>
      <c r="D338" s="139"/>
      <c r="E338" s="139"/>
      <c r="F338" s="139"/>
      <c r="G338" s="140"/>
      <c r="H338" s="23">
        <v>14</v>
      </c>
      <c r="I338" s="31">
        <v>1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1</v>
      </c>
    </row>
    <row r="339" spans="1:28" ht="27.2" customHeight="1" x14ac:dyDescent="0.2">
      <c r="A339" s="145"/>
      <c r="B339" s="220" t="s">
        <v>32</v>
      </c>
      <c r="C339" s="138" t="s">
        <v>255</v>
      </c>
      <c r="D339" s="139"/>
      <c r="E339" s="139"/>
      <c r="F339" s="139"/>
      <c r="G339" s="140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45"/>
      <c r="B340" s="222"/>
      <c r="C340" s="138" t="s">
        <v>256</v>
      </c>
      <c r="D340" s="139"/>
      <c r="E340" s="139"/>
      <c r="F340" s="139"/>
      <c r="G340" s="140"/>
      <c r="H340" s="23">
        <v>16</v>
      </c>
      <c r="I340" s="54">
        <v>1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1</v>
      </c>
    </row>
    <row r="341" spans="1:28" ht="27.75" customHeight="1" x14ac:dyDescent="0.2">
      <c r="A341" s="145"/>
      <c r="B341" s="138" t="s">
        <v>257</v>
      </c>
      <c r="C341" s="139"/>
      <c r="D341" s="139"/>
      <c r="E341" s="139"/>
      <c r="F341" s="139"/>
      <c r="G341" s="140"/>
      <c r="H341" s="23">
        <v>17</v>
      </c>
      <c r="I341" s="31">
        <v>1</v>
      </c>
      <c r="J341" s="31">
        <v>1</v>
      </c>
      <c r="K341" s="31">
        <v>0</v>
      </c>
      <c r="L341" s="31">
        <v>0</v>
      </c>
      <c r="M341" s="31">
        <v>0</v>
      </c>
      <c r="N341" s="31">
        <v>0</v>
      </c>
      <c r="O341" s="31">
        <v>1</v>
      </c>
      <c r="P341" s="31">
        <v>1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1</v>
      </c>
      <c r="Y341" s="31">
        <v>1</v>
      </c>
      <c r="Z341" s="31">
        <v>1</v>
      </c>
      <c r="AA341" s="31">
        <v>0</v>
      </c>
      <c r="AB341" s="31">
        <v>0</v>
      </c>
    </row>
    <row r="342" spans="1:28" ht="27.2" customHeight="1" x14ac:dyDescent="0.2">
      <c r="A342" s="145"/>
      <c r="B342" s="138" t="s">
        <v>258</v>
      </c>
      <c r="C342" s="139"/>
      <c r="D342" s="139"/>
      <c r="E342" s="139"/>
      <c r="F342" s="139"/>
      <c r="G342" s="140"/>
      <c r="H342" s="23">
        <v>18</v>
      </c>
      <c r="I342" s="31">
        <v>2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2</v>
      </c>
      <c r="Z342" s="31">
        <v>2</v>
      </c>
      <c r="AA342" s="31">
        <v>0</v>
      </c>
      <c r="AB342" s="31">
        <v>2</v>
      </c>
    </row>
    <row r="343" spans="1:28" ht="27.2" customHeight="1" x14ac:dyDescent="0.2">
      <c r="A343" s="145"/>
      <c r="B343" s="138" t="s">
        <v>259</v>
      </c>
      <c r="C343" s="139"/>
      <c r="D343" s="139"/>
      <c r="E343" s="139"/>
      <c r="F343" s="139"/>
      <c r="G343" s="140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6"/>
      <c r="B344" s="138" t="s">
        <v>179</v>
      </c>
      <c r="C344" s="139"/>
      <c r="D344" s="139"/>
      <c r="E344" s="139"/>
      <c r="F344" s="139"/>
      <c r="G344" s="140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8" t="s">
        <v>115</v>
      </c>
      <c r="B345" s="139"/>
      <c r="C345" s="139"/>
      <c r="D345" s="139"/>
      <c r="E345" s="139"/>
      <c r="F345" s="139"/>
      <c r="G345" s="140"/>
      <c r="H345" s="23">
        <v>21</v>
      </c>
      <c r="I345" s="31">
        <f t="shared" ref="I345:AB345" si="5">SUM(I325:I344)</f>
        <v>1248</v>
      </c>
      <c r="J345" s="31">
        <f t="shared" si="5"/>
        <v>509</v>
      </c>
      <c r="K345" s="31">
        <f t="shared" si="5"/>
        <v>43</v>
      </c>
      <c r="L345" s="31">
        <f t="shared" si="5"/>
        <v>0</v>
      </c>
      <c r="M345" s="31">
        <f t="shared" si="5"/>
        <v>43</v>
      </c>
      <c r="N345" s="31">
        <f t="shared" si="5"/>
        <v>0</v>
      </c>
      <c r="O345" s="31">
        <f t="shared" si="5"/>
        <v>260</v>
      </c>
      <c r="P345" s="31">
        <f t="shared" si="5"/>
        <v>257</v>
      </c>
      <c r="Q345" s="31">
        <f t="shared" si="5"/>
        <v>0</v>
      </c>
      <c r="R345" s="31">
        <f t="shared" si="5"/>
        <v>3</v>
      </c>
      <c r="S345" s="31">
        <f t="shared" si="5"/>
        <v>0</v>
      </c>
      <c r="T345" s="31">
        <f t="shared" si="5"/>
        <v>0</v>
      </c>
      <c r="U345" s="31">
        <f t="shared" si="5"/>
        <v>57</v>
      </c>
      <c r="V345" s="31">
        <f t="shared" si="5"/>
        <v>115</v>
      </c>
      <c r="W345" s="31">
        <f t="shared" si="5"/>
        <v>18</v>
      </c>
      <c r="X345" s="31">
        <f t="shared" si="5"/>
        <v>6</v>
      </c>
      <c r="Y345" s="31">
        <f t="shared" si="5"/>
        <v>507</v>
      </c>
      <c r="Z345" s="31">
        <f t="shared" si="5"/>
        <v>507</v>
      </c>
      <c r="AA345" s="31">
        <f t="shared" si="5"/>
        <v>0</v>
      </c>
      <c r="AB345" s="31">
        <f t="shared" si="5"/>
        <v>945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40" t="s">
        <v>260</v>
      </c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  <c r="AA347" s="240"/>
      <c r="AB347" s="57"/>
    </row>
    <row r="348" spans="1:28" ht="29.25" customHeight="1" x14ac:dyDescent="0.2">
      <c r="A348" s="178"/>
      <c r="B348" s="179"/>
      <c r="C348" s="179"/>
      <c r="D348" s="179"/>
      <c r="E348" s="179"/>
      <c r="F348" s="179"/>
      <c r="G348" s="180"/>
      <c r="H348" s="187" t="s">
        <v>15</v>
      </c>
      <c r="I348" s="168" t="s">
        <v>1148</v>
      </c>
      <c r="J348" s="168" t="s">
        <v>16</v>
      </c>
      <c r="K348" s="168" t="s">
        <v>17</v>
      </c>
      <c r="L348" s="171" t="s">
        <v>18</v>
      </c>
      <c r="M348" s="172"/>
      <c r="N348" s="173"/>
      <c r="O348" s="168" t="s">
        <v>19</v>
      </c>
      <c r="P348" s="171" t="s">
        <v>20</v>
      </c>
      <c r="Q348" s="172"/>
      <c r="R348" s="172"/>
      <c r="S348" s="173"/>
      <c r="T348" s="168" t="s">
        <v>21</v>
      </c>
      <c r="U348" s="171" t="s">
        <v>22</v>
      </c>
      <c r="V348" s="172"/>
      <c r="W348" s="172"/>
      <c r="X348" s="173"/>
      <c r="Y348" s="171" t="s">
        <v>23</v>
      </c>
      <c r="Z348" s="172"/>
      <c r="AA348" s="173"/>
      <c r="AB348" s="168" t="s">
        <v>24</v>
      </c>
    </row>
    <row r="349" spans="1:28" ht="20.25" customHeight="1" x14ac:dyDescent="0.2">
      <c r="A349" s="181"/>
      <c r="B349" s="182"/>
      <c r="C349" s="182"/>
      <c r="D349" s="182"/>
      <c r="E349" s="182"/>
      <c r="F349" s="182"/>
      <c r="G349" s="183"/>
      <c r="H349" s="188"/>
      <c r="I349" s="170"/>
      <c r="J349" s="170"/>
      <c r="K349" s="170"/>
      <c r="L349" s="168" t="s">
        <v>25</v>
      </c>
      <c r="M349" s="168" t="s">
        <v>26</v>
      </c>
      <c r="N349" s="168" t="s">
        <v>27</v>
      </c>
      <c r="O349" s="170"/>
      <c r="P349" s="168" t="s">
        <v>28</v>
      </c>
      <c r="Q349" s="168" t="s">
        <v>29</v>
      </c>
      <c r="R349" s="168" t="s">
        <v>30</v>
      </c>
      <c r="S349" s="168" t="s">
        <v>31</v>
      </c>
      <c r="T349" s="170"/>
      <c r="U349" s="171" t="s">
        <v>32</v>
      </c>
      <c r="V349" s="172"/>
      <c r="W349" s="172"/>
      <c r="X349" s="173"/>
      <c r="Y349" s="168" t="s">
        <v>33</v>
      </c>
      <c r="Z349" s="171" t="s">
        <v>34</v>
      </c>
      <c r="AA349" s="173"/>
      <c r="AB349" s="170"/>
    </row>
    <row r="350" spans="1:28" ht="81.75" customHeight="1" x14ac:dyDescent="0.2">
      <c r="A350" s="184"/>
      <c r="B350" s="185"/>
      <c r="C350" s="185"/>
      <c r="D350" s="185"/>
      <c r="E350" s="185"/>
      <c r="F350" s="185"/>
      <c r="G350" s="186"/>
      <c r="H350" s="18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9" t="s">
        <v>35</v>
      </c>
      <c r="V350" s="16" t="s">
        <v>36</v>
      </c>
      <c r="W350" s="16" t="s">
        <v>37</v>
      </c>
      <c r="X350" s="16" t="s">
        <v>38</v>
      </c>
      <c r="Y350" s="169"/>
      <c r="Z350" s="18" t="s">
        <v>39</v>
      </c>
      <c r="AA350" s="17" t="s">
        <v>40</v>
      </c>
      <c r="AB350" s="169"/>
    </row>
    <row r="351" spans="1:28" ht="15" customHeight="1" x14ac:dyDescent="0.2">
      <c r="A351" s="150" t="s">
        <v>41</v>
      </c>
      <c r="B351" s="151"/>
      <c r="C351" s="151"/>
      <c r="D351" s="151"/>
      <c r="E351" s="151"/>
      <c r="F351" s="151"/>
      <c r="G351" s="152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53" t="s">
        <v>43</v>
      </c>
      <c r="B352" s="154"/>
      <c r="C352" s="154"/>
      <c r="D352" s="154"/>
      <c r="E352" s="154"/>
      <c r="F352" s="154"/>
      <c r="G352" s="155"/>
      <c r="H352" s="23">
        <v>1</v>
      </c>
      <c r="I352" s="31">
        <v>587</v>
      </c>
      <c r="J352" s="31">
        <v>461</v>
      </c>
      <c r="K352" s="31">
        <v>7</v>
      </c>
      <c r="L352" s="31">
        <v>0</v>
      </c>
      <c r="M352" s="31">
        <v>3</v>
      </c>
      <c r="N352" s="31">
        <v>4</v>
      </c>
      <c r="O352" s="31">
        <v>338</v>
      </c>
      <c r="P352" s="31">
        <v>326</v>
      </c>
      <c r="Q352" s="31">
        <v>0</v>
      </c>
      <c r="R352" s="31">
        <v>5</v>
      </c>
      <c r="S352" s="31">
        <v>7</v>
      </c>
      <c r="T352" s="31">
        <v>0</v>
      </c>
      <c r="U352" s="31">
        <v>53</v>
      </c>
      <c r="V352" s="31">
        <v>2</v>
      </c>
      <c r="W352" s="31">
        <v>30</v>
      </c>
      <c r="X352" s="31">
        <v>47</v>
      </c>
      <c r="Y352" s="31">
        <v>78</v>
      </c>
      <c r="Z352" s="31">
        <v>74</v>
      </c>
      <c r="AA352" s="31">
        <v>0</v>
      </c>
      <c r="AB352" s="31">
        <v>238</v>
      </c>
    </row>
    <row r="353" spans="1:28" ht="21" customHeight="1" x14ac:dyDescent="0.2">
      <c r="A353" s="156" t="s">
        <v>181</v>
      </c>
      <c r="B353" s="158"/>
      <c r="C353" s="165" t="s">
        <v>51</v>
      </c>
      <c r="D353" s="166"/>
      <c r="E353" s="166"/>
      <c r="F353" s="166"/>
      <c r="G353" s="167"/>
      <c r="H353" s="23">
        <v>2</v>
      </c>
      <c r="I353" s="31">
        <v>236</v>
      </c>
      <c r="J353" s="31">
        <v>215</v>
      </c>
      <c r="K353" s="31">
        <v>6</v>
      </c>
      <c r="L353" s="31">
        <v>0</v>
      </c>
      <c r="M353" s="31">
        <v>2</v>
      </c>
      <c r="N353" s="31">
        <v>4</v>
      </c>
      <c r="O353" s="31">
        <v>153</v>
      </c>
      <c r="P353" s="31">
        <v>144</v>
      </c>
      <c r="Q353" s="31">
        <v>0</v>
      </c>
      <c r="R353" s="31">
        <v>2</v>
      </c>
      <c r="S353" s="31">
        <v>7</v>
      </c>
      <c r="T353" s="31">
        <v>0</v>
      </c>
      <c r="U353" s="31">
        <v>19</v>
      </c>
      <c r="V353" s="31">
        <v>2</v>
      </c>
      <c r="W353" s="31">
        <v>18</v>
      </c>
      <c r="X353" s="31">
        <v>39</v>
      </c>
      <c r="Y353" s="31">
        <v>27</v>
      </c>
      <c r="Z353" s="31">
        <v>23</v>
      </c>
      <c r="AA353" s="31">
        <v>0</v>
      </c>
      <c r="AB353" s="31">
        <v>73</v>
      </c>
    </row>
    <row r="354" spans="1:28" ht="21" customHeight="1" x14ac:dyDescent="0.2">
      <c r="A354" s="159"/>
      <c r="B354" s="161"/>
      <c r="C354" s="165" t="s">
        <v>52</v>
      </c>
      <c r="D354" s="166"/>
      <c r="E354" s="166"/>
      <c r="F354" s="166"/>
      <c r="G354" s="167"/>
      <c r="H354" s="23">
        <v>3</v>
      </c>
      <c r="I354" s="31">
        <v>189</v>
      </c>
      <c r="J354" s="31">
        <v>133</v>
      </c>
      <c r="K354" s="31">
        <v>1</v>
      </c>
      <c r="L354" s="31">
        <v>0</v>
      </c>
      <c r="M354" s="31">
        <v>1</v>
      </c>
      <c r="N354" s="31">
        <v>0</v>
      </c>
      <c r="O354" s="31">
        <v>94</v>
      </c>
      <c r="P354" s="31">
        <v>93</v>
      </c>
      <c r="Q354" s="31">
        <v>0</v>
      </c>
      <c r="R354" s="31">
        <v>1</v>
      </c>
      <c r="S354" s="31">
        <v>0</v>
      </c>
      <c r="T354" s="31">
        <v>0</v>
      </c>
      <c r="U354" s="31">
        <v>10</v>
      </c>
      <c r="V354" s="31">
        <v>0</v>
      </c>
      <c r="W354" s="31">
        <v>9</v>
      </c>
      <c r="X354" s="31">
        <v>8</v>
      </c>
      <c r="Y354" s="31">
        <v>20</v>
      </c>
      <c r="Z354" s="31">
        <v>20</v>
      </c>
      <c r="AA354" s="31">
        <v>0</v>
      </c>
      <c r="AB354" s="31">
        <v>94</v>
      </c>
    </row>
    <row r="355" spans="1:28" ht="21" customHeight="1" x14ac:dyDescent="0.2">
      <c r="A355" s="159"/>
      <c r="B355" s="161"/>
      <c r="C355" s="165" t="s">
        <v>182</v>
      </c>
      <c r="D355" s="166"/>
      <c r="E355" s="166"/>
      <c r="F355" s="166"/>
      <c r="G355" s="167"/>
      <c r="H355" s="23">
        <v>4</v>
      </c>
      <c r="I355" s="31">
        <v>159</v>
      </c>
      <c r="J355" s="31">
        <v>112</v>
      </c>
      <c r="K355" s="31">
        <v>0</v>
      </c>
      <c r="L355" s="31">
        <v>0</v>
      </c>
      <c r="M355" s="31">
        <v>0</v>
      </c>
      <c r="N355" s="31">
        <v>0</v>
      </c>
      <c r="O355" s="31">
        <v>90</v>
      </c>
      <c r="P355" s="31">
        <v>88</v>
      </c>
      <c r="Q355" s="31">
        <v>0</v>
      </c>
      <c r="R355" s="31">
        <v>2</v>
      </c>
      <c r="S355" s="31">
        <v>0</v>
      </c>
      <c r="T355" s="31">
        <v>0</v>
      </c>
      <c r="U355" s="31">
        <v>24</v>
      </c>
      <c r="V355" s="31">
        <v>0</v>
      </c>
      <c r="W355" s="31">
        <v>3</v>
      </c>
      <c r="X355" s="31">
        <v>0</v>
      </c>
      <c r="Y355" s="31">
        <v>28</v>
      </c>
      <c r="Z355" s="31">
        <v>28</v>
      </c>
      <c r="AA355" s="31">
        <v>0</v>
      </c>
      <c r="AB355" s="31">
        <v>69</v>
      </c>
    </row>
    <row r="356" spans="1:28" ht="21" customHeight="1" x14ac:dyDescent="0.2">
      <c r="A356" s="162"/>
      <c r="B356" s="164"/>
      <c r="C356" s="165" t="s">
        <v>49</v>
      </c>
      <c r="D356" s="166"/>
      <c r="E356" s="166"/>
      <c r="F356" s="166"/>
      <c r="G356" s="167"/>
      <c r="H356" s="23">
        <v>5</v>
      </c>
      <c r="I356" s="31">
        <v>3</v>
      </c>
      <c r="J356" s="31">
        <v>1</v>
      </c>
      <c r="K356" s="31">
        <v>0</v>
      </c>
      <c r="L356" s="31">
        <v>0</v>
      </c>
      <c r="M356" s="31">
        <v>0</v>
      </c>
      <c r="N356" s="31">
        <v>0</v>
      </c>
      <c r="O356" s="31">
        <v>1</v>
      </c>
      <c r="P356" s="31">
        <v>1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2</v>
      </c>
      <c r="Z356" s="31">
        <v>2</v>
      </c>
      <c r="AA356" s="31">
        <v>0</v>
      </c>
      <c r="AB356" s="31">
        <v>2</v>
      </c>
    </row>
    <row r="357" spans="1:28" ht="27.2" customHeight="1" x14ac:dyDescent="0.2">
      <c r="A357" s="144" t="s">
        <v>165</v>
      </c>
      <c r="B357" s="138" t="s">
        <v>261</v>
      </c>
      <c r="C357" s="139"/>
      <c r="D357" s="139"/>
      <c r="E357" s="139"/>
      <c r="F357" s="139"/>
      <c r="G357" s="140"/>
      <c r="H357" s="23">
        <v>6</v>
      </c>
      <c r="I357" s="31">
        <v>245</v>
      </c>
      <c r="J357" s="31">
        <v>222</v>
      </c>
      <c r="K357" s="31">
        <v>4</v>
      </c>
      <c r="L357" s="31">
        <v>0</v>
      </c>
      <c r="M357" s="31">
        <v>2</v>
      </c>
      <c r="N357" s="31">
        <v>2</v>
      </c>
      <c r="O357" s="31">
        <v>158</v>
      </c>
      <c r="P357" s="31">
        <v>148</v>
      </c>
      <c r="Q357" s="31">
        <v>0</v>
      </c>
      <c r="R357" s="31">
        <v>3</v>
      </c>
      <c r="S357" s="31">
        <v>7</v>
      </c>
      <c r="T357" s="31">
        <v>0</v>
      </c>
      <c r="U357" s="31">
        <v>31</v>
      </c>
      <c r="V357" s="31">
        <v>2</v>
      </c>
      <c r="W357" s="31">
        <v>23</v>
      </c>
      <c r="X357" s="31">
        <v>37</v>
      </c>
      <c r="Y357" s="31">
        <v>35</v>
      </c>
      <c r="Z357" s="31">
        <v>31</v>
      </c>
      <c r="AA357" s="31">
        <v>0</v>
      </c>
      <c r="AB357" s="31">
        <v>79</v>
      </c>
    </row>
    <row r="358" spans="1:28" ht="27.2" customHeight="1" x14ac:dyDescent="0.2">
      <c r="A358" s="145"/>
      <c r="B358" s="237" t="s">
        <v>262</v>
      </c>
      <c r="C358" s="238"/>
      <c r="D358" s="238"/>
      <c r="E358" s="238"/>
      <c r="F358" s="238"/>
      <c r="G358" s="239"/>
      <c r="H358" s="23">
        <v>7</v>
      </c>
      <c r="I358" s="31">
        <v>108</v>
      </c>
      <c r="J358" s="31">
        <v>65</v>
      </c>
      <c r="K358" s="31">
        <v>2</v>
      </c>
      <c r="L358" s="31">
        <v>0</v>
      </c>
      <c r="M358" s="31">
        <v>0</v>
      </c>
      <c r="N358" s="31">
        <v>2</v>
      </c>
      <c r="O358" s="31">
        <v>42</v>
      </c>
      <c r="P358" s="31">
        <v>42</v>
      </c>
      <c r="Q358" s="31">
        <v>0</v>
      </c>
      <c r="R358" s="31">
        <v>0</v>
      </c>
      <c r="S358" s="31">
        <v>0</v>
      </c>
      <c r="T358" s="31">
        <v>0</v>
      </c>
      <c r="U358" s="31">
        <v>4</v>
      </c>
      <c r="V358" s="31">
        <v>0</v>
      </c>
      <c r="W358" s="31">
        <v>4</v>
      </c>
      <c r="X358" s="31">
        <v>6</v>
      </c>
      <c r="Y358" s="31">
        <v>10</v>
      </c>
      <c r="Z358" s="31">
        <v>10</v>
      </c>
      <c r="AA358" s="31">
        <v>0</v>
      </c>
      <c r="AB358" s="31">
        <v>64</v>
      </c>
    </row>
    <row r="359" spans="1:28" ht="27.2" customHeight="1" x14ac:dyDescent="0.2">
      <c r="A359" s="145"/>
      <c r="B359" s="138" t="s">
        <v>263</v>
      </c>
      <c r="C359" s="139"/>
      <c r="D359" s="139"/>
      <c r="E359" s="139"/>
      <c r="F359" s="139"/>
      <c r="G359" s="140"/>
      <c r="H359" s="23">
        <v>8</v>
      </c>
      <c r="I359" s="31">
        <v>3</v>
      </c>
      <c r="J359" s="31">
        <v>1</v>
      </c>
      <c r="K359" s="31">
        <v>0</v>
      </c>
      <c r="L359" s="31">
        <v>0</v>
      </c>
      <c r="M359" s="31">
        <v>0</v>
      </c>
      <c r="N359" s="31">
        <v>0</v>
      </c>
      <c r="O359" s="31">
        <v>1</v>
      </c>
      <c r="P359" s="31">
        <v>1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2</v>
      </c>
      <c r="Z359" s="31">
        <v>2</v>
      </c>
      <c r="AA359" s="31">
        <v>0</v>
      </c>
      <c r="AB359" s="31">
        <v>2</v>
      </c>
    </row>
    <row r="360" spans="1:28" ht="27.2" customHeight="1" x14ac:dyDescent="0.2">
      <c r="A360" s="145"/>
      <c r="B360" s="216" t="s">
        <v>32</v>
      </c>
      <c r="C360" s="138" t="s">
        <v>264</v>
      </c>
      <c r="D360" s="139"/>
      <c r="E360" s="139"/>
      <c r="F360" s="139"/>
      <c r="G360" s="140"/>
      <c r="H360" s="23">
        <v>9</v>
      </c>
      <c r="I360" s="31">
        <v>3</v>
      </c>
      <c r="J360" s="31">
        <v>1</v>
      </c>
      <c r="K360" s="31">
        <v>0</v>
      </c>
      <c r="L360" s="31">
        <v>0</v>
      </c>
      <c r="M360" s="31">
        <v>0</v>
      </c>
      <c r="N360" s="31">
        <v>0</v>
      </c>
      <c r="O360" s="31">
        <v>1</v>
      </c>
      <c r="P360" s="31">
        <v>1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2</v>
      </c>
      <c r="Z360" s="31">
        <v>2</v>
      </c>
      <c r="AA360" s="31">
        <v>0</v>
      </c>
      <c r="AB360" s="31">
        <v>2</v>
      </c>
    </row>
    <row r="361" spans="1:28" ht="27.2" customHeight="1" x14ac:dyDescent="0.2">
      <c r="A361" s="145"/>
      <c r="B361" s="217"/>
      <c r="C361" s="138" t="s">
        <v>265</v>
      </c>
      <c r="D361" s="139"/>
      <c r="E361" s="139"/>
      <c r="F361" s="139"/>
      <c r="G361" s="140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45"/>
      <c r="B362" s="141" t="s">
        <v>266</v>
      </c>
      <c r="C362" s="142"/>
      <c r="D362" s="142"/>
      <c r="E362" s="142"/>
      <c r="F362" s="142"/>
      <c r="G362" s="143"/>
      <c r="H362" s="23">
        <v>11</v>
      </c>
      <c r="I362" s="31">
        <v>122</v>
      </c>
      <c r="J362" s="31">
        <v>80</v>
      </c>
      <c r="K362" s="31">
        <v>0</v>
      </c>
      <c r="L362" s="31">
        <v>0</v>
      </c>
      <c r="M362" s="31">
        <v>0</v>
      </c>
      <c r="N362" s="31">
        <v>0</v>
      </c>
      <c r="O362" s="31">
        <v>68</v>
      </c>
      <c r="P362" s="31">
        <v>66</v>
      </c>
      <c r="Q362" s="31">
        <v>0</v>
      </c>
      <c r="R362" s="31">
        <v>2</v>
      </c>
      <c r="S362" s="31">
        <v>0</v>
      </c>
      <c r="T362" s="31">
        <v>0</v>
      </c>
      <c r="U362" s="31">
        <v>17</v>
      </c>
      <c r="V362" s="31">
        <v>0</v>
      </c>
      <c r="W362" s="31">
        <v>3</v>
      </c>
      <c r="X362" s="31">
        <v>0</v>
      </c>
      <c r="Y362" s="31">
        <v>11</v>
      </c>
      <c r="Z362" s="31">
        <v>11</v>
      </c>
      <c r="AA362" s="31">
        <v>0</v>
      </c>
      <c r="AB362" s="31">
        <v>54</v>
      </c>
    </row>
    <row r="363" spans="1:28" ht="27.2" customHeight="1" x14ac:dyDescent="0.2">
      <c r="A363" s="145"/>
      <c r="B363" s="138" t="s">
        <v>267</v>
      </c>
      <c r="C363" s="139"/>
      <c r="D363" s="139"/>
      <c r="E363" s="139"/>
      <c r="F363" s="139"/>
      <c r="G363" s="140"/>
      <c r="H363" s="23">
        <v>12</v>
      </c>
      <c r="I363" s="31">
        <v>100</v>
      </c>
      <c r="J363" s="31">
        <v>84</v>
      </c>
      <c r="K363" s="31">
        <v>1</v>
      </c>
      <c r="L363" s="31">
        <v>0</v>
      </c>
      <c r="M363" s="31">
        <v>1</v>
      </c>
      <c r="N363" s="31">
        <v>0</v>
      </c>
      <c r="O363" s="31">
        <v>64</v>
      </c>
      <c r="P363" s="31">
        <v>64</v>
      </c>
      <c r="Q363" s="31">
        <v>0</v>
      </c>
      <c r="R363" s="31">
        <v>0</v>
      </c>
      <c r="S363" s="31">
        <v>0</v>
      </c>
      <c r="T363" s="31">
        <v>0</v>
      </c>
      <c r="U363" s="31">
        <v>1</v>
      </c>
      <c r="V363" s="31">
        <v>0</v>
      </c>
      <c r="W363" s="31">
        <v>0</v>
      </c>
      <c r="X363" s="31">
        <v>4</v>
      </c>
      <c r="Y363" s="31">
        <v>18</v>
      </c>
      <c r="Z363" s="31">
        <v>18</v>
      </c>
      <c r="AA363" s="31">
        <v>0</v>
      </c>
      <c r="AB363" s="31">
        <v>35</v>
      </c>
    </row>
    <row r="364" spans="1:28" ht="27.2" customHeight="1" x14ac:dyDescent="0.2">
      <c r="A364" s="145"/>
      <c r="B364" s="138" t="s">
        <v>268</v>
      </c>
      <c r="C364" s="139"/>
      <c r="D364" s="139"/>
      <c r="E364" s="139"/>
      <c r="F364" s="139"/>
      <c r="G364" s="140"/>
      <c r="H364" s="23">
        <v>13</v>
      </c>
      <c r="I364" s="31">
        <v>9</v>
      </c>
      <c r="J364" s="31">
        <v>9</v>
      </c>
      <c r="K364" s="31">
        <v>0</v>
      </c>
      <c r="L364" s="31">
        <v>0</v>
      </c>
      <c r="M364" s="31">
        <v>0</v>
      </c>
      <c r="N364" s="31">
        <v>0</v>
      </c>
      <c r="O364" s="31">
        <v>5</v>
      </c>
      <c r="P364" s="31">
        <v>5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2</v>
      </c>
      <c r="Z364" s="31">
        <v>2</v>
      </c>
      <c r="AA364" s="31">
        <v>0</v>
      </c>
      <c r="AB364" s="31">
        <v>4</v>
      </c>
    </row>
    <row r="365" spans="1:28" ht="25.5" customHeight="1" x14ac:dyDescent="0.2">
      <c r="A365" s="146"/>
      <c r="B365" s="138" t="s">
        <v>179</v>
      </c>
      <c r="C365" s="139"/>
      <c r="D365" s="139"/>
      <c r="E365" s="139"/>
      <c r="F365" s="139"/>
      <c r="G365" s="140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8" t="s">
        <v>115</v>
      </c>
      <c r="B366" s="139"/>
      <c r="C366" s="139"/>
      <c r="D366" s="139"/>
      <c r="E366" s="139"/>
      <c r="F366" s="139"/>
      <c r="G366" s="140"/>
      <c r="H366" s="23">
        <v>15</v>
      </c>
      <c r="I366" s="31">
        <f t="shared" ref="I366:AB366" si="6">SUM(I352:I365)</f>
        <v>1764</v>
      </c>
      <c r="J366" s="31">
        <f t="shared" si="6"/>
        <v>1384</v>
      </c>
      <c r="K366" s="31">
        <f t="shared" si="6"/>
        <v>21</v>
      </c>
      <c r="L366" s="31">
        <f t="shared" si="6"/>
        <v>0</v>
      </c>
      <c r="M366" s="31">
        <f t="shared" si="6"/>
        <v>9</v>
      </c>
      <c r="N366" s="31">
        <f t="shared" si="6"/>
        <v>12</v>
      </c>
      <c r="O366" s="31">
        <f t="shared" si="6"/>
        <v>1015</v>
      </c>
      <c r="P366" s="31">
        <f t="shared" si="6"/>
        <v>979</v>
      </c>
      <c r="Q366" s="31">
        <f t="shared" si="6"/>
        <v>0</v>
      </c>
      <c r="R366" s="31">
        <f t="shared" si="6"/>
        <v>15</v>
      </c>
      <c r="S366" s="31">
        <f t="shared" si="6"/>
        <v>21</v>
      </c>
      <c r="T366" s="31">
        <f t="shared" si="6"/>
        <v>0</v>
      </c>
      <c r="U366" s="31">
        <f t="shared" si="6"/>
        <v>159</v>
      </c>
      <c r="V366" s="31">
        <f t="shared" si="6"/>
        <v>6</v>
      </c>
      <c r="W366" s="31">
        <f t="shared" si="6"/>
        <v>90</v>
      </c>
      <c r="X366" s="31">
        <f t="shared" si="6"/>
        <v>141</v>
      </c>
      <c r="Y366" s="31">
        <f t="shared" si="6"/>
        <v>235</v>
      </c>
      <c r="Z366" s="31">
        <f t="shared" si="6"/>
        <v>223</v>
      </c>
      <c r="AA366" s="31">
        <f t="shared" si="6"/>
        <v>0</v>
      </c>
      <c r="AB366" s="31">
        <f t="shared" si="6"/>
        <v>716</v>
      </c>
    </row>
    <row r="367" spans="1:28" ht="19.5" customHeight="1" x14ac:dyDescent="0.2"/>
    <row r="368" spans="1:28" ht="29.25" customHeight="1" x14ac:dyDescent="0.25">
      <c r="A368" s="177" t="s">
        <v>269</v>
      </c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</row>
    <row r="369" spans="1:28" ht="33" customHeight="1" x14ac:dyDescent="0.2">
      <c r="A369" s="178"/>
      <c r="B369" s="179"/>
      <c r="C369" s="179"/>
      <c r="D369" s="179"/>
      <c r="E369" s="179"/>
      <c r="F369" s="179"/>
      <c r="G369" s="180"/>
      <c r="H369" s="187" t="s">
        <v>15</v>
      </c>
      <c r="I369" s="168" t="s">
        <v>1148</v>
      </c>
      <c r="J369" s="168" t="s">
        <v>16</v>
      </c>
      <c r="K369" s="168" t="s">
        <v>17</v>
      </c>
      <c r="L369" s="171" t="s">
        <v>18</v>
      </c>
      <c r="M369" s="172"/>
      <c r="N369" s="173"/>
      <c r="O369" s="168" t="s">
        <v>19</v>
      </c>
      <c r="P369" s="171" t="s">
        <v>20</v>
      </c>
      <c r="Q369" s="172"/>
      <c r="R369" s="172"/>
      <c r="S369" s="173"/>
      <c r="T369" s="168" t="s">
        <v>21</v>
      </c>
      <c r="U369" s="171" t="s">
        <v>22</v>
      </c>
      <c r="V369" s="172"/>
      <c r="W369" s="172"/>
      <c r="X369" s="173"/>
      <c r="Y369" s="171" t="s">
        <v>23</v>
      </c>
      <c r="Z369" s="172"/>
      <c r="AA369" s="173"/>
      <c r="AB369" s="168" t="s">
        <v>24</v>
      </c>
    </row>
    <row r="370" spans="1:28" ht="21.75" customHeight="1" x14ac:dyDescent="0.2">
      <c r="A370" s="181"/>
      <c r="B370" s="182"/>
      <c r="C370" s="182"/>
      <c r="D370" s="182"/>
      <c r="E370" s="182"/>
      <c r="F370" s="182"/>
      <c r="G370" s="183"/>
      <c r="H370" s="188"/>
      <c r="I370" s="170"/>
      <c r="J370" s="170"/>
      <c r="K370" s="170"/>
      <c r="L370" s="168" t="s">
        <v>25</v>
      </c>
      <c r="M370" s="168" t="s">
        <v>26</v>
      </c>
      <c r="N370" s="168" t="s">
        <v>27</v>
      </c>
      <c r="O370" s="170"/>
      <c r="P370" s="168" t="s">
        <v>28</v>
      </c>
      <c r="Q370" s="168" t="s">
        <v>29</v>
      </c>
      <c r="R370" s="168" t="s">
        <v>30</v>
      </c>
      <c r="S370" s="168" t="s">
        <v>31</v>
      </c>
      <c r="T370" s="170"/>
      <c r="U370" s="171" t="s">
        <v>32</v>
      </c>
      <c r="V370" s="172"/>
      <c r="W370" s="172"/>
      <c r="X370" s="173"/>
      <c r="Y370" s="168" t="s">
        <v>33</v>
      </c>
      <c r="Z370" s="171" t="s">
        <v>34</v>
      </c>
      <c r="AA370" s="173"/>
      <c r="AB370" s="170"/>
    </row>
    <row r="371" spans="1:28" ht="89.25" customHeight="1" x14ac:dyDescent="0.2">
      <c r="A371" s="184"/>
      <c r="B371" s="185"/>
      <c r="C371" s="185"/>
      <c r="D371" s="185"/>
      <c r="E371" s="185"/>
      <c r="F371" s="185"/>
      <c r="G371" s="186"/>
      <c r="H371" s="18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9" t="s">
        <v>35</v>
      </c>
      <c r="V371" s="16" t="s">
        <v>36</v>
      </c>
      <c r="W371" s="16" t="s">
        <v>37</v>
      </c>
      <c r="X371" s="16" t="s">
        <v>38</v>
      </c>
      <c r="Y371" s="169"/>
      <c r="Z371" s="18" t="s">
        <v>39</v>
      </c>
      <c r="AA371" s="17" t="s">
        <v>40</v>
      </c>
      <c r="AB371" s="169"/>
    </row>
    <row r="372" spans="1:28" ht="14.25" customHeight="1" x14ac:dyDescent="0.2">
      <c r="A372" s="150" t="s">
        <v>41</v>
      </c>
      <c r="B372" s="151"/>
      <c r="C372" s="151"/>
      <c r="D372" s="151"/>
      <c r="E372" s="151"/>
      <c r="F372" s="151"/>
      <c r="G372" s="152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53" t="s">
        <v>43</v>
      </c>
      <c r="B373" s="154"/>
      <c r="C373" s="154"/>
      <c r="D373" s="154"/>
      <c r="E373" s="154"/>
      <c r="F373" s="154"/>
      <c r="G373" s="155"/>
      <c r="H373" s="23">
        <v>1</v>
      </c>
      <c r="I373" s="31">
        <v>3251</v>
      </c>
      <c r="J373" s="31">
        <v>1843</v>
      </c>
      <c r="K373" s="31">
        <v>5</v>
      </c>
      <c r="L373" s="31">
        <v>0</v>
      </c>
      <c r="M373" s="31">
        <v>5</v>
      </c>
      <c r="N373" s="31">
        <v>0</v>
      </c>
      <c r="O373" s="31">
        <v>1766</v>
      </c>
      <c r="P373" s="31">
        <v>1720</v>
      </c>
      <c r="Q373" s="31">
        <v>15</v>
      </c>
      <c r="R373" s="31">
        <v>30</v>
      </c>
      <c r="S373" s="31">
        <v>1</v>
      </c>
      <c r="T373" s="31">
        <v>0</v>
      </c>
      <c r="U373" s="31">
        <v>445</v>
      </c>
      <c r="V373" s="31">
        <v>22</v>
      </c>
      <c r="W373" s="31">
        <v>91</v>
      </c>
      <c r="X373" s="31">
        <v>12</v>
      </c>
      <c r="Y373" s="31">
        <v>964</v>
      </c>
      <c r="Z373" s="31">
        <v>962</v>
      </c>
      <c r="AA373" s="31">
        <v>0</v>
      </c>
      <c r="AB373" s="31">
        <v>1478</v>
      </c>
    </row>
    <row r="374" spans="1:28" ht="21" customHeight="1" x14ac:dyDescent="0.2">
      <c r="A374" s="156" t="s">
        <v>181</v>
      </c>
      <c r="B374" s="158"/>
      <c r="C374" s="165" t="s">
        <v>51</v>
      </c>
      <c r="D374" s="166"/>
      <c r="E374" s="166"/>
      <c r="F374" s="166"/>
      <c r="G374" s="167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9"/>
      <c r="B375" s="161"/>
      <c r="C375" s="165" t="s">
        <v>52</v>
      </c>
      <c r="D375" s="166"/>
      <c r="E375" s="166"/>
      <c r="F375" s="166"/>
      <c r="G375" s="167"/>
      <c r="H375" s="23">
        <v>3</v>
      </c>
      <c r="I375" s="31">
        <v>9</v>
      </c>
      <c r="J375" s="31">
        <v>1</v>
      </c>
      <c r="K375" s="31">
        <v>0</v>
      </c>
      <c r="L375" s="31">
        <v>0</v>
      </c>
      <c r="M375" s="31">
        <v>0</v>
      </c>
      <c r="N375" s="31">
        <v>0</v>
      </c>
      <c r="O375" s="31">
        <v>1</v>
      </c>
      <c r="P375" s="31">
        <v>1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8</v>
      </c>
    </row>
    <row r="376" spans="1:28" ht="21" customHeight="1" x14ac:dyDescent="0.2">
      <c r="A376" s="159"/>
      <c r="B376" s="161"/>
      <c r="C376" s="165" t="s">
        <v>182</v>
      </c>
      <c r="D376" s="166"/>
      <c r="E376" s="166"/>
      <c r="F376" s="166"/>
      <c r="G376" s="167"/>
      <c r="H376" s="23">
        <v>4</v>
      </c>
      <c r="I376" s="31">
        <v>601</v>
      </c>
      <c r="J376" s="31">
        <v>425</v>
      </c>
      <c r="K376" s="31">
        <v>1</v>
      </c>
      <c r="L376" s="31">
        <v>0</v>
      </c>
      <c r="M376" s="31">
        <v>1</v>
      </c>
      <c r="N376" s="31">
        <v>0</v>
      </c>
      <c r="O376" s="31">
        <v>390</v>
      </c>
      <c r="P376" s="31">
        <v>387</v>
      </c>
      <c r="Q376" s="31">
        <v>0</v>
      </c>
      <c r="R376" s="31">
        <v>3</v>
      </c>
      <c r="S376" s="31">
        <v>0</v>
      </c>
      <c r="T376" s="31">
        <v>0</v>
      </c>
      <c r="U376" s="31">
        <v>88</v>
      </c>
      <c r="V376" s="31">
        <v>1</v>
      </c>
      <c r="W376" s="31">
        <v>5</v>
      </c>
      <c r="X376" s="31">
        <v>7</v>
      </c>
      <c r="Y376" s="31">
        <v>45</v>
      </c>
      <c r="Z376" s="31">
        <v>45</v>
      </c>
      <c r="AA376" s="31">
        <v>0</v>
      </c>
      <c r="AB376" s="31">
        <v>210</v>
      </c>
    </row>
    <row r="377" spans="1:28" ht="21" customHeight="1" x14ac:dyDescent="0.2">
      <c r="A377" s="162"/>
      <c r="B377" s="164"/>
      <c r="C377" s="165" t="s">
        <v>49</v>
      </c>
      <c r="D377" s="166"/>
      <c r="E377" s="166"/>
      <c r="F377" s="166"/>
      <c r="G377" s="167"/>
      <c r="H377" s="23">
        <v>5</v>
      </c>
      <c r="I377" s="31">
        <v>2639</v>
      </c>
      <c r="J377" s="31">
        <v>1417</v>
      </c>
      <c r="K377" s="31">
        <v>4</v>
      </c>
      <c r="L377" s="31">
        <v>0</v>
      </c>
      <c r="M377" s="31">
        <v>4</v>
      </c>
      <c r="N377" s="31">
        <v>0</v>
      </c>
      <c r="O377" s="31">
        <v>1375</v>
      </c>
      <c r="P377" s="31">
        <v>1332</v>
      </c>
      <c r="Q377" s="31">
        <v>15</v>
      </c>
      <c r="R377" s="31">
        <v>27</v>
      </c>
      <c r="S377" s="31">
        <v>1</v>
      </c>
      <c r="T377" s="31">
        <v>0</v>
      </c>
      <c r="U377" s="31">
        <v>357</v>
      </c>
      <c r="V377" s="31">
        <v>21</v>
      </c>
      <c r="W377" s="31">
        <v>86</v>
      </c>
      <c r="X377" s="31">
        <v>5</v>
      </c>
      <c r="Y377" s="31">
        <v>918</v>
      </c>
      <c r="Z377" s="31">
        <v>916</v>
      </c>
      <c r="AA377" s="31">
        <v>0</v>
      </c>
      <c r="AB377" s="31">
        <v>1258</v>
      </c>
    </row>
    <row r="378" spans="1:28" ht="60.75" customHeight="1" x14ac:dyDescent="0.2">
      <c r="A378" s="144" t="s">
        <v>165</v>
      </c>
      <c r="B378" s="138" t="s">
        <v>270</v>
      </c>
      <c r="C378" s="139"/>
      <c r="D378" s="139"/>
      <c r="E378" s="139"/>
      <c r="F378" s="139"/>
      <c r="G378" s="140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58.35" customHeight="1" x14ac:dyDescent="0.2">
      <c r="A379" s="145"/>
      <c r="B379" s="138" t="s">
        <v>271</v>
      </c>
      <c r="C379" s="139"/>
      <c r="D379" s="139"/>
      <c r="E379" s="139"/>
      <c r="F379" s="139"/>
      <c r="G379" s="140"/>
      <c r="H379" s="23">
        <v>7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45"/>
      <c r="B380" s="138" t="s">
        <v>272</v>
      </c>
      <c r="C380" s="139"/>
      <c r="D380" s="139"/>
      <c r="E380" s="139"/>
      <c r="F380" s="139"/>
      <c r="G380" s="140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45"/>
      <c r="B381" s="138" t="s">
        <v>273</v>
      </c>
      <c r="C381" s="139"/>
      <c r="D381" s="139"/>
      <c r="E381" s="139"/>
      <c r="F381" s="139"/>
      <c r="G381" s="140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0.5" customHeight="1" x14ac:dyDescent="0.2">
      <c r="A382" s="145"/>
      <c r="B382" s="138" t="s">
        <v>274</v>
      </c>
      <c r="C382" s="139"/>
      <c r="D382" s="139"/>
      <c r="E382" s="139"/>
      <c r="F382" s="139"/>
      <c r="G382" s="140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45"/>
      <c r="B383" s="138" t="s">
        <v>275</v>
      </c>
      <c r="C383" s="139"/>
      <c r="D383" s="139"/>
      <c r="E383" s="139"/>
      <c r="F383" s="139"/>
      <c r="G383" s="140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5.5" customHeight="1" x14ac:dyDescent="0.2">
      <c r="A384" s="145"/>
      <c r="B384" s="216" t="s">
        <v>32</v>
      </c>
      <c r="C384" s="138" t="s">
        <v>276</v>
      </c>
      <c r="D384" s="139"/>
      <c r="E384" s="139"/>
      <c r="F384" s="139"/>
      <c r="G384" s="140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7.2" customHeight="1" x14ac:dyDescent="0.2">
      <c r="A385" s="145"/>
      <c r="B385" s="217"/>
      <c r="C385" s="139" t="s">
        <v>277</v>
      </c>
      <c r="D385" s="139"/>
      <c r="E385" s="139"/>
      <c r="F385" s="139"/>
      <c r="G385" s="140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43.5" customHeight="1" x14ac:dyDescent="0.2">
      <c r="A386" s="145"/>
      <c r="B386" s="138" t="s">
        <v>278</v>
      </c>
      <c r="C386" s="139"/>
      <c r="D386" s="139"/>
      <c r="E386" s="139"/>
      <c r="F386" s="139"/>
      <c r="G386" s="140"/>
      <c r="H386" s="23">
        <v>14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</row>
    <row r="387" spans="1:28" ht="29.25" customHeight="1" x14ac:dyDescent="0.2">
      <c r="A387" s="145"/>
      <c r="B387" s="138" t="s">
        <v>279</v>
      </c>
      <c r="C387" s="139"/>
      <c r="D387" s="139"/>
      <c r="E387" s="139"/>
      <c r="F387" s="139"/>
      <c r="G387" s="140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9.25" customHeight="1" x14ac:dyDescent="0.2">
      <c r="A388" s="145"/>
      <c r="B388" s="216" t="s">
        <v>32</v>
      </c>
      <c r="C388" s="138" t="s">
        <v>280</v>
      </c>
      <c r="D388" s="139"/>
      <c r="E388" s="139"/>
      <c r="F388" s="139"/>
      <c r="G388" s="140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7.2" customHeight="1" x14ac:dyDescent="0.2">
      <c r="A389" s="145"/>
      <c r="B389" s="217"/>
      <c r="C389" s="139" t="s">
        <v>281</v>
      </c>
      <c r="D389" s="139"/>
      <c r="E389" s="139"/>
      <c r="F389" s="139"/>
      <c r="G389" s="140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46.5" customHeight="1" x14ac:dyDescent="0.2">
      <c r="A390" s="145"/>
      <c r="B390" s="138" t="s">
        <v>282</v>
      </c>
      <c r="C390" s="139"/>
      <c r="D390" s="139"/>
      <c r="E390" s="139"/>
      <c r="F390" s="139"/>
      <c r="G390" s="140"/>
      <c r="H390" s="23">
        <v>18</v>
      </c>
      <c r="I390" s="54">
        <v>78</v>
      </c>
      <c r="J390" s="54">
        <v>33</v>
      </c>
      <c r="K390" s="54">
        <v>1</v>
      </c>
      <c r="L390" s="54">
        <v>0</v>
      </c>
      <c r="M390" s="31">
        <v>1</v>
      </c>
      <c r="N390" s="31">
        <v>0</v>
      </c>
      <c r="O390" s="31">
        <v>29</v>
      </c>
      <c r="P390" s="31">
        <v>29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1</v>
      </c>
      <c r="X390" s="31">
        <v>0</v>
      </c>
      <c r="Y390" s="31">
        <v>3</v>
      </c>
      <c r="Z390" s="31">
        <v>3</v>
      </c>
      <c r="AA390" s="31">
        <v>0</v>
      </c>
      <c r="AB390" s="31">
        <v>48</v>
      </c>
    </row>
    <row r="391" spans="1:28" ht="29.25" customHeight="1" x14ac:dyDescent="0.2">
      <c r="A391" s="145"/>
      <c r="B391" s="138" t="s">
        <v>283</v>
      </c>
      <c r="C391" s="139"/>
      <c r="D391" s="139"/>
      <c r="E391" s="139"/>
      <c r="F391" s="139"/>
      <c r="G391" s="140"/>
      <c r="H391" s="23">
        <v>19</v>
      </c>
      <c r="I391" s="31">
        <v>1330</v>
      </c>
      <c r="J391" s="31">
        <v>958</v>
      </c>
      <c r="K391" s="31">
        <v>4</v>
      </c>
      <c r="L391" s="31">
        <v>0</v>
      </c>
      <c r="M391" s="31">
        <v>4</v>
      </c>
      <c r="N391" s="31">
        <v>0</v>
      </c>
      <c r="O391" s="31">
        <v>923</v>
      </c>
      <c r="P391" s="31">
        <v>893</v>
      </c>
      <c r="Q391" s="31">
        <v>0</v>
      </c>
      <c r="R391" s="31">
        <v>29</v>
      </c>
      <c r="S391" s="31">
        <v>1</v>
      </c>
      <c r="T391" s="31">
        <v>0</v>
      </c>
      <c r="U391" s="31">
        <v>291</v>
      </c>
      <c r="V391" s="31">
        <v>21</v>
      </c>
      <c r="W391" s="31">
        <v>87</v>
      </c>
      <c r="X391" s="31">
        <v>4</v>
      </c>
      <c r="Y391" s="31">
        <v>400</v>
      </c>
      <c r="Z391" s="31">
        <v>400</v>
      </c>
      <c r="AA391" s="31">
        <v>0</v>
      </c>
      <c r="AB391" s="31">
        <v>403</v>
      </c>
    </row>
    <row r="392" spans="1:28" ht="27.2" customHeight="1" x14ac:dyDescent="0.2">
      <c r="A392" s="145"/>
      <c r="B392" s="216" t="s">
        <v>32</v>
      </c>
      <c r="C392" s="138" t="s">
        <v>284</v>
      </c>
      <c r="D392" s="139"/>
      <c r="E392" s="139"/>
      <c r="F392" s="139"/>
      <c r="G392" s="140"/>
      <c r="H392" s="23">
        <v>20</v>
      </c>
      <c r="I392" s="31">
        <v>1295</v>
      </c>
      <c r="J392" s="31">
        <v>951</v>
      </c>
      <c r="K392" s="31">
        <v>4</v>
      </c>
      <c r="L392" s="31">
        <v>0</v>
      </c>
      <c r="M392" s="31">
        <v>4</v>
      </c>
      <c r="N392" s="31">
        <v>0</v>
      </c>
      <c r="O392" s="31">
        <v>917</v>
      </c>
      <c r="P392" s="31">
        <v>889</v>
      </c>
      <c r="Q392" s="31">
        <v>0</v>
      </c>
      <c r="R392" s="31">
        <v>27</v>
      </c>
      <c r="S392" s="31">
        <v>1</v>
      </c>
      <c r="T392" s="31">
        <v>0</v>
      </c>
      <c r="U392" s="31">
        <v>287</v>
      </c>
      <c r="V392" s="31">
        <v>21</v>
      </c>
      <c r="W392" s="31">
        <v>86</v>
      </c>
      <c r="X392" s="31">
        <v>4</v>
      </c>
      <c r="Y392" s="31">
        <v>392</v>
      </c>
      <c r="Z392" s="31">
        <v>392</v>
      </c>
      <c r="AA392" s="31">
        <v>0</v>
      </c>
      <c r="AB392" s="31">
        <v>374</v>
      </c>
    </row>
    <row r="393" spans="1:28" ht="24" customHeight="1" x14ac:dyDescent="0.2">
      <c r="A393" s="145"/>
      <c r="B393" s="217"/>
      <c r="C393" s="139" t="s">
        <v>285</v>
      </c>
      <c r="D393" s="139"/>
      <c r="E393" s="139"/>
      <c r="F393" s="139"/>
      <c r="G393" s="140"/>
      <c r="H393" s="23">
        <v>21</v>
      </c>
      <c r="I393" s="31">
        <v>35</v>
      </c>
      <c r="J393" s="31">
        <v>7</v>
      </c>
      <c r="K393" s="31">
        <v>0</v>
      </c>
      <c r="L393" s="31">
        <v>0</v>
      </c>
      <c r="M393" s="31">
        <v>0</v>
      </c>
      <c r="N393" s="31">
        <v>0</v>
      </c>
      <c r="O393" s="31">
        <v>6</v>
      </c>
      <c r="P393" s="31">
        <v>4</v>
      </c>
      <c r="Q393" s="31">
        <v>0</v>
      </c>
      <c r="R393" s="31">
        <v>2</v>
      </c>
      <c r="S393" s="31">
        <v>0</v>
      </c>
      <c r="T393" s="31">
        <v>0</v>
      </c>
      <c r="U393" s="31">
        <v>4</v>
      </c>
      <c r="V393" s="31">
        <v>0</v>
      </c>
      <c r="W393" s="31">
        <v>1</v>
      </c>
      <c r="X393" s="31">
        <v>0</v>
      </c>
      <c r="Y393" s="31">
        <v>8</v>
      </c>
      <c r="Z393" s="31">
        <v>8</v>
      </c>
      <c r="AA393" s="31">
        <v>0</v>
      </c>
      <c r="AB393" s="31">
        <v>29</v>
      </c>
    </row>
    <row r="394" spans="1:28" ht="47.25" customHeight="1" x14ac:dyDescent="0.2">
      <c r="A394" s="145"/>
      <c r="B394" s="138" t="s">
        <v>286</v>
      </c>
      <c r="C394" s="139"/>
      <c r="D394" s="139"/>
      <c r="E394" s="139"/>
      <c r="F394" s="139"/>
      <c r="G394" s="140"/>
      <c r="H394" s="23">
        <v>22</v>
      </c>
      <c r="I394" s="54">
        <v>8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5</v>
      </c>
      <c r="Z394" s="31">
        <v>5</v>
      </c>
      <c r="AA394" s="31">
        <v>0</v>
      </c>
      <c r="AB394" s="31">
        <v>8</v>
      </c>
    </row>
    <row r="395" spans="1:28" ht="27.2" customHeight="1" x14ac:dyDescent="0.2">
      <c r="A395" s="145"/>
      <c r="B395" s="216" t="s">
        <v>32</v>
      </c>
      <c r="C395" s="138" t="s">
        <v>287</v>
      </c>
      <c r="D395" s="139"/>
      <c r="E395" s="139"/>
      <c r="F395" s="139"/>
      <c r="G395" s="140"/>
      <c r="H395" s="23">
        <v>23</v>
      </c>
      <c r="I395" s="31">
        <v>6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4</v>
      </c>
      <c r="Z395" s="31">
        <v>4</v>
      </c>
      <c r="AA395" s="31">
        <v>0</v>
      </c>
      <c r="AB395" s="31">
        <v>6</v>
      </c>
    </row>
    <row r="396" spans="1:28" ht="24" customHeight="1" x14ac:dyDescent="0.2">
      <c r="A396" s="145"/>
      <c r="B396" s="217"/>
      <c r="C396" s="139" t="s">
        <v>288</v>
      </c>
      <c r="D396" s="139"/>
      <c r="E396" s="139"/>
      <c r="F396" s="139"/>
      <c r="G396" s="140"/>
      <c r="H396" s="23">
        <v>24</v>
      </c>
      <c r="I396" s="31">
        <v>2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1</v>
      </c>
      <c r="Z396" s="31">
        <v>1</v>
      </c>
      <c r="AA396" s="31">
        <v>0</v>
      </c>
      <c r="AB396" s="31">
        <v>2</v>
      </c>
    </row>
    <row r="397" spans="1:28" ht="27.75" customHeight="1" x14ac:dyDescent="0.2">
      <c r="A397" s="145"/>
      <c r="B397" s="138" t="s">
        <v>289</v>
      </c>
      <c r="C397" s="139"/>
      <c r="D397" s="139"/>
      <c r="E397" s="139"/>
      <c r="F397" s="139"/>
      <c r="G397" s="140"/>
      <c r="H397" s="23">
        <v>25</v>
      </c>
      <c r="I397" s="31">
        <v>646</v>
      </c>
      <c r="J397" s="31">
        <v>371</v>
      </c>
      <c r="K397" s="31">
        <v>0</v>
      </c>
      <c r="L397" s="31">
        <v>0</v>
      </c>
      <c r="M397" s="31">
        <v>0</v>
      </c>
      <c r="N397" s="31">
        <v>0</v>
      </c>
      <c r="O397" s="31">
        <v>370</v>
      </c>
      <c r="P397" s="31">
        <v>370</v>
      </c>
      <c r="Q397" s="31">
        <v>0</v>
      </c>
      <c r="R397" s="31">
        <v>0</v>
      </c>
      <c r="S397" s="31">
        <v>0</v>
      </c>
      <c r="T397" s="31">
        <v>0</v>
      </c>
      <c r="U397" s="31">
        <v>46</v>
      </c>
      <c r="V397" s="31">
        <v>0</v>
      </c>
      <c r="W397" s="31">
        <v>0</v>
      </c>
      <c r="X397" s="31">
        <v>0</v>
      </c>
      <c r="Y397" s="31">
        <v>289</v>
      </c>
      <c r="Z397" s="31">
        <v>289</v>
      </c>
      <c r="AA397" s="31">
        <v>0</v>
      </c>
      <c r="AB397" s="31">
        <v>276</v>
      </c>
    </row>
    <row r="398" spans="1:28" ht="31.5" customHeight="1" x14ac:dyDescent="0.2">
      <c r="A398" s="145"/>
      <c r="B398" s="138" t="s">
        <v>290</v>
      </c>
      <c r="C398" s="139"/>
      <c r="D398" s="139"/>
      <c r="E398" s="139"/>
      <c r="F398" s="139"/>
      <c r="G398" s="140"/>
      <c r="H398" s="23">
        <v>26</v>
      </c>
      <c r="I398" s="31">
        <v>1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1</v>
      </c>
    </row>
    <row r="399" spans="1:28" ht="35.25" customHeight="1" x14ac:dyDescent="0.2">
      <c r="A399" s="145"/>
      <c r="B399" s="138" t="s">
        <v>291</v>
      </c>
      <c r="C399" s="139"/>
      <c r="D399" s="139"/>
      <c r="E399" s="139"/>
      <c r="F399" s="139"/>
      <c r="G399" s="140"/>
      <c r="H399" s="23">
        <v>27</v>
      </c>
      <c r="I399" s="31">
        <v>48</v>
      </c>
      <c r="J399" s="31">
        <v>9</v>
      </c>
      <c r="K399" s="31">
        <v>0</v>
      </c>
      <c r="L399" s="31">
        <v>0</v>
      </c>
      <c r="M399" s="31">
        <v>0</v>
      </c>
      <c r="N399" s="31">
        <v>0</v>
      </c>
      <c r="O399" s="31">
        <v>7</v>
      </c>
      <c r="P399" s="31">
        <v>7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3</v>
      </c>
      <c r="X399" s="31">
        <v>1</v>
      </c>
      <c r="Y399" s="31">
        <v>23</v>
      </c>
      <c r="Z399" s="31">
        <v>23</v>
      </c>
      <c r="AA399" s="31">
        <v>0</v>
      </c>
      <c r="AB399" s="31">
        <v>41</v>
      </c>
    </row>
    <row r="400" spans="1:28" ht="22.5" customHeight="1" x14ac:dyDescent="0.2">
      <c r="A400" s="145"/>
      <c r="B400" s="138" t="s">
        <v>292</v>
      </c>
      <c r="C400" s="139"/>
      <c r="D400" s="139"/>
      <c r="E400" s="139"/>
      <c r="F400" s="139"/>
      <c r="G400" s="140"/>
      <c r="H400" s="23">
        <v>28</v>
      </c>
      <c r="I400" s="31">
        <v>1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1</v>
      </c>
    </row>
    <row r="401" spans="1:28" ht="27.75" customHeight="1" x14ac:dyDescent="0.2">
      <c r="A401" s="145"/>
      <c r="B401" s="138" t="s">
        <v>293</v>
      </c>
      <c r="C401" s="139"/>
      <c r="D401" s="139"/>
      <c r="E401" s="139"/>
      <c r="F401" s="139"/>
      <c r="G401" s="140"/>
      <c r="H401" s="23">
        <v>29</v>
      </c>
      <c r="I401" s="31">
        <v>1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1</v>
      </c>
    </row>
    <row r="402" spans="1:28" ht="27.2" customHeight="1" x14ac:dyDescent="0.2">
      <c r="A402" s="145"/>
      <c r="B402" s="216" t="s">
        <v>32</v>
      </c>
      <c r="C402" s="138" t="s">
        <v>294</v>
      </c>
      <c r="D402" s="139"/>
      <c r="E402" s="139"/>
      <c r="F402" s="139"/>
      <c r="G402" s="140"/>
      <c r="H402" s="23">
        <v>30</v>
      </c>
      <c r="I402" s="31">
        <v>1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1</v>
      </c>
    </row>
    <row r="403" spans="1:28" ht="24" customHeight="1" x14ac:dyDescent="0.2">
      <c r="A403" s="145"/>
      <c r="B403" s="217"/>
      <c r="C403" s="139" t="s">
        <v>295</v>
      </c>
      <c r="D403" s="139"/>
      <c r="E403" s="139"/>
      <c r="F403" s="139"/>
      <c r="G403" s="140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45"/>
      <c r="B404" s="138" t="s">
        <v>296</v>
      </c>
      <c r="C404" s="139"/>
      <c r="D404" s="139"/>
      <c r="E404" s="139"/>
      <c r="F404" s="139"/>
      <c r="G404" s="140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45"/>
      <c r="B405" s="138" t="s">
        <v>297</v>
      </c>
      <c r="C405" s="139"/>
      <c r="D405" s="139"/>
      <c r="E405" s="139"/>
      <c r="F405" s="139"/>
      <c r="G405" s="140"/>
      <c r="H405" s="23">
        <v>33</v>
      </c>
      <c r="I405" s="31">
        <v>5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3</v>
      </c>
      <c r="Z405" s="31">
        <v>3</v>
      </c>
      <c r="AA405" s="31">
        <v>0</v>
      </c>
      <c r="AB405" s="31">
        <v>5</v>
      </c>
    </row>
    <row r="406" spans="1:28" ht="30.75" customHeight="1" x14ac:dyDescent="0.2">
      <c r="A406" s="145"/>
      <c r="B406" s="138" t="s">
        <v>298</v>
      </c>
      <c r="C406" s="139"/>
      <c r="D406" s="139"/>
      <c r="E406" s="139"/>
      <c r="F406" s="139"/>
      <c r="G406" s="140"/>
      <c r="H406" s="23">
        <v>34</v>
      </c>
      <c r="I406" s="31">
        <v>5</v>
      </c>
      <c r="J406" s="31">
        <v>1</v>
      </c>
      <c r="K406" s="31">
        <v>0</v>
      </c>
      <c r="L406" s="31">
        <v>0</v>
      </c>
      <c r="M406" s="31">
        <v>0</v>
      </c>
      <c r="N406" s="31">
        <v>0</v>
      </c>
      <c r="O406" s="31">
        <v>1</v>
      </c>
      <c r="P406" s="31">
        <v>1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3</v>
      </c>
      <c r="Z406" s="31">
        <v>3</v>
      </c>
      <c r="AA406" s="31">
        <v>0</v>
      </c>
      <c r="AB406" s="31">
        <v>4</v>
      </c>
    </row>
    <row r="407" spans="1:28" ht="26.1" customHeight="1" x14ac:dyDescent="0.2">
      <c r="A407" s="145"/>
      <c r="B407" s="138" t="s">
        <v>299</v>
      </c>
      <c r="C407" s="139"/>
      <c r="D407" s="139"/>
      <c r="E407" s="139"/>
      <c r="F407" s="139"/>
      <c r="G407" s="140"/>
      <c r="H407" s="23">
        <v>35</v>
      </c>
      <c r="I407" s="31">
        <v>51</v>
      </c>
      <c r="J407" s="31">
        <v>2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12</v>
      </c>
      <c r="Z407" s="31">
        <v>12</v>
      </c>
      <c r="AA407" s="31">
        <v>0</v>
      </c>
      <c r="AB407" s="31">
        <v>51</v>
      </c>
    </row>
    <row r="408" spans="1:28" ht="27.2" customHeight="1" x14ac:dyDescent="0.2">
      <c r="A408" s="145"/>
      <c r="B408" s="216" t="s">
        <v>32</v>
      </c>
      <c r="C408" s="138" t="s">
        <v>300</v>
      </c>
      <c r="D408" s="139"/>
      <c r="E408" s="139"/>
      <c r="F408" s="139"/>
      <c r="G408" s="140"/>
      <c r="H408" s="23">
        <v>36</v>
      </c>
      <c r="I408" s="54">
        <v>45</v>
      </c>
      <c r="J408" s="54">
        <v>1</v>
      </c>
      <c r="K408" s="54">
        <v>0</v>
      </c>
      <c r="L408" s="54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11</v>
      </c>
      <c r="Z408" s="31">
        <v>11</v>
      </c>
      <c r="AA408" s="31">
        <v>0</v>
      </c>
      <c r="AB408" s="31">
        <v>45</v>
      </c>
    </row>
    <row r="409" spans="1:28" ht="24" customHeight="1" x14ac:dyDescent="0.2">
      <c r="A409" s="145"/>
      <c r="B409" s="217"/>
      <c r="C409" s="139" t="s">
        <v>301</v>
      </c>
      <c r="D409" s="139"/>
      <c r="E409" s="139"/>
      <c r="F409" s="139"/>
      <c r="G409" s="140"/>
      <c r="H409" s="23">
        <v>37</v>
      </c>
      <c r="I409" s="54">
        <v>6</v>
      </c>
      <c r="J409" s="54">
        <v>1</v>
      </c>
      <c r="K409" s="54">
        <v>0</v>
      </c>
      <c r="L409" s="54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1</v>
      </c>
      <c r="Z409" s="31">
        <v>1</v>
      </c>
      <c r="AA409" s="31">
        <v>0</v>
      </c>
      <c r="AB409" s="31">
        <v>6</v>
      </c>
    </row>
    <row r="410" spans="1:28" ht="27.75" customHeight="1" x14ac:dyDescent="0.2">
      <c r="A410" s="145"/>
      <c r="B410" s="138" t="s">
        <v>302</v>
      </c>
      <c r="C410" s="139"/>
      <c r="D410" s="139"/>
      <c r="E410" s="139"/>
      <c r="F410" s="139"/>
      <c r="G410" s="140"/>
      <c r="H410" s="23">
        <v>38</v>
      </c>
      <c r="I410" s="54">
        <v>3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2</v>
      </c>
      <c r="Z410" s="31">
        <v>2</v>
      </c>
      <c r="AA410" s="31">
        <v>0</v>
      </c>
      <c r="AB410" s="31">
        <v>3</v>
      </c>
    </row>
    <row r="411" spans="1:28" ht="27.2" customHeight="1" x14ac:dyDescent="0.2">
      <c r="A411" s="145"/>
      <c r="B411" s="138" t="s">
        <v>303</v>
      </c>
      <c r="C411" s="139"/>
      <c r="D411" s="139"/>
      <c r="E411" s="139"/>
      <c r="F411" s="139"/>
      <c r="G411" s="140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45"/>
      <c r="B412" s="138" t="s">
        <v>304</v>
      </c>
      <c r="C412" s="139"/>
      <c r="D412" s="139"/>
      <c r="E412" s="139"/>
      <c r="F412" s="139"/>
      <c r="G412" s="140"/>
      <c r="H412" s="23">
        <v>40</v>
      </c>
      <c r="I412" s="31">
        <v>146</v>
      </c>
      <c r="J412" s="31">
        <v>16</v>
      </c>
      <c r="K412" s="31">
        <v>0</v>
      </c>
      <c r="L412" s="31">
        <v>0</v>
      </c>
      <c r="M412" s="31">
        <v>0</v>
      </c>
      <c r="N412" s="31">
        <v>0</v>
      </c>
      <c r="O412" s="31">
        <v>16</v>
      </c>
      <c r="P412" s="31">
        <v>1</v>
      </c>
      <c r="Q412" s="31">
        <v>15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33</v>
      </c>
      <c r="Z412" s="31">
        <v>33</v>
      </c>
      <c r="AA412" s="31">
        <v>0</v>
      </c>
      <c r="AB412" s="31">
        <v>130</v>
      </c>
    </row>
    <row r="413" spans="1:28" ht="27.2" customHeight="1" x14ac:dyDescent="0.2">
      <c r="A413" s="145"/>
      <c r="B413" s="216" t="s">
        <v>32</v>
      </c>
      <c r="C413" s="138" t="s">
        <v>305</v>
      </c>
      <c r="D413" s="139"/>
      <c r="E413" s="139"/>
      <c r="F413" s="139"/>
      <c r="G413" s="140"/>
      <c r="H413" s="23">
        <v>41</v>
      </c>
      <c r="I413" s="54">
        <v>145</v>
      </c>
      <c r="J413" s="54">
        <v>16</v>
      </c>
      <c r="K413" s="54">
        <v>0</v>
      </c>
      <c r="L413" s="54">
        <v>0</v>
      </c>
      <c r="M413" s="31">
        <v>0</v>
      </c>
      <c r="N413" s="31">
        <v>0</v>
      </c>
      <c r="O413" s="31">
        <v>16</v>
      </c>
      <c r="P413" s="31">
        <v>1</v>
      </c>
      <c r="Q413" s="31">
        <v>15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33</v>
      </c>
      <c r="Z413" s="31">
        <v>33</v>
      </c>
      <c r="AA413" s="31">
        <v>0</v>
      </c>
      <c r="AB413" s="31">
        <v>129</v>
      </c>
    </row>
    <row r="414" spans="1:28" ht="24" customHeight="1" x14ac:dyDescent="0.2">
      <c r="A414" s="145"/>
      <c r="B414" s="217"/>
      <c r="C414" s="139" t="s">
        <v>306</v>
      </c>
      <c r="D414" s="139"/>
      <c r="E414" s="139"/>
      <c r="F414" s="139"/>
      <c r="G414" s="140"/>
      <c r="H414" s="23">
        <v>42</v>
      </c>
      <c r="I414" s="54">
        <v>1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1</v>
      </c>
    </row>
    <row r="415" spans="1:28" ht="28.5" customHeight="1" x14ac:dyDescent="0.2">
      <c r="A415" s="146"/>
      <c r="B415" s="138" t="s">
        <v>307</v>
      </c>
      <c r="C415" s="139"/>
      <c r="D415" s="139"/>
      <c r="E415" s="139"/>
      <c r="F415" s="139"/>
      <c r="G415" s="140"/>
      <c r="H415" s="23">
        <v>43</v>
      </c>
      <c r="I415" s="54">
        <v>8</v>
      </c>
      <c r="J415" s="54">
        <v>2</v>
      </c>
      <c r="K415" s="54">
        <v>0</v>
      </c>
      <c r="L415" s="31">
        <v>0</v>
      </c>
      <c r="M415" s="31">
        <v>0</v>
      </c>
      <c r="N415" s="31">
        <v>0</v>
      </c>
      <c r="O415" s="31">
        <v>0</v>
      </c>
      <c r="P415" s="31">
        <v>0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0</v>
      </c>
      <c r="Z415" s="31">
        <v>0</v>
      </c>
      <c r="AA415" s="31">
        <v>0</v>
      </c>
      <c r="AB415" s="31">
        <v>8</v>
      </c>
    </row>
    <row r="416" spans="1:28" ht="16.5" customHeight="1" x14ac:dyDescent="0.2">
      <c r="A416" s="198" t="s">
        <v>94</v>
      </c>
      <c r="B416" s="199"/>
      <c r="C416" s="199"/>
      <c r="D416" s="199"/>
      <c r="E416" s="199"/>
      <c r="F416" s="199"/>
      <c r="G416" s="200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44" t="s">
        <v>165</v>
      </c>
      <c r="B417" s="138" t="s">
        <v>308</v>
      </c>
      <c r="C417" s="139"/>
      <c r="D417" s="139"/>
      <c r="E417" s="139"/>
      <c r="F417" s="139"/>
      <c r="G417" s="140"/>
      <c r="H417" s="23">
        <v>44</v>
      </c>
      <c r="I417" s="31">
        <v>1</v>
      </c>
      <c r="J417" s="31">
        <v>1</v>
      </c>
      <c r="K417" s="31">
        <v>0</v>
      </c>
      <c r="L417" s="31">
        <v>0</v>
      </c>
      <c r="M417" s="31">
        <v>0</v>
      </c>
      <c r="N417" s="31">
        <v>0</v>
      </c>
      <c r="O417" s="31">
        <v>1</v>
      </c>
      <c r="P417" s="31">
        <v>1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0</v>
      </c>
    </row>
    <row r="418" spans="1:28" ht="29.25" customHeight="1" x14ac:dyDescent="0.2">
      <c r="A418" s="145"/>
      <c r="B418" s="138" t="s">
        <v>309</v>
      </c>
      <c r="C418" s="139"/>
      <c r="D418" s="139"/>
      <c r="E418" s="139"/>
      <c r="F418" s="139"/>
      <c r="G418" s="140"/>
      <c r="H418" s="23">
        <v>45</v>
      </c>
      <c r="I418" s="31">
        <v>2</v>
      </c>
      <c r="J418" s="31">
        <v>1</v>
      </c>
      <c r="K418" s="31">
        <v>0</v>
      </c>
      <c r="L418" s="31">
        <v>0</v>
      </c>
      <c r="M418" s="31">
        <v>0</v>
      </c>
      <c r="N418" s="31">
        <v>0</v>
      </c>
      <c r="O418" s="31">
        <v>1</v>
      </c>
      <c r="P418" s="31">
        <v>0</v>
      </c>
      <c r="Q418" s="31">
        <v>0</v>
      </c>
      <c r="R418" s="31">
        <v>1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1</v>
      </c>
    </row>
    <row r="419" spans="1:28" ht="30" customHeight="1" x14ac:dyDescent="0.2">
      <c r="A419" s="145"/>
      <c r="B419" s="138" t="s">
        <v>310</v>
      </c>
      <c r="C419" s="139"/>
      <c r="D419" s="139"/>
      <c r="E419" s="139"/>
      <c r="F419" s="139"/>
      <c r="G419" s="140"/>
      <c r="H419" s="23">
        <v>46</v>
      </c>
      <c r="I419" s="31">
        <v>2</v>
      </c>
      <c r="J419" s="31">
        <v>1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0</v>
      </c>
      <c r="Z419" s="31">
        <v>0</v>
      </c>
      <c r="AA419" s="31">
        <v>0</v>
      </c>
      <c r="AB419" s="31">
        <v>2</v>
      </c>
    </row>
    <row r="420" spans="1:28" ht="23.25" customHeight="1" x14ac:dyDescent="0.2">
      <c r="A420" s="145"/>
      <c r="B420" s="138" t="s">
        <v>311</v>
      </c>
      <c r="C420" s="139"/>
      <c r="D420" s="139"/>
      <c r="E420" s="139"/>
      <c r="F420" s="139"/>
      <c r="G420" s="140"/>
      <c r="H420" s="23">
        <v>47</v>
      </c>
      <c r="I420" s="31">
        <v>2</v>
      </c>
      <c r="J420" s="31">
        <v>1</v>
      </c>
      <c r="K420" s="31">
        <v>0</v>
      </c>
      <c r="L420" s="31">
        <v>0</v>
      </c>
      <c r="M420" s="31">
        <v>0</v>
      </c>
      <c r="N420" s="31">
        <v>0</v>
      </c>
      <c r="O420" s="31">
        <v>1</v>
      </c>
      <c r="P420" s="31">
        <v>1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1</v>
      </c>
      <c r="Z420" s="31">
        <v>1</v>
      </c>
      <c r="AA420" s="31">
        <v>0</v>
      </c>
      <c r="AB420" s="31">
        <v>1</v>
      </c>
    </row>
    <row r="421" spans="1:28" ht="39" customHeight="1" x14ac:dyDescent="0.2">
      <c r="A421" s="145"/>
      <c r="B421" s="138" t="s">
        <v>312</v>
      </c>
      <c r="C421" s="139"/>
      <c r="D421" s="139"/>
      <c r="E421" s="139"/>
      <c r="F421" s="139"/>
      <c r="G421" s="140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45"/>
      <c r="B422" s="138" t="s">
        <v>313</v>
      </c>
      <c r="C422" s="139"/>
      <c r="D422" s="139"/>
      <c r="E422" s="139"/>
      <c r="F422" s="139"/>
      <c r="G422" s="140"/>
      <c r="H422" s="23">
        <v>49</v>
      </c>
      <c r="I422" s="31">
        <v>908</v>
      </c>
      <c r="J422" s="31">
        <v>447</v>
      </c>
      <c r="K422" s="31">
        <v>0</v>
      </c>
      <c r="L422" s="31">
        <v>0</v>
      </c>
      <c r="M422" s="31">
        <v>0</v>
      </c>
      <c r="N422" s="31">
        <v>0</v>
      </c>
      <c r="O422" s="31">
        <v>417</v>
      </c>
      <c r="P422" s="31">
        <v>417</v>
      </c>
      <c r="Q422" s="31">
        <v>0</v>
      </c>
      <c r="R422" s="31">
        <v>0</v>
      </c>
      <c r="S422" s="31">
        <v>0</v>
      </c>
      <c r="T422" s="31">
        <v>0</v>
      </c>
      <c r="U422" s="31">
        <v>108</v>
      </c>
      <c r="V422" s="31">
        <v>1</v>
      </c>
      <c r="W422" s="31">
        <v>0</v>
      </c>
      <c r="X422" s="31">
        <v>7</v>
      </c>
      <c r="Y422" s="31">
        <v>187</v>
      </c>
      <c r="Z422" s="31">
        <v>185</v>
      </c>
      <c r="AA422" s="31">
        <v>0</v>
      </c>
      <c r="AB422" s="31">
        <v>489</v>
      </c>
    </row>
    <row r="423" spans="1:28" ht="27.2" customHeight="1" x14ac:dyDescent="0.2">
      <c r="A423" s="145"/>
      <c r="B423" s="216" t="s">
        <v>32</v>
      </c>
      <c r="C423" s="138" t="s">
        <v>314</v>
      </c>
      <c r="D423" s="139"/>
      <c r="E423" s="139"/>
      <c r="F423" s="139"/>
      <c r="G423" s="140"/>
      <c r="H423" s="23">
        <v>50</v>
      </c>
      <c r="I423" s="54">
        <v>488</v>
      </c>
      <c r="J423" s="54">
        <v>77</v>
      </c>
      <c r="K423" s="54">
        <v>0</v>
      </c>
      <c r="L423" s="54">
        <v>0</v>
      </c>
      <c r="M423" s="31">
        <v>0</v>
      </c>
      <c r="N423" s="31">
        <v>0</v>
      </c>
      <c r="O423" s="31">
        <v>71</v>
      </c>
      <c r="P423" s="31">
        <v>71</v>
      </c>
      <c r="Q423" s="31">
        <v>0</v>
      </c>
      <c r="R423" s="31">
        <v>0</v>
      </c>
      <c r="S423" s="31">
        <v>0</v>
      </c>
      <c r="T423" s="31">
        <v>0</v>
      </c>
      <c r="U423" s="31">
        <v>24</v>
      </c>
      <c r="V423" s="31">
        <v>0</v>
      </c>
      <c r="W423" s="31">
        <v>0</v>
      </c>
      <c r="X423" s="31">
        <v>1</v>
      </c>
      <c r="Y423" s="31">
        <v>181</v>
      </c>
      <c r="Z423" s="31">
        <v>179</v>
      </c>
      <c r="AA423" s="31">
        <v>0</v>
      </c>
      <c r="AB423" s="31">
        <v>415</v>
      </c>
    </row>
    <row r="424" spans="1:28" ht="24" customHeight="1" x14ac:dyDescent="0.2">
      <c r="A424" s="145"/>
      <c r="B424" s="217"/>
      <c r="C424" s="139" t="s">
        <v>315</v>
      </c>
      <c r="D424" s="139"/>
      <c r="E424" s="139"/>
      <c r="F424" s="139"/>
      <c r="G424" s="140"/>
      <c r="H424" s="23">
        <v>51</v>
      </c>
      <c r="I424" s="31">
        <v>420</v>
      </c>
      <c r="J424" s="31">
        <v>370</v>
      </c>
      <c r="K424" s="31">
        <v>0</v>
      </c>
      <c r="L424" s="31">
        <v>0</v>
      </c>
      <c r="M424" s="31">
        <v>0</v>
      </c>
      <c r="N424" s="31">
        <v>0</v>
      </c>
      <c r="O424" s="31">
        <v>346</v>
      </c>
      <c r="P424" s="31">
        <v>346</v>
      </c>
      <c r="Q424" s="31">
        <v>0</v>
      </c>
      <c r="R424" s="31">
        <v>0</v>
      </c>
      <c r="S424" s="31">
        <v>0</v>
      </c>
      <c r="T424" s="31">
        <v>0</v>
      </c>
      <c r="U424" s="31">
        <v>84</v>
      </c>
      <c r="V424" s="31">
        <v>1</v>
      </c>
      <c r="W424" s="31">
        <v>0</v>
      </c>
      <c r="X424" s="31">
        <v>6</v>
      </c>
      <c r="Y424" s="31">
        <v>6</v>
      </c>
      <c r="Z424" s="31">
        <v>6</v>
      </c>
      <c r="AA424" s="31">
        <v>0</v>
      </c>
      <c r="AB424" s="31">
        <v>74</v>
      </c>
    </row>
    <row r="425" spans="1:28" ht="27.2" customHeight="1" x14ac:dyDescent="0.2">
      <c r="A425" s="145"/>
      <c r="B425" s="138" t="s">
        <v>316</v>
      </c>
      <c r="C425" s="139"/>
      <c r="D425" s="139"/>
      <c r="E425" s="139"/>
      <c r="F425" s="139"/>
      <c r="G425" s="140"/>
      <c r="H425" s="23">
        <v>52</v>
      </c>
      <c r="I425" s="31">
        <v>1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1</v>
      </c>
    </row>
    <row r="426" spans="1:28" ht="24.75" customHeight="1" x14ac:dyDescent="0.2">
      <c r="A426" s="145"/>
      <c r="B426" s="216" t="s">
        <v>32</v>
      </c>
      <c r="C426" s="138" t="s">
        <v>317</v>
      </c>
      <c r="D426" s="139"/>
      <c r="E426" s="139"/>
      <c r="F426" s="139"/>
      <c r="G426" s="140"/>
      <c r="H426" s="23">
        <v>53</v>
      </c>
      <c r="I426" s="54">
        <v>1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1</v>
      </c>
    </row>
    <row r="427" spans="1:28" ht="24" customHeight="1" x14ac:dyDescent="0.2">
      <c r="A427" s="145"/>
      <c r="B427" s="217"/>
      <c r="C427" s="139" t="s">
        <v>318</v>
      </c>
      <c r="D427" s="139"/>
      <c r="E427" s="139"/>
      <c r="F427" s="139"/>
      <c r="G427" s="140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45"/>
      <c r="B428" s="138" t="s">
        <v>319</v>
      </c>
      <c r="C428" s="139"/>
      <c r="D428" s="139"/>
      <c r="E428" s="139"/>
      <c r="F428" s="139"/>
      <c r="G428" s="140"/>
      <c r="H428" s="23">
        <v>55</v>
      </c>
      <c r="I428" s="31">
        <v>3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3</v>
      </c>
      <c r="Z428" s="31">
        <v>3</v>
      </c>
      <c r="AA428" s="31">
        <v>0</v>
      </c>
      <c r="AB428" s="31">
        <v>3</v>
      </c>
    </row>
    <row r="429" spans="1:28" ht="22.5" customHeight="1" x14ac:dyDescent="0.2">
      <c r="A429" s="146"/>
      <c r="B429" s="138" t="s">
        <v>179</v>
      </c>
      <c r="C429" s="139"/>
      <c r="D429" s="139"/>
      <c r="E429" s="139"/>
      <c r="F429" s="139"/>
      <c r="G429" s="140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8" t="s">
        <v>115</v>
      </c>
      <c r="B430" s="139"/>
      <c r="C430" s="139"/>
      <c r="D430" s="139"/>
      <c r="E430" s="139"/>
      <c r="F430" s="139"/>
      <c r="G430" s="140"/>
      <c r="H430" s="23">
        <v>57</v>
      </c>
      <c r="I430" s="31">
        <f t="shared" ref="I430:AB430" si="7">SUM(I417:I429,I373:I415)</f>
        <v>12196</v>
      </c>
      <c r="J430" s="31">
        <f t="shared" si="7"/>
        <v>6952</v>
      </c>
      <c r="K430" s="31">
        <f t="shared" si="7"/>
        <v>19</v>
      </c>
      <c r="L430" s="31">
        <f t="shared" si="7"/>
        <v>0</v>
      </c>
      <c r="M430" s="31">
        <f t="shared" si="7"/>
        <v>19</v>
      </c>
      <c r="N430" s="31">
        <f t="shared" si="7"/>
        <v>0</v>
      </c>
      <c r="O430" s="31">
        <f t="shared" si="7"/>
        <v>6654</v>
      </c>
      <c r="P430" s="31">
        <f t="shared" si="7"/>
        <v>6471</v>
      </c>
      <c r="Q430" s="31">
        <f t="shared" si="7"/>
        <v>60</v>
      </c>
      <c r="R430" s="31">
        <f t="shared" si="7"/>
        <v>119</v>
      </c>
      <c r="S430" s="31">
        <f t="shared" si="7"/>
        <v>4</v>
      </c>
      <c r="T430" s="31">
        <f t="shared" si="7"/>
        <v>0</v>
      </c>
      <c r="U430" s="31">
        <f t="shared" si="7"/>
        <v>1734</v>
      </c>
      <c r="V430" s="31">
        <f t="shared" si="7"/>
        <v>88</v>
      </c>
      <c r="W430" s="31">
        <f t="shared" si="7"/>
        <v>360</v>
      </c>
      <c r="X430" s="31">
        <f t="shared" si="7"/>
        <v>47</v>
      </c>
      <c r="Y430" s="31">
        <f t="shared" si="7"/>
        <v>3529</v>
      </c>
      <c r="Z430" s="31">
        <f t="shared" si="7"/>
        <v>3521</v>
      </c>
      <c r="AA430" s="31">
        <f t="shared" si="7"/>
        <v>0</v>
      </c>
      <c r="AB430" s="31">
        <f t="shared" si="7"/>
        <v>5515</v>
      </c>
    </row>
    <row r="431" spans="1:28" ht="19.5" customHeight="1" x14ac:dyDescent="0.2"/>
    <row r="432" spans="1:28" ht="29.25" customHeight="1" x14ac:dyDescent="0.25">
      <c r="A432" s="177" t="s">
        <v>320</v>
      </c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</row>
    <row r="433" spans="1:28" ht="26.25" customHeight="1" x14ac:dyDescent="0.2">
      <c r="A433" s="178"/>
      <c r="B433" s="179"/>
      <c r="C433" s="179"/>
      <c r="D433" s="179"/>
      <c r="E433" s="179"/>
      <c r="F433" s="179"/>
      <c r="G433" s="180"/>
      <c r="H433" s="187" t="s">
        <v>15</v>
      </c>
      <c r="I433" s="168" t="s">
        <v>1148</v>
      </c>
      <c r="J433" s="168" t="s">
        <v>16</v>
      </c>
      <c r="K433" s="168" t="s">
        <v>17</v>
      </c>
      <c r="L433" s="171" t="s">
        <v>18</v>
      </c>
      <c r="M433" s="172"/>
      <c r="N433" s="173"/>
      <c r="O433" s="168" t="s">
        <v>19</v>
      </c>
      <c r="P433" s="171" t="s">
        <v>20</v>
      </c>
      <c r="Q433" s="172"/>
      <c r="R433" s="172"/>
      <c r="S433" s="173"/>
      <c r="T433" s="168" t="s">
        <v>21</v>
      </c>
      <c r="U433" s="171" t="s">
        <v>22</v>
      </c>
      <c r="V433" s="172"/>
      <c r="W433" s="172"/>
      <c r="X433" s="173"/>
      <c r="Y433" s="171" t="s">
        <v>23</v>
      </c>
      <c r="Z433" s="172"/>
      <c r="AA433" s="173"/>
      <c r="AB433" s="168" t="s">
        <v>24</v>
      </c>
    </row>
    <row r="434" spans="1:28" ht="25.5" customHeight="1" x14ac:dyDescent="0.2">
      <c r="A434" s="181"/>
      <c r="B434" s="182"/>
      <c r="C434" s="182"/>
      <c r="D434" s="182"/>
      <c r="E434" s="182"/>
      <c r="F434" s="182"/>
      <c r="G434" s="183"/>
      <c r="H434" s="188"/>
      <c r="I434" s="170"/>
      <c r="J434" s="170"/>
      <c r="K434" s="170"/>
      <c r="L434" s="168" t="s">
        <v>25</v>
      </c>
      <c r="M434" s="168" t="s">
        <v>26</v>
      </c>
      <c r="N434" s="168" t="s">
        <v>27</v>
      </c>
      <c r="O434" s="170"/>
      <c r="P434" s="168" t="s">
        <v>28</v>
      </c>
      <c r="Q434" s="168" t="s">
        <v>29</v>
      </c>
      <c r="R434" s="168" t="s">
        <v>30</v>
      </c>
      <c r="S434" s="168" t="s">
        <v>31</v>
      </c>
      <c r="T434" s="170"/>
      <c r="U434" s="171" t="s">
        <v>32</v>
      </c>
      <c r="V434" s="172"/>
      <c r="W434" s="172"/>
      <c r="X434" s="173"/>
      <c r="Y434" s="168" t="s">
        <v>33</v>
      </c>
      <c r="Z434" s="171" t="s">
        <v>34</v>
      </c>
      <c r="AA434" s="173"/>
      <c r="AB434" s="170"/>
    </row>
    <row r="435" spans="1:28" ht="77.25" customHeight="1" x14ac:dyDescent="0.2">
      <c r="A435" s="184"/>
      <c r="B435" s="185"/>
      <c r="C435" s="185"/>
      <c r="D435" s="185"/>
      <c r="E435" s="185"/>
      <c r="F435" s="185"/>
      <c r="G435" s="186"/>
      <c r="H435" s="18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9" t="s">
        <v>35</v>
      </c>
      <c r="V435" s="16" t="s">
        <v>36</v>
      </c>
      <c r="W435" s="16" t="s">
        <v>37</v>
      </c>
      <c r="X435" s="16" t="s">
        <v>38</v>
      </c>
      <c r="Y435" s="169"/>
      <c r="Z435" s="18" t="s">
        <v>39</v>
      </c>
      <c r="AA435" s="17" t="s">
        <v>40</v>
      </c>
      <c r="AB435" s="169"/>
    </row>
    <row r="436" spans="1:28" ht="12.75" customHeight="1" x14ac:dyDescent="0.2">
      <c r="A436" s="150" t="s">
        <v>41</v>
      </c>
      <c r="B436" s="151"/>
      <c r="C436" s="151"/>
      <c r="D436" s="151"/>
      <c r="E436" s="151"/>
      <c r="F436" s="151"/>
      <c r="G436" s="152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53" t="s">
        <v>43</v>
      </c>
      <c r="B437" s="154"/>
      <c r="C437" s="154"/>
      <c r="D437" s="154"/>
      <c r="E437" s="154"/>
      <c r="F437" s="154"/>
      <c r="G437" s="155"/>
      <c r="H437" s="23">
        <v>1</v>
      </c>
      <c r="I437" s="31">
        <v>52460</v>
      </c>
      <c r="J437" s="31">
        <v>21845</v>
      </c>
      <c r="K437" s="31">
        <v>1020</v>
      </c>
      <c r="L437" s="31">
        <v>3</v>
      </c>
      <c r="M437" s="31">
        <v>972</v>
      </c>
      <c r="N437" s="31">
        <v>0</v>
      </c>
      <c r="O437" s="31">
        <v>17314</v>
      </c>
      <c r="P437" s="31">
        <v>17175</v>
      </c>
      <c r="Q437" s="31">
        <v>17</v>
      </c>
      <c r="R437" s="31">
        <v>111</v>
      </c>
      <c r="S437" s="31">
        <v>11</v>
      </c>
      <c r="T437" s="31">
        <v>9</v>
      </c>
      <c r="U437" s="31">
        <v>4792</v>
      </c>
      <c r="V437" s="31">
        <v>852</v>
      </c>
      <c r="W437" s="31">
        <v>256</v>
      </c>
      <c r="X437" s="31">
        <v>300</v>
      </c>
      <c r="Y437" s="31">
        <v>7560</v>
      </c>
      <c r="Z437" s="31">
        <v>7537</v>
      </c>
      <c r="AA437" s="31">
        <v>0</v>
      </c>
      <c r="AB437" s="31">
        <v>34094</v>
      </c>
    </row>
    <row r="438" spans="1:28" ht="19.5" customHeight="1" x14ac:dyDescent="0.2">
      <c r="A438" s="156" t="s">
        <v>181</v>
      </c>
      <c r="B438" s="158"/>
      <c r="C438" s="165" t="s">
        <v>51</v>
      </c>
      <c r="D438" s="166"/>
      <c r="E438" s="166"/>
      <c r="F438" s="166"/>
      <c r="G438" s="167"/>
      <c r="H438" s="23">
        <v>2</v>
      </c>
      <c r="I438" s="31">
        <v>2317</v>
      </c>
      <c r="J438" s="31">
        <v>1449</v>
      </c>
      <c r="K438" s="31">
        <v>39</v>
      </c>
      <c r="L438" s="31">
        <v>0</v>
      </c>
      <c r="M438" s="31">
        <v>39</v>
      </c>
      <c r="N438" s="31">
        <v>0</v>
      </c>
      <c r="O438" s="31">
        <v>865</v>
      </c>
      <c r="P438" s="31">
        <v>861</v>
      </c>
      <c r="Q438" s="31">
        <v>0</v>
      </c>
      <c r="R438" s="31">
        <v>4</v>
      </c>
      <c r="S438" s="31">
        <v>0</v>
      </c>
      <c r="T438" s="31">
        <v>0</v>
      </c>
      <c r="U438" s="31">
        <v>124</v>
      </c>
      <c r="V438" s="31">
        <v>320</v>
      </c>
      <c r="W438" s="31">
        <v>16</v>
      </c>
      <c r="X438" s="31">
        <v>26</v>
      </c>
      <c r="Y438" s="31">
        <v>72</v>
      </c>
      <c r="Z438" s="31">
        <v>71</v>
      </c>
      <c r="AA438" s="31">
        <v>0</v>
      </c>
      <c r="AB438" s="31">
        <v>1412</v>
      </c>
    </row>
    <row r="439" spans="1:28" ht="19.5" customHeight="1" x14ac:dyDescent="0.2">
      <c r="A439" s="159"/>
      <c r="B439" s="161"/>
      <c r="C439" s="165" t="s">
        <v>52</v>
      </c>
      <c r="D439" s="166"/>
      <c r="E439" s="166"/>
      <c r="F439" s="166"/>
      <c r="G439" s="167"/>
      <c r="H439" s="23">
        <v>3</v>
      </c>
      <c r="I439" s="31">
        <v>31366</v>
      </c>
      <c r="J439" s="31">
        <v>13755</v>
      </c>
      <c r="K439" s="31">
        <v>710</v>
      </c>
      <c r="L439" s="31">
        <v>2</v>
      </c>
      <c r="M439" s="31">
        <v>688</v>
      </c>
      <c r="N439" s="31">
        <v>0</v>
      </c>
      <c r="O439" s="31">
        <v>11123</v>
      </c>
      <c r="P439" s="31">
        <v>11005</v>
      </c>
      <c r="Q439" s="31">
        <v>0</v>
      </c>
      <c r="R439" s="31">
        <v>107</v>
      </c>
      <c r="S439" s="31">
        <v>11</v>
      </c>
      <c r="T439" s="31">
        <v>0</v>
      </c>
      <c r="U439" s="31">
        <v>3627</v>
      </c>
      <c r="V439" s="31">
        <v>397</v>
      </c>
      <c r="W439" s="31">
        <v>228</v>
      </c>
      <c r="X439" s="31">
        <v>219</v>
      </c>
      <c r="Y439" s="31">
        <v>5184</v>
      </c>
      <c r="Z439" s="31">
        <v>5169</v>
      </c>
      <c r="AA439" s="31">
        <v>0</v>
      </c>
      <c r="AB439" s="31">
        <v>19518</v>
      </c>
    </row>
    <row r="440" spans="1:28" ht="19.5" customHeight="1" x14ac:dyDescent="0.2">
      <c r="A440" s="159"/>
      <c r="B440" s="161"/>
      <c r="C440" s="165" t="s">
        <v>182</v>
      </c>
      <c r="D440" s="166"/>
      <c r="E440" s="166"/>
      <c r="F440" s="166"/>
      <c r="G440" s="167"/>
      <c r="H440" s="23">
        <v>4</v>
      </c>
      <c r="I440" s="31">
        <v>8277</v>
      </c>
      <c r="J440" s="31">
        <v>5676</v>
      </c>
      <c r="K440" s="31">
        <v>262</v>
      </c>
      <c r="L440" s="31">
        <v>1</v>
      </c>
      <c r="M440" s="31">
        <v>236</v>
      </c>
      <c r="N440" s="31">
        <v>0</v>
      </c>
      <c r="O440" s="31">
        <v>4428</v>
      </c>
      <c r="P440" s="31">
        <v>4426</v>
      </c>
      <c r="Q440" s="31">
        <v>2</v>
      </c>
      <c r="R440" s="31">
        <v>0</v>
      </c>
      <c r="S440" s="31">
        <v>0</v>
      </c>
      <c r="T440" s="31">
        <v>0</v>
      </c>
      <c r="U440" s="31">
        <v>950</v>
      </c>
      <c r="V440" s="31">
        <v>134</v>
      </c>
      <c r="W440" s="31">
        <v>3</v>
      </c>
      <c r="X440" s="31">
        <v>43</v>
      </c>
      <c r="Y440" s="31">
        <v>546</v>
      </c>
      <c r="Z440" s="31">
        <v>539</v>
      </c>
      <c r="AA440" s="31">
        <v>0</v>
      </c>
      <c r="AB440" s="31">
        <v>3580</v>
      </c>
    </row>
    <row r="441" spans="1:28" ht="19.5" customHeight="1" x14ac:dyDescent="0.2">
      <c r="A441" s="162"/>
      <c r="B441" s="164"/>
      <c r="C441" s="165" t="s">
        <v>49</v>
      </c>
      <c r="D441" s="166"/>
      <c r="E441" s="166"/>
      <c r="F441" s="166"/>
      <c r="G441" s="167"/>
      <c r="H441" s="23">
        <v>5</v>
      </c>
      <c r="I441" s="31">
        <v>10443</v>
      </c>
      <c r="J441" s="31">
        <v>927</v>
      </c>
      <c r="K441" s="31">
        <v>7</v>
      </c>
      <c r="L441" s="31">
        <v>0</v>
      </c>
      <c r="M441" s="31">
        <v>7</v>
      </c>
      <c r="N441" s="31">
        <v>0</v>
      </c>
      <c r="O441" s="31">
        <v>862</v>
      </c>
      <c r="P441" s="31">
        <v>847</v>
      </c>
      <c r="Q441" s="31">
        <v>15</v>
      </c>
      <c r="R441" s="31">
        <v>0</v>
      </c>
      <c r="S441" s="31">
        <v>0</v>
      </c>
      <c r="T441" s="31">
        <v>9</v>
      </c>
      <c r="U441" s="31">
        <v>91</v>
      </c>
      <c r="V441" s="31">
        <v>1</v>
      </c>
      <c r="W441" s="31">
        <v>9</v>
      </c>
      <c r="X441" s="31">
        <v>12</v>
      </c>
      <c r="Y441" s="31">
        <v>1753</v>
      </c>
      <c r="Z441" s="31">
        <v>1753</v>
      </c>
      <c r="AA441" s="31">
        <v>0</v>
      </c>
      <c r="AB441" s="31">
        <v>9565</v>
      </c>
    </row>
    <row r="442" spans="1:28" ht="27.2" customHeight="1" x14ac:dyDescent="0.2">
      <c r="A442" s="144" t="s">
        <v>165</v>
      </c>
      <c r="B442" s="138" t="s">
        <v>321</v>
      </c>
      <c r="C442" s="139"/>
      <c r="D442" s="139"/>
      <c r="E442" s="139"/>
      <c r="F442" s="139"/>
      <c r="G442" s="140"/>
      <c r="H442" s="23">
        <v>6</v>
      </c>
      <c r="I442" s="31">
        <v>17157</v>
      </c>
      <c r="J442" s="31">
        <v>9961</v>
      </c>
      <c r="K442" s="31">
        <v>151</v>
      </c>
      <c r="L442" s="31">
        <v>2</v>
      </c>
      <c r="M442" s="31">
        <v>132</v>
      </c>
      <c r="N442" s="31">
        <v>0</v>
      </c>
      <c r="O442" s="31">
        <v>8844</v>
      </c>
      <c r="P442" s="31">
        <v>8763</v>
      </c>
      <c r="Q442" s="31">
        <v>0</v>
      </c>
      <c r="R442" s="31">
        <v>76</v>
      </c>
      <c r="S442" s="31">
        <v>5</v>
      </c>
      <c r="T442" s="31">
        <v>7</v>
      </c>
      <c r="U442" s="31">
        <v>3274</v>
      </c>
      <c r="V442" s="31">
        <v>199</v>
      </c>
      <c r="W442" s="31">
        <v>162</v>
      </c>
      <c r="X442" s="31">
        <v>153</v>
      </c>
      <c r="Y442" s="31">
        <v>4086</v>
      </c>
      <c r="Z442" s="31">
        <v>4073</v>
      </c>
      <c r="AA442" s="31">
        <v>0</v>
      </c>
      <c r="AB442" s="31">
        <v>8142</v>
      </c>
    </row>
    <row r="443" spans="1:28" ht="27.2" customHeight="1" x14ac:dyDescent="0.2">
      <c r="A443" s="145"/>
      <c r="B443" s="220" t="s">
        <v>322</v>
      </c>
      <c r="C443" s="234"/>
      <c r="D443" s="156" t="s">
        <v>323</v>
      </c>
      <c r="E443" s="158"/>
      <c r="F443" s="165" t="s">
        <v>324</v>
      </c>
      <c r="G443" s="167"/>
      <c r="H443" s="23">
        <v>7</v>
      </c>
      <c r="I443" s="31">
        <v>540</v>
      </c>
      <c r="J443" s="31">
        <v>114</v>
      </c>
      <c r="K443" s="31">
        <v>1</v>
      </c>
      <c r="L443" s="31">
        <v>0</v>
      </c>
      <c r="M443" s="31">
        <v>1</v>
      </c>
      <c r="N443" s="31">
        <v>0</v>
      </c>
      <c r="O443" s="31">
        <v>99</v>
      </c>
      <c r="P443" s="31">
        <v>97</v>
      </c>
      <c r="Q443" s="31">
        <v>0</v>
      </c>
      <c r="R443" s="31">
        <v>2</v>
      </c>
      <c r="S443" s="31">
        <v>0</v>
      </c>
      <c r="T443" s="31">
        <v>7</v>
      </c>
      <c r="U443" s="31">
        <v>28</v>
      </c>
      <c r="V443" s="31">
        <v>13</v>
      </c>
      <c r="W443" s="31">
        <v>1</v>
      </c>
      <c r="X443" s="31">
        <v>1</v>
      </c>
      <c r="Y443" s="31">
        <v>151</v>
      </c>
      <c r="Z443" s="31">
        <v>151</v>
      </c>
      <c r="AA443" s="31">
        <v>0</v>
      </c>
      <c r="AB443" s="31">
        <v>433</v>
      </c>
    </row>
    <row r="444" spans="1:28" ht="27.2" customHeight="1" x14ac:dyDescent="0.2">
      <c r="A444" s="145"/>
      <c r="B444" s="221"/>
      <c r="C444" s="235"/>
      <c r="D444" s="162"/>
      <c r="E444" s="164"/>
      <c r="F444" s="165" t="s">
        <v>325</v>
      </c>
      <c r="G444" s="167"/>
      <c r="H444" s="23">
        <v>8</v>
      </c>
      <c r="I444" s="31">
        <v>15180</v>
      </c>
      <c r="J444" s="31">
        <v>8965</v>
      </c>
      <c r="K444" s="31">
        <v>136</v>
      </c>
      <c r="L444" s="31">
        <v>1</v>
      </c>
      <c r="M444" s="31">
        <v>118</v>
      </c>
      <c r="N444" s="31">
        <v>0</v>
      </c>
      <c r="O444" s="31">
        <v>7937</v>
      </c>
      <c r="P444" s="31">
        <v>7863</v>
      </c>
      <c r="Q444" s="31">
        <v>0</v>
      </c>
      <c r="R444" s="31">
        <v>69</v>
      </c>
      <c r="S444" s="31">
        <v>5</v>
      </c>
      <c r="T444" s="31">
        <v>0</v>
      </c>
      <c r="U444" s="31">
        <v>2943</v>
      </c>
      <c r="V444" s="31">
        <v>163</v>
      </c>
      <c r="W444" s="31">
        <v>159</v>
      </c>
      <c r="X444" s="31">
        <v>143</v>
      </c>
      <c r="Y444" s="31">
        <v>3656</v>
      </c>
      <c r="Z444" s="31">
        <v>3643</v>
      </c>
      <c r="AA444" s="31">
        <v>0</v>
      </c>
      <c r="AB444" s="31">
        <v>7094</v>
      </c>
    </row>
    <row r="445" spans="1:28" ht="27.2" customHeight="1" x14ac:dyDescent="0.2">
      <c r="A445" s="145"/>
      <c r="B445" s="221"/>
      <c r="C445" s="235"/>
      <c r="D445" s="165" t="s">
        <v>326</v>
      </c>
      <c r="E445" s="166"/>
      <c r="F445" s="166"/>
      <c r="G445" s="167"/>
      <c r="H445" s="23">
        <v>9</v>
      </c>
      <c r="I445" s="31">
        <v>16</v>
      </c>
      <c r="J445" s="31">
        <v>6</v>
      </c>
      <c r="K445" s="31">
        <v>1</v>
      </c>
      <c r="L445" s="31">
        <v>0</v>
      </c>
      <c r="M445" s="31">
        <v>1</v>
      </c>
      <c r="N445" s="31">
        <v>0</v>
      </c>
      <c r="O445" s="31">
        <v>5</v>
      </c>
      <c r="P445" s="31">
        <v>5</v>
      </c>
      <c r="Q445" s="31">
        <v>0</v>
      </c>
      <c r="R445" s="31">
        <v>0</v>
      </c>
      <c r="S445" s="31">
        <v>0</v>
      </c>
      <c r="T445" s="31">
        <v>0</v>
      </c>
      <c r="U445" s="31">
        <v>1</v>
      </c>
      <c r="V445" s="31">
        <v>2</v>
      </c>
      <c r="W445" s="31">
        <v>0</v>
      </c>
      <c r="X445" s="31">
        <v>0</v>
      </c>
      <c r="Y445" s="31">
        <v>2</v>
      </c>
      <c r="Z445" s="31">
        <v>2</v>
      </c>
      <c r="AA445" s="31">
        <v>0</v>
      </c>
      <c r="AB445" s="31">
        <v>10</v>
      </c>
    </row>
    <row r="446" spans="1:28" ht="27.2" customHeight="1" x14ac:dyDescent="0.2">
      <c r="A446" s="145"/>
      <c r="B446" s="221"/>
      <c r="C446" s="235"/>
      <c r="D446" s="165" t="s">
        <v>327</v>
      </c>
      <c r="E446" s="166"/>
      <c r="F446" s="166"/>
      <c r="G446" s="167"/>
      <c r="H446" s="23">
        <v>10</v>
      </c>
      <c r="I446" s="31">
        <v>1934</v>
      </c>
      <c r="J446" s="31">
        <v>1460</v>
      </c>
      <c r="K446" s="31">
        <v>12</v>
      </c>
      <c r="L446" s="31">
        <v>1</v>
      </c>
      <c r="M446" s="31">
        <v>11</v>
      </c>
      <c r="N446" s="31">
        <v>0</v>
      </c>
      <c r="O446" s="31">
        <v>1339</v>
      </c>
      <c r="P446" s="31">
        <v>1326</v>
      </c>
      <c r="Q446" s="31">
        <v>0</v>
      </c>
      <c r="R446" s="31">
        <v>12</v>
      </c>
      <c r="S446" s="31">
        <v>1</v>
      </c>
      <c r="T446" s="31">
        <v>0</v>
      </c>
      <c r="U446" s="31">
        <v>483</v>
      </c>
      <c r="V446" s="31">
        <v>56</v>
      </c>
      <c r="W446" s="31">
        <v>9</v>
      </c>
      <c r="X446" s="31">
        <v>25</v>
      </c>
      <c r="Y446" s="31">
        <v>334</v>
      </c>
      <c r="Z446" s="31">
        <v>333</v>
      </c>
      <c r="AA446" s="31">
        <v>0</v>
      </c>
      <c r="AB446" s="31">
        <v>582</v>
      </c>
    </row>
    <row r="447" spans="1:28" ht="27.2" customHeight="1" x14ac:dyDescent="0.2">
      <c r="A447" s="145"/>
      <c r="B447" s="221"/>
      <c r="C447" s="235"/>
      <c r="D447" s="165" t="s">
        <v>328</v>
      </c>
      <c r="E447" s="166"/>
      <c r="F447" s="166"/>
      <c r="G447" s="167"/>
      <c r="H447" s="23">
        <v>11</v>
      </c>
      <c r="I447" s="31">
        <v>10</v>
      </c>
      <c r="J447" s="31">
        <v>4</v>
      </c>
      <c r="K447" s="31">
        <v>0</v>
      </c>
      <c r="L447" s="31">
        <v>0</v>
      </c>
      <c r="M447" s="31">
        <v>0</v>
      </c>
      <c r="N447" s="31">
        <v>0</v>
      </c>
      <c r="O447" s="31">
        <v>4</v>
      </c>
      <c r="P447" s="31">
        <v>4</v>
      </c>
      <c r="Q447" s="31">
        <v>0</v>
      </c>
      <c r="R447" s="31">
        <v>0</v>
      </c>
      <c r="S447" s="31">
        <v>0</v>
      </c>
      <c r="T447" s="31">
        <v>0</v>
      </c>
      <c r="U447" s="31">
        <v>1</v>
      </c>
      <c r="V447" s="31">
        <v>2</v>
      </c>
      <c r="W447" s="31">
        <v>0</v>
      </c>
      <c r="X447" s="31">
        <v>0</v>
      </c>
      <c r="Y447" s="31">
        <v>3</v>
      </c>
      <c r="Z447" s="31">
        <v>3</v>
      </c>
      <c r="AA447" s="31">
        <v>0</v>
      </c>
      <c r="AB447" s="31">
        <v>6</v>
      </c>
    </row>
    <row r="448" spans="1:28" ht="27" customHeight="1" x14ac:dyDescent="0.2">
      <c r="A448" s="145"/>
      <c r="B448" s="221"/>
      <c r="C448" s="235"/>
      <c r="D448" s="165" t="s">
        <v>329</v>
      </c>
      <c r="E448" s="166"/>
      <c r="F448" s="166"/>
      <c r="G448" s="167"/>
      <c r="H448" s="23">
        <v>12</v>
      </c>
      <c r="I448" s="31">
        <v>40</v>
      </c>
      <c r="J448" s="31">
        <v>26</v>
      </c>
      <c r="K448" s="31">
        <v>0</v>
      </c>
      <c r="L448" s="31">
        <v>0</v>
      </c>
      <c r="M448" s="31">
        <v>0</v>
      </c>
      <c r="N448" s="31">
        <v>0</v>
      </c>
      <c r="O448" s="31">
        <v>25</v>
      </c>
      <c r="P448" s="31">
        <v>25</v>
      </c>
      <c r="Q448" s="31">
        <v>0</v>
      </c>
      <c r="R448" s="31">
        <v>0</v>
      </c>
      <c r="S448" s="31">
        <v>0</v>
      </c>
      <c r="T448" s="31">
        <v>0</v>
      </c>
      <c r="U448" s="31">
        <v>6</v>
      </c>
      <c r="V448" s="31">
        <v>12</v>
      </c>
      <c r="W448" s="31">
        <v>0</v>
      </c>
      <c r="X448" s="31">
        <v>0</v>
      </c>
      <c r="Y448" s="31">
        <v>17</v>
      </c>
      <c r="Z448" s="31">
        <v>17</v>
      </c>
      <c r="AA448" s="31">
        <v>0</v>
      </c>
      <c r="AB448" s="31">
        <v>15</v>
      </c>
    </row>
    <row r="449" spans="1:28" ht="27" customHeight="1" x14ac:dyDescent="0.2">
      <c r="A449" s="145"/>
      <c r="B449" s="221"/>
      <c r="C449" s="235"/>
      <c r="D449" s="165" t="s">
        <v>330</v>
      </c>
      <c r="E449" s="166"/>
      <c r="F449" s="166"/>
      <c r="G449" s="167"/>
      <c r="H449" s="23">
        <v>13</v>
      </c>
      <c r="I449" s="31">
        <v>81</v>
      </c>
      <c r="J449" s="31">
        <v>25</v>
      </c>
      <c r="K449" s="31">
        <v>0</v>
      </c>
      <c r="L449" s="31">
        <v>0</v>
      </c>
      <c r="M449" s="31">
        <v>0</v>
      </c>
      <c r="N449" s="31">
        <v>0</v>
      </c>
      <c r="O449" s="31">
        <v>24</v>
      </c>
      <c r="P449" s="31">
        <v>24</v>
      </c>
      <c r="Q449" s="31">
        <v>0</v>
      </c>
      <c r="R449" s="31">
        <v>0</v>
      </c>
      <c r="S449" s="31">
        <v>0</v>
      </c>
      <c r="T449" s="31">
        <v>0</v>
      </c>
      <c r="U449" s="31">
        <v>15</v>
      </c>
      <c r="V449" s="31">
        <v>0</v>
      </c>
      <c r="W449" s="31">
        <v>1</v>
      </c>
      <c r="X449" s="31">
        <v>0</v>
      </c>
      <c r="Y449" s="31">
        <v>11</v>
      </c>
      <c r="Z449" s="31">
        <v>11</v>
      </c>
      <c r="AA449" s="31">
        <v>0</v>
      </c>
      <c r="AB449" s="31">
        <v>57</v>
      </c>
    </row>
    <row r="450" spans="1:28" ht="27" customHeight="1" x14ac:dyDescent="0.2">
      <c r="A450" s="145"/>
      <c r="B450" s="221"/>
      <c r="C450" s="235"/>
      <c r="D450" s="165" t="s">
        <v>331</v>
      </c>
      <c r="E450" s="166"/>
      <c r="F450" s="166"/>
      <c r="G450" s="167"/>
      <c r="H450" s="23">
        <v>14</v>
      </c>
      <c r="I450" s="31">
        <v>747</v>
      </c>
      <c r="J450" s="31">
        <v>583</v>
      </c>
      <c r="K450" s="31">
        <v>15</v>
      </c>
      <c r="L450" s="31">
        <v>0</v>
      </c>
      <c r="M450" s="31">
        <v>7</v>
      </c>
      <c r="N450" s="31">
        <v>0</v>
      </c>
      <c r="O450" s="31">
        <v>494</v>
      </c>
      <c r="P450" s="31">
        <v>489</v>
      </c>
      <c r="Q450" s="31">
        <v>0</v>
      </c>
      <c r="R450" s="31">
        <v>4</v>
      </c>
      <c r="S450" s="31">
        <v>1</v>
      </c>
      <c r="T450" s="31">
        <v>0</v>
      </c>
      <c r="U450" s="31">
        <v>240</v>
      </c>
      <c r="V450" s="31">
        <v>7</v>
      </c>
      <c r="W450" s="31">
        <v>15</v>
      </c>
      <c r="X450" s="31">
        <v>3</v>
      </c>
      <c r="Y450" s="31">
        <v>57</v>
      </c>
      <c r="Z450" s="31">
        <v>56</v>
      </c>
      <c r="AA450" s="31">
        <v>0</v>
      </c>
      <c r="AB450" s="31">
        <v>237</v>
      </c>
    </row>
    <row r="451" spans="1:28" ht="27" customHeight="1" x14ac:dyDescent="0.2">
      <c r="A451" s="145"/>
      <c r="B451" s="221"/>
      <c r="C451" s="235"/>
      <c r="D451" s="165" t="s">
        <v>332</v>
      </c>
      <c r="E451" s="166"/>
      <c r="F451" s="166"/>
      <c r="G451" s="167"/>
      <c r="H451" s="23">
        <v>15</v>
      </c>
      <c r="I451" s="31">
        <v>130</v>
      </c>
      <c r="J451" s="31">
        <v>103</v>
      </c>
      <c r="K451" s="31">
        <v>0</v>
      </c>
      <c r="L451" s="31">
        <v>0</v>
      </c>
      <c r="M451" s="31">
        <v>0</v>
      </c>
      <c r="N451" s="31">
        <v>0</v>
      </c>
      <c r="O451" s="31">
        <v>98</v>
      </c>
      <c r="P451" s="31">
        <v>97</v>
      </c>
      <c r="Q451" s="31">
        <v>0</v>
      </c>
      <c r="R451" s="31">
        <v>1</v>
      </c>
      <c r="S451" s="31">
        <v>0</v>
      </c>
      <c r="T451" s="31">
        <v>0</v>
      </c>
      <c r="U451" s="31">
        <v>40</v>
      </c>
      <c r="V451" s="31">
        <v>1</v>
      </c>
      <c r="W451" s="31">
        <v>0</v>
      </c>
      <c r="X451" s="31">
        <v>0</v>
      </c>
      <c r="Y451" s="31">
        <v>17</v>
      </c>
      <c r="Z451" s="31">
        <v>17</v>
      </c>
      <c r="AA451" s="31">
        <v>0</v>
      </c>
      <c r="AB451" s="31">
        <v>32</v>
      </c>
    </row>
    <row r="452" spans="1:28" ht="27" customHeight="1" x14ac:dyDescent="0.2">
      <c r="A452" s="145"/>
      <c r="B452" s="221"/>
      <c r="C452" s="235"/>
      <c r="D452" s="165" t="s">
        <v>333</v>
      </c>
      <c r="E452" s="166"/>
      <c r="F452" s="166"/>
      <c r="G452" s="167"/>
      <c r="H452" s="23">
        <v>16</v>
      </c>
      <c r="I452" s="31">
        <v>375</v>
      </c>
      <c r="J452" s="31">
        <v>252</v>
      </c>
      <c r="K452" s="31">
        <v>1</v>
      </c>
      <c r="L452" s="31">
        <v>0</v>
      </c>
      <c r="M452" s="31">
        <v>1</v>
      </c>
      <c r="N452" s="31">
        <v>0</v>
      </c>
      <c r="O452" s="31">
        <v>233</v>
      </c>
      <c r="P452" s="31">
        <v>231</v>
      </c>
      <c r="Q452" s="31">
        <v>0</v>
      </c>
      <c r="R452" s="31">
        <v>2</v>
      </c>
      <c r="S452" s="31">
        <v>0</v>
      </c>
      <c r="T452" s="31">
        <v>0</v>
      </c>
      <c r="U452" s="31">
        <v>124</v>
      </c>
      <c r="V452" s="31">
        <v>5</v>
      </c>
      <c r="W452" s="31">
        <v>5</v>
      </c>
      <c r="X452" s="31">
        <v>11</v>
      </c>
      <c r="Y452" s="31">
        <v>78</v>
      </c>
      <c r="Z452" s="31">
        <v>78</v>
      </c>
      <c r="AA452" s="31">
        <v>0</v>
      </c>
      <c r="AB452" s="31">
        <v>141</v>
      </c>
    </row>
    <row r="453" spans="1:28" ht="27" customHeight="1" x14ac:dyDescent="0.2">
      <c r="A453" s="145"/>
      <c r="B453" s="222"/>
      <c r="C453" s="236"/>
      <c r="D453" s="165" t="s">
        <v>334</v>
      </c>
      <c r="E453" s="166"/>
      <c r="F453" s="166"/>
      <c r="G453" s="167"/>
      <c r="H453" s="23">
        <v>17</v>
      </c>
      <c r="I453" s="31">
        <v>251</v>
      </c>
      <c r="J453" s="31">
        <v>200</v>
      </c>
      <c r="K453" s="31">
        <v>5</v>
      </c>
      <c r="L453" s="31">
        <v>0</v>
      </c>
      <c r="M453" s="31">
        <v>4</v>
      </c>
      <c r="N453" s="31">
        <v>0</v>
      </c>
      <c r="O453" s="31">
        <v>185</v>
      </c>
      <c r="P453" s="31">
        <v>184</v>
      </c>
      <c r="Q453" s="31">
        <v>0</v>
      </c>
      <c r="R453" s="31">
        <v>1</v>
      </c>
      <c r="S453" s="31">
        <v>0</v>
      </c>
      <c r="T453" s="31">
        <v>0</v>
      </c>
      <c r="U453" s="31">
        <v>79</v>
      </c>
      <c r="V453" s="31">
        <v>2</v>
      </c>
      <c r="W453" s="31">
        <v>3</v>
      </c>
      <c r="X453" s="31">
        <v>2</v>
      </c>
      <c r="Y453" s="31">
        <v>50</v>
      </c>
      <c r="Z453" s="31">
        <v>50</v>
      </c>
      <c r="AA453" s="31">
        <v>0</v>
      </c>
      <c r="AB453" s="31">
        <v>61</v>
      </c>
    </row>
    <row r="454" spans="1:28" ht="27.2" customHeight="1" x14ac:dyDescent="0.2">
      <c r="A454" s="145"/>
      <c r="B454" s="39" t="s">
        <v>32</v>
      </c>
      <c r="C454" s="138" t="s">
        <v>335</v>
      </c>
      <c r="D454" s="139"/>
      <c r="E454" s="139"/>
      <c r="F454" s="139"/>
      <c r="G454" s="140"/>
      <c r="H454" s="23">
        <v>18</v>
      </c>
      <c r="I454" s="31">
        <v>19</v>
      </c>
      <c r="J454" s="31">
        <v>2</v>
      </c>
      <c r="K454" s="31">
        <v>0</v>
      </c>
      <c r="L454" s="31">
        <v>0</v>
      </c>
      <c r="M454" s="31">
        <v>0</v>
      </c>
      <c r="N454" s="31">
        <v>0</v>
      </c>
      <c r="O454" s="31">
        <v>2</v>
      </c>
      <c r="P454" s="31">
        <v>2</v>
      </c>
      <c r="Q454" s="31">
        <v>0</v>
      </c>
      <c r="R454" s="31">
        <v>0</v>
      </c>
      <c r="S454" s="31">
        <v>0</v>
      </c>
      <c r="T454" s="31">
        <v>7</v>
      </c>
      <c r="U454" s="31">
        <v>0</v>
      </c>
      <c r="V454" s="31">
        <v>0</v>
      </c>
      <c r="W454" s="31">
        <v>0</v>
      </c>
      <c r="X454" s="31">
        <v>0</v>
      </c>
      <c r="Y454" s="31">
        <v>18</v>
      </c>
      <c r="Z454" s="31">
        <v>18</v>
      </c>
      <c r="AA454" s="31">
        <v>0</v>
      </c>
      <c r="AB454" s="31">
        <v>10</v>
      </c>
    </row>
    <row r="455" spans="1:28" ht="27.2" customHeight="1" x14ac:dyDescent="0.2">
      <c r="A455" s="145"/>
      <c r="B455" s="220" t="s">
        <v>336</v>
      </c>
      <c r="C455" s="234"/>
      <c r="D455" s="156" t="s">
        <v>323</v>
      </c>
      <c r="E455" s="158"/>
      <c r="F455" s="165" t="s">
        <v>324</v>
      </c>
      <c r="G455" s="167"/>
      <c r="H455" s="23">
        <v>19</v>
      </c>
      <c r="I455" s="31">
        <v>12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7</v>
      </c>
      <c r="U455" s="31">
        <v>0</v>
      </c>
      <c r="V455" s="31">
        <v>0</v>
      </c>
      <c r="W455" s="31">
        <v>0</v>
      </c>
      <c r="X455" s="31">
        <v>0</v>
      </c>
      <c r="Y455" s="31">
        <v>14</v>
      </c>
      <c r="Z455" s="31">
        <v>14</v>
      </c>
      <c r="AA455" s="31">
        <v>0</v>
      </c>
      <c r="AB455" s="31">
        <v>5</v>
      </c>
    </row>
    <row r="456" spans="1:28" ht="27.2" customHeight="1" x14ac:dyDescent="0.2">
      <c r="A456" s="145"/>
      <c r="B456" s="221"/>
      <c r="C456" s="235"/>
      <c r="D456" s="162"/>
      <c r="E456" s="164"/>
      <c r="F456" s="165" t="s">
        <v>325</v>
      </c>
      <c r="G456" s="167"/>
      <c r="H456" s="23">
        <v>20</v>
      </c>
      <c r="I456" s="31">
        <v>7</v>
      </c>
      <c r="J456" s="31">
        <v>2</v>
      </c>
      <c r="K456" s="31">
        <v>0</v>
      </c>
      <c r="L456" s="31">
        <v>0</v>
      </c>
      <c r="M456" s="31">
        <v>0</v>
      </c>
      <c r="N456" s="31">
        <v>0</v>
      </c>
      <c r="O456" s="31">
        <v>2</v>
      </c>
      <c r="P456" s="31">
        <v>2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4</v>
      </c>
      <c r="Z456" s="31">
        <v>4</v>
      </c>
      <c r="AA456" s="31">
        <v>0</v>
      </c>
      <c r="AB456" s="31">
        <v>5</v>
      </c>
    </row>
    <row r="457" spans="1:28" ht="27.2" customHeight="1" x14ac:dyDescent="0.2">
      <c r="A457" s="145"/>
      <c r="B457" s="221"/>
      <c r="C457" s="235"/>
      <c r="D457" s="165" t="s">
        <v>327</v>
      </c>
      <c r="E457" s="166"/>
      <c r="F457" s="166"/>
      <c r="G457" s="167"/>
      <c r="H457" s="23">
        <v>21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45"/>
      <c r="B458" s="221"/>
      <c r="C458" s="235"/>
      <c r="D458" s="165" t="s">
        <v>328</v>
      </c>
      <c r="E458" s="166"/>
      <c r="F458" s="166"/>
      <c r="G458" s="167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45"/>
      <c r="B459" s="221"/>
      <c r="C459" s="235"/>
      <c r="D459" s="165" t="s">
        <v>330</v>
      </c>
      <c r="E459" s="166"/>
      <c r="F459" s="166"/>
      <c r="G459" s="167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45"/>
      <c r="B460" s="221"/>
      <c r="C460" s="235"/>
      <c r="D460" s="165" t="s">
        <v>332</v>
      </c>
      <c r="E460" s="166"/>
      <c r="F460" s="166"/>
      <c r="G460" s="167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6"/>
      <c r="B461" s="222"/>
      <c r="C461" s="236"/>
      <c r="D461" s="165" t="s">
        <v>334</v>
      </c>
      <c r="E461" s="166"/>
      <c r="F461" s="166"/>
      <c r="G461" s="167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50" t="s">
        <v>41</v>
      </c>
      <c r="B462" s="151"/>
      <c r="C462" s="151"/>
      <c r="D462" s="151"/>
      <c r="E462" s="151"/>
      <c r="F462" s="151"/>
      <c r="G462" s="152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44" t="s">
        <v>165</v>
      </c>
      <c r="B463" s="39" t="s">
        <v>32</v>
      </c>
      <c r="C463" s="138" t="s">
        <v>337</v>
      </c>
      <c r="D463" s="139"/>
      <c r="E463" s="139"/>
      <c r="F463" s="139"/>
      <c r="G463" s="140"/>
      <c r="H463" s="23">
        <v>26</v>
      </c>
      <c r="I463" s="31">
        <v>17138</v>
      </c>
      <c r="J463" s="31">
        <v>9959</v>
      </c>
      <c r="K463" s="31">
        <v>151</v>
      </c>
      <c r="L463" s="31">
        <v>2</v>
      </c>
      <c r="M463" s="31">
        <v>132</v>
      </c>
      <c r="N463" s="31">
        <v>0</v>
      </c>
      <c r="O463" s="31">
        <v>8842</v>
      </c>
      <c r="P463" s="31">
        <v>8761</v>
      </c>
      <c r="Q463" s="31">
        <v>0</v>
      </c>
      <c r="R463" s="31">
        <v>76</v>
      </c>
      <c r="S463" s="31">
        <v>5</v>
      </c>
      <c r="T463" s="31">
        <v>0</v>
      </c>
      <c r="U463" s="31">
        <v>3274</v>
      </c>
      <c r="V463" s="31">
        <v>199</v>
      </c>
      <c r="W463" s="31">
        <v>162</v>
      </c>
      <c r="X463" s="31">
        <v>153</v>
      </c>
      <c r="Y463" s="31">
        <v>4068</v>
      </c>
      <c r="Z463" s="31">
        <v>4055</v>
      </c>
      <c r="AA463" s="31">
        <v>0</v>
      </c>
      <c r="AB463" s="31">
        <v>8132</v>
      </c>
    </row>
    <row r="464" spans="1:28" ht="27.2" customHeight="1" x14ac:dyDescent="0.2">
      <c r="A464" s="145"/>
      <c r="B464" s="220" t="s">
        <v>338</v>
      </c>
      <c r="C464" s="234"/>
      <c r="D464" s="156" t="s">
        <v>323</v>
      </c>
      <c r="E464" s="158"/>
      <c r="F464" s="165" t="s">
        <v>324</v>
      </c>
      <c r="G464" s="167"/>
      <c r="H464" s="23">
        <v>27</v>
      </c>
      <c r="I464" s="31">
        <v>528</v>
      </c>
      <c r="J464" s="31">
        <v>114</v>
      </c>
      <c r="K464" s="31">
        <v>1</v>
      </c>
      <c r="L464" s="31">
        <v>0</v>
      </c>
      <c r="M464" s="31">
        <v>1</v>
      </c>
      <c r="N464" s="31">
        <v>0</v>
      </c>
      <c r="O464" s="31">
        <v>99</v>
      </c>
      <c r="P464" s="31">
        <v>97</v>
      </c>
      <c r="Q464" s="31">
        <v>0</v>
      </c>
      <c r="R464" s="31">
        <v>2</v>
      </c>
      <c r="S464" s="31">
        <v>0</v>
      </c>
      <c r="T464" s="31">
        <v>0</v>
      </c>
      <c r="U464" s="31">
        <v>28</v>
      </c>
      <c r="V464" s="31">
        <v>13</v>
      </c>
      <c r="W464" s="31">
        <v>1</v>
      </c>
      <c r="X464" s="31">
        <v>1</v>
      </c>
      <c r="Y464" s="31">
        <v>137</v>
      </c>
      <c r="Z464" s="31">
        <v>137</v>
      </c>
      <c r="AA464" s="31">
        <v>0</v>
      </c>
      <c r="AB464" s="31">
        <v>428</v>
      </c>
    </row>
    <row r="465" spans="1:28" ht="27.2" customHeight="1" x14ac:dyDescent="0.2">
      <c r="A465" s="145"/>
      <c r="B465" s="221"/>
      <c r="C465" s="235"/>
      <c r="D465" s="162"/>
      <c r="E465" s="164"/>
      <c r="F465" s="165" t="s">
        <v>325</v>
      </c>
      <c r="G465" s="167"/>
      <c r="H465" s="23">
        <v>28</v>
      </c>
      <c r="I465" s="31">
        <v>15173</v>
      </c>
      <c r="J465" s="31">
        <v>8963</v>
      </c>
      <c r="K465" s="31">
        <v>136</v>
      </c>
      <c r="L465" s="31">
        <v>1</v>
      </c>
      <c r="M465" s="31">
        <v>118</v>
      </c>
      <c r="N465" s="31">
        <v>0</v>
      </c>
      <c r="O465" s="31">
        <v>7935</v>
      </c>
      <c r="P465" s="31">
        <v>7861</v>
      </c>
      <c r="Q465" s="31">
        <v>0</v>
      </c>
      <c r="R465" s="31">
        <v>69</v>
      </c>
      <c r="S465" s="31">
        <v>5</v>
      </c>
      <c r="T465" s="31">
        <v>0</v>
      </c>
      <c r="U465" s="31">
        <v>2943</v>
      </c>
      <c r="V465" s="31">
        <v>163</v>
      </c>
      <c r="W465" s="31">
        <v>159</v>
      </c>
      <c r="X465" s="31">
        <v>143</v>
      </c>
      <c r="Y465" s="31">
        <v>3652</v>
      </c>
      <c r="Z465" s="31">
        <v>3639</v>
      </c>
      <c r="AA465" s="31">
        <v>0</v>
      </c>
      <c r="AB465" s="31">
        <v>7089</v>
      </c>
    </row>
    <row r="466" spans="1:28" ht="27.2" customHeight="1" x14ac:dyDescent="0.2">
      <c r="A466" s="145"/>
      <c r="B466" s="221"/>
      <c r="C466" s="235"/>
      <c r="D466" s="165" t="s">
        <v>326</v>
      </c>
      <c r="E466" s="166"/>
      <c r="F466" s="166"/>
      <c r="G466" s="167"/>
      <c r="H466" s="23">
        <v>29</v>
      </c>
      <c r="I466" s="31">
        <v>16</v>
      </c>
      <c r="J466" s="31">
        <v>6</v>
      </c>
      <c r="K466" s="31">
        <v>1</v>
      </c>
      <c r="L466" s="31">
        <v>0</v>
      </c>
      <c r="M466" s="31">
        <v>1</v>
      </c>
      <c r="N466" s="31">
        <v>0</v>
      </c>
      <c r="O466" s="31">
        <v>5</v>
      </c>
      <c r="P466" s="31">
        <v>5</v>
      </c>
      <c r="Q466" s="31">
        <v>0</v>
      </c>
      <c r="R466" s="31">
        <v>0</v>
      </c>
      <c r="S466" s="31">
        <v>0</v>
      </c>
      <c r="T466" s="31">
        <v>0</v>
      </c>
      <c r="U466" s="31">
        <v>1</v>
      </c>
      <c r="V466" s="31">
        <v>2</v>
      </c>
      <c r="W466" s="31">
        <v>0</v>
      </c>
      <c r="X466" s="31">
        <v>0</v>
      </c>
      <c r="Y466" s="31">
        <v>2</v>
      </c>
      <c r="Z466" s="31">
        <v>2</v>
      </c>
      <c r="AA466" s="31">
        <v>0</v>
      </c>
      <c r="AB466" s="31">
        <v>10</v>
      </c>
    </row>
    <row r="467" spans="1:28" ht="27.2" customHeight="1" x14ac:dyDescent="0.2">
      <c r="A467" s="145"/>
      <c r="B467" s="221"/>
      <c r="C467" s="235"/>
      <c r="D467" s="165" t="s">
        <v>327</v>
      </c>
      <c r="E467" s="166"/>
      <c r="F467" s="166"/>
      <c r="G467" s="167"/>
      <c r="H467" s="23">
        <v>30</v>
      </c>
      <c r="I467" s="31">
        <v>1934</v>
      </c>
      <c r="J467" s="31">
        <v>1460</v>
      </c>
      <c r="K467" s="31">
        <v>12</v>
      </c>
      <c r="L467" s="31">
        <v>1</v>
      </c>
      <c r="M467" s="31">
        <v>11</v>
      </c>
      <c r="N467" s="31">
        <v>0</v>
      </c>
      <c r="O467" s="31">
        <v>1339</v>
      </c>
      <c r="P467" s="31">
        <v>1326</v>
      </c>
      <c r="Q467" s="31">
        <v>0</v>
      </c>
      <c r="R467" s="31">
        <v>12</v>
      </c>
      <c r="S467" s="31">
        <v>1</v>
      </c>
      <c r="T467" s="31">
        <v>0</v>
      </c>
      <c r="U467" s="31">
        <v>483</v>
      </c>
      <c r="V467" s="31">
        <v>56</v>
      </c>
      <c r="W467" s="31">
        <v>9</v>
      </c>
      <c r="X467" s="31">
        <v>25</v>
      </c>
      <c r="Y467" s="31">
        <v>334</v>
      </c>
      <c r="Z467" s="31">
        <v>333</v>
      </c>
      <c r="AA467" s="31">
        <v>0</v>
      </c>
      <c r="AB467" s="31">
        <v>582</v>
      </c>
    </row>
    <row r="468" spans="1:28" ht="27.2" customHeight="1" x14ac:dyDescent="0.2">
      <c r="A468" s="145"/>
      <c r="B468" s="221"/>
      <c r="C468" s="235"/>
      <c r="D468" s="165" t="s">
        <v>328</v>
      </c>
      <c r="E468" s="166"/>
      <c r="F468" s="166"/>
      <c r="G468" s="167"/>
      <c r="H468" s="23">
        <v>31</v>
      </c>
      <c r="I468" s="31">
        <v>10</v>
      </c>
      <c r="J468" s="31">
        <v>4</v>
      </c>
      <c r="K468" s="31">
        <v>0</v>
      </c>
      <c r="L468" s="31">
        <v>0</v>
      </c>
      <c r="M468" s="31">
        <v>0</v>
      </c>
      <c r="N468" s="31">
        <v>0</v>
      </c>
      <c r="O468" s="31">
        <v>4</v>
      </c>
      <c r="P468" s="31">
        <v>4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2</v>
      </c>
      <c r="W468" s="31">
        <v>0</v>
      </c>
      <c r="X468" s="31">
        <v>0</v>
      </c>
      <c r="Y468" s="31">
        <v>3</v>
      </c>
      <c r="Z468" s="31">
        <v>3</v>
      </c>
      <c r="AA468" s="31">
        <v>0</v>
      </c>
      <c r="AB468" s="31">
        <v>6</v>
      </c>
    </row>
    <row r="469" spans="1:28" ht="27" customHeight="1" x14ac:dyDescent="0.2">
      <c r="A469" s="145"/>
      <c r="B469" s="221"/>
      <c r="C469" s="235"/>
      <c r="D469" s="165" t="s">
        <v>329</v>
      </c>
      <c r="E469" s="166"/>
      <c r="F469" s="166"/>
      <c r="G469" s="167"/>
      <c r="H469" s="23">
        <v>32</v>
      </c>
      <c r="I469" s="31">
        <v>40</v>
      </c>
      <c r="J469" s="31">
        <v>26</v>
      </c>
      <c r="K469" s="31">
        <v>0</v>
      </c>
      <c r="L469" s="31">
        <v>0</v>
      </c>
      <c r="M469" s="31">
        <v>0</v>
      </c>
      <c r="N469" s="31">
        <v>0</v>
      </c>
      <c r="O469" s="31">
        <v>25</v>
      </c>
      <c r="P469" s="31">
        <v>25</v>
      </c>
      <c r="Q469" s="31">
        <v>0</v>
      </c>
      <c r="R469" s="31">
        <v>0</v>
      </c>
      <c r="S469" s="31">
        <v>0</v>
      </c>
      <c r="T469" s="31">
        <v>0</v>
      </c>
      <c r="U469" s="31">
        <v>6</v>
      </c>
      <c r="V469" s="31">
        <v>12</v>
      </c>
      <c r="W469" s="31">
        <v>0</v>
      </c>
      <c r="X469" s="31">
        <v>0</v>
      </c>
      <c r="Y469" s="31">
        <v>17</v>
      </c>
      <c r="Z469" s="31">
        <v>17</v>
      </c>
      <c r="AA469" s="31">
        <v>0</v>
      </c>
      <c r="AB469" s="31">
        <v>15</v>
      </c>
    </row>
    <row r="470" spans="1:28" ht="27" customHeight="1" x14ac:dyDescent="0.2">
      <c r="A470" s="145"/>
      <c r="B470" s="221"/>
      <c r="C470" s="235"/>
      <c r="D470" s="165" t="s">
        <v>330</v>
      </c>
      <c r="E470" s="166"/>
      <c r="F470" s="166"/>
      <c r="G470" s="167"/>
      <c r="H470" s="23">
        <v>33</v>
      </c>
      <c r="I470" s="31">
        <v>81</v>
      </c>
      <c r="J470" s="31">
        <v>25</v>
      </c>
      <c r="K470" s="31">
        <v>0</v>
      </c>
      <c r="L470" s="31">
        <v>0</v>
      </c>
      <c r="M470" s="31">
        <v>0</v>
      </c>
      <c r="N470" s="31">
        <v>0</v>
      </c>
      <c r="O470" s="31">
        <v>24</v>
      </c>
      <c r="P470" s="31">
        <v>24</v>
      </c>
      <c r="Q470" s="31">
        <v>0</v>
      </c>
      <c r="R470" s="31">
        <v>0</v>
      </c>
      <c r="S470" s="31">
        <v>0</v>
      </c>
      <c r="T470" s="31">
        <v>0</v>
      </c>
      <c r="U470" s="31">
        <v>15</v>
      </c>
      <c r="V470" s="31">
        <v>0</v>
      </c>
      <c r="W470" s="31">
        <v>1</v>
      </c>
      <c r="X470" s="31">
        <v>0</v>
      </c>
      <c r="Y470" s="31">
        <v>11</v>
      </c>
      <c r="Z470" s="31">
        <v>11</v>
      </c>
      <c r="AA470" s="31">
        <v>0</v>
      </c>
      <c r="AB470" s="31">
        <v>57</v>
      </c>
    </row>
    <row r="471" spans="1:28" ht="27" customHeight="1" x14ac:dyDescent="0.2">
      <c r="A471" s="145"/>
      <c r="B471" s="221"/>
      <c r="C471" s="235"/>
      <c r="D471" s="165" t="s">
        <v>331</v>
      </c>
      <c r="E471" s="166"/>
      <c r="F471" s="166"/>
      <c r="G471" s="167"/>
      <c r="H471" s="23">
        <v>34</v>
      </c>
      <c r="I471" s="31">
        <v>746</v>
      </c>
      <c r="J471" s="31">
        <v>582</v>
      </c>
      <c r="K471" s="31">
        <v>15</v>
      </c>
      <c r="L471" s="31">
        <v>0</v>
      </c>
      <c r="M471" s="31">
        <v>7</v>
      </c>
      <c r="N471" s="31">
        <v>0</v>
      </c>
      <c r="O471" s="31">
        <v>493</v>
      </c>
      <c r="P471" s="31">
        <v>488</v>
      </c>
      <c r="Q471" s="31">
        <v>0</v>
      </c>
      <c r="R471" s="31">
        <v>4</v>
      </c>
      <c r="S471" s="31">
        <v>1</v>
      </c>
      <c r="T471" s="31">
        <v>0</v>
      </c>
      <c r="U471" s="31">
        <v>240</v>
      </c>
      <c r="V471" s="31">
        <v>7</v>
      </c>
      <c r="W471" s="31">
        <v>15</v>
      </c>
      <c r="X471" s="31">
        <v>3</v>
      </c>
      <c r="Y471" s="31">
        <v>57</v>
      </c>
      <c r="Z471" s="31">
        <v>56</v>
      </c>
      <c r="AA471" s="31">
        <v>0</v>
      </c>
      <c r="AB471" s="31">
        <v>237</v>
      </c>
    </row>
    <row r="472" spans="1:28" ht="27" customHeight="1" x14ac:dyDescent="0.2">
      <c r="A472" s="145"/>
      <c r="B472" s="221"/>
      <c r="C472" s="235"/>
      <c r="D472" s="165" t="s">
        <v>332</v>
      </c>
      <c r="E472" s="166"/>
      <c r="F472" s="166"/>
      <c r="G472" s="167"/>
      <c r="H472" s="23">
        <v>35</v>
      </c>
      <c r="I472" s="31">
        <v>130</v>
      </c>
      <c r="J472" s="31">
        <v>103</v>
      </c>
      <c r="K472" s="31">
        <v>0</v>
      </c>
      <c r="L472" s="31">
        <v>0</v>
      </c>
      <c r="M472" s="31">
        <v>0</v>
      </c>
      <c r="N472" s="31">
        <v>0</v>
      </c>
      <c r="O472" s="31">
        <v>98</v>
      </c>
      <c r="P472" s="31">
        <v>97</v>
      </c>
      <c r="Q472" s="31">
        <v>0</v>
      </c>
      <c r="R472" s="31">
        <v>1</v>
      </c>
      <c r="S472" s="31">
        <v>0</v>
      </c>
      <c r="T472" s="31">
        <v>0</v>
      </c>
      <c r="U472" s="31">
        <v>40</v>
      </c>
      <c r="V472" s="31">
        <v>1</v>
      </c>
      <c r="W472" s="31">
        <v>0</v>
      </c>
      <c r="X472" s="31">
        <v>0</v>
      </c>
      <c r="Y472" s="31">
        <v>17</v>
      </c>
      <c r="Z472" s="31">
        <v>17</v>
      </c>
      <c r="AA472" s="31">
        <v>0</v>
      </c>
      <c r="AB472" s="31">
        <v>32</v>
      </c>
    </row>
    <row r="473" spans="1:28" ht="27" customHeight="1" x14ac:dyDescent="0.2">
      <c r="A473" s="145"/>
      <c r="B473" s="221"/>
      <c r="C473" s="235"/>
      <c r="D473" s="165" t="s">
        <v>333</v>
      </c>
      <c r="E473" s="166"/>
      <c r="F473" s="166"/>
      <c r="G473" s="167"/>
      <c r="H473" s="23">
        <v>36</v>
      </c>
      <c r="I473" s="31">
        <v>375</v>
      </c>
      <c r="J473" s="31">
        <v>252</v>
      </c>
      <c r="K473" s="31">
        <v>1</v>
      </c>
      <c r="L473" s="31">
        <v>0</v>
      </c>
      <c r="M473" s="31">
        <v>1</v>
      </c>
      <c r="N473" s="31">
        <v>0</v>
      </c>
      <c r="O473" s="31">
        <v>233</v>
      </c>
      <c r="P473" s="31">
        <v>231</v>
      </c>
      <c r="Q473" s="31">
        <v>0</v>
      </c>
      <c r="R473" s="31">
        <v>2</v>
      </c>
      <c r="S473" s="31">
        <v>0</v>
      </c>
      <c r="T473" s="31">
        <v>0</v>
      </c>
      <c r="U473" s="31">
        <v>124</v>
      </c>
      <c r="V473" s="31">
        <v>5</v>
      </c>
      <c r="W473" s="31">
        <v>5</v>
      </c>
      <c r="X473" s="31">
        <v>11</v>
      </c>
      <c r="Y473" s="31">
        <v>78</v>
      </c>
      <c r="Z473" s="31">
        <v>78</v>
      </c>
      <c r="AA473" s="31">
        <v>0</v>
      </c>
      <c r="AB473" s="31">
        <v>141</v>
      </c>
    </row>
    <row r="474" spans="1:28" ht="27" customHeight="1" x14ac:dyDescent="0.2">
      <c r="A474" s="145"/>
      <c r="B474" s="222"/>
      <c r="C474" s="236"/>
      <c r="D474" s="165" t="s">
        <v>334</v>
      </c>
      <c r="E474" s="166"/>
      <c r="F474" s="166"/>
      <c r="G474" s="167"/>
      <c r="H474" s="23">
        <v>37</v>
      </c>
      <c r="I474" s="31">
        <v>251</v>
      </c>
      <c r="J474" s="31">
        <v>200</v>
      </c>
      <c r="K474" s="31">
        <v>5</v>
      </c>
      <c r="L474" s="31">
        <v>0</v>
      </c>
      <c r="M474" s="31">
        <v>4</v>
      </c>
      <c r="N474" s="31">
        <v>0</v>
      </c>
      <c r="O474" s="31">
        <v>185</v>
      </c>
      <c r="P474" s="31">
        <v>184</v>
      </c>
      <c r="Q474" s="31">
        <v>0</v>
      </c>
      <c r="R474" s="31">
        <v>1</v>
      </c>
      <c r="S474" s="31">
        <v>0</v>
      </c>
      <c r="T474" s="31">
        <v>0</v>
      </c>
      <c r="U474" s="31">
        <v>79</v>
      </c>
      <c r="V474" s="31">
        <v>2</v>
      </c>
      <c r="W474" s="31">
        <v>3</v>
      </c>
      <c r="X474" s="31">
        <v>2</v>
      </c>
      <c r="Y474" s="31">
        <v>50</v>
      </c>
      <c r="Z474" s="31">
        <v>50</v>
      </c>
      <c r="AA474" s="31">
        <v>0</v>
      </c>
      <c r="AB474" s="31">
        <v>61</v>
      </c>
    </row>
    <row r="475" spans="1:28" ht="27.2" customHeight="1" x14ac:dyDescent="0.2">
      <c r="A475" s="145"/>
      <c r="B475" s="138" t="s">
        <v>339</v>
      </c>
      <c r="C475" s="139"/>
      <c r="D475" s="139"/>
      <c r="E475" s="139"/>
      <c r="F475" s="139"/>
      <c r="G475" s="140"/>
      <c r="H475" s="23">
        <v>38</v>
      </c>
      <c r="I475" s="31">
        <v>674</v>
      </c>
      <c r="J475" s="31">
        <v>661</v>
      </c>
      <c r="K475" s="31">
        <v>7</v>
      </c>
      <c r="L475" s="31">
        <v>0</v>
      </c>
      <c r="M475" s="31">
        <v>6</v>
      </c>
      <c r="N475" s="31">
        <v>0</v>
      </c>
      <c r="O475" s="31">
        <v>546</v>
      </c>
      <c r="P475" s="31">
        <v>521</v>
      </c>
      <c r="Q475" s="31">
        <v>0</v>
      </c>
      <c r="R475" s="31">
        <v>21</v>
      </c>
      <c r="S475" s="31">
        <v>4</v>
      </c>
      <c r="T475" s="31">
        <v>0</v>
      </c>
      <c r="U475" s="31">
        <v>225</v>
      </c>
      <c r="V475" s="31">
        <v>19</v>
      </c>
      <c r="W475" s="31">
        <v>46</v>
      </c>
      <c r="X475" s="31">
        <v>35</v>
      </c>
      <c r="Y475" s="31">
        <v>46</v>
      </c>
      <c r="Z475" s="31">
        <v>45</v>
      </c>
      <c r="AA475" s="31">
        <v>0</v>
      </c>
      <c r="AB475" s="31">
        <v>120</v>
      </c>
    </row>
    <row r="476" spans="1:28" ht="27.2" customHeight="1" x14ac:dyDescent="0.2">
      <c r="A476" s="145"/>
      <c r="B476" s="138" t="s">
        <v>340</v>
      </c>
      <c r="C476" s="139"/>
      <c r="D476" s="139"/>
      <c r="E476" s="139"/>
      <c r="F476" s="139"/>
      <c r="G476" s="140"/>
      <c r="H476" s="23">
        <v>39</v>
      </c>
      <c r="I476" s="31">
        <v>150</v>
      </c>
      <c r="J476" s="31">
        <v>140</v>
      </c>
      <c r="K476" s="31">
        <v>0</v>
      </c>
      <c r="L476" s="31">
        <v>0</v>
      </c>
      <c r="M476" s="31">
        <v>0</v>
      </c>
      <c r="N476" s="31">
        <v>0</v>
      </c>
      <c r="O476" s="31">
        <v>101</v>
      </c>
      <c r="P476" s="31">
        <v>97</v>
      </c>
      <c r="Q476" s="31">
        <v>0</v>
      </c>
      <c r="R476" s="31">
        <v>4</v>
      </c>
      <c r="S476" s="31">
        <v>0</v>
      </c>
      <c r="T476" s="31">
        <v>0</v>
      </c>
      <c r="U476" s="31">
        <v>40</v>
      </c>
      <c r="V476" s="31">
        <v>18</v>
      </c>
      <c r="W476" s="31">
        <v>13</v>
      </c>
      <c r="X476" s="31">
        <v>12</v>
      </c>
      <c r="Y476" s="31">
        <v>5</v>
      </c>
      <c r="Z476" s="31">
        <v>4</v>
      </c>
      <c r="AA476" s="31">
        <v>0</v>
      </c>
      <c r="AB476" s="31">
        <v>48</v>
      </c>
    </row>
    <row r="477" spans="1:28" ht="27.2" customHeight="1" x14ac:dyDescent="0.2">
      <c r="A477" s="145"/>
      <c r="B477" s="138" t="s">
        <v>341</v>
      </c>
      <c r="C477" s="139"/>
      <c r="D477" s="139"/>
      <c r="E477" s="139"/>
      <c r="F477" s="139"/>
      <c r="G477" s="140"/>
      <c r="H477" s="23">
        <v>40</v>
      </c>
      <c r="I477" s="31">
        <v>35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10</v>
      </c>
      <c r="Z477" s="31">
        <v>10</v>
      </c>
      <c r="AA477" s="31">
        <v>0</v>
      </c>
      <c r="AB477" s="31">
        <v>35</v>
      </c>
    </row>
    <row r="478" spans="1:28" ht="26.25" customHeight="1" x14ac:dyDescent="0.2">
      <c r="A478" s="145"/>
      <c r="B478" s="216" t="s">
        <v>32</v>
      </c>
      <c r="C478" s="138" t="s">
        <v>342</v>
      </c>
      <c r="D478" s="139"/>
      <c r="E478" s="139"/>
      <c r="F478" s="139"/>
      <c r="G478" s="140"/>
      <c r="H478" s="23">
        <v>41</v>
      </c>
      <c r="I478" s="54">
        <v>21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7</v>
      </c>
      <c r="Z478" s="31">
        <v>7</v>
      </c>
      <c r="AA478" s="31">
        <v>0</v>
      </c>
      <c r="AB478" s="31">
        <v>21</v>
      </c>
    </row>
    <row r="479" spans="1:28" ht="26.25" customHeight="1" x14ac:dyDescent="0.2">
      <c r="A479" s="145"/>
      <c r="B479" s="217"/>
      <c r="C479" s="139" t="s">
        <v>343</v>
      </c>
      <c r="D479" s="139"/>
      <c r="E479" s="139"/>
      <c r="F479" s="139"/>
      <c r="G479" s="140"/>
      <c r="H479" s="23">
        <v>42</v>
      </c>
      <c r="I479" s="54">
        <v>14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3</v>
      </c>
      <c r="Z479" s="31">
        <v>3</v>
      </c>
      <c r="AA479" s="31">
        <v>0</v>
      </c>
      <c r="AB479" s="31">
        <v>14</v>
      </c>
    </row>
    <row r="480" spans="1:28" ht="27.2" customHeight="1" x14ac:dyDescent="0.2">
      <c r="A480" s="145"/>
      <c r="B480" s="138" t="s">
        <v>344</v>
      </c>
      <c r="C480" s="139"/>
      <c r="D480" s="139"/>
      <c r="E480" s="139"/>
      <c r="F480" s="139"/>
      <c r="G480" s="140"/>
      <c r="H480" s="23">
        <v>43</v>
      </c>
      <c r="I480" s="31">
        <v>209</v>
      </c>
      <c r="J480" s="31">
        <v>76</v>
      </c>
      <c r="K480" s="31">
        <v>0</v>
      </c>
      <c r="L480" s="31">
        <v>0</v>
      </c>
      <c r="M480" s="31">
        <v>0</v>
      </c>
      <c r="N480" s="31">
        <v>0</v>
      </c>
      <c r="O480" s="31">
        <v>30</v>
      </c>
      <c r="P480" s="31">
        <v>30</v>
      </c>
      <c r="Q480" s="31">
        <v>0</v>
      </c>
      <c r="R480" s="31">
        <v>0</v>
      </c>
      <c r="S480" s="31">
        <v>0</v>
      </c>
      <c r="T480" s="31">
        <v>0</v>
      </c>
      <c r="U480" s="31">
        <v>5</v>
      </c>
      <c r="V480" s="31">
        <v>10</v>
      </c>
      <c r="W480" s="31">
        <v>3</v>
      </c>
      <c r="X480" s="31">
        <v>12</v>
      </c>
      <c r="Y480" s="31">
        <v>51</v>
      </c>
      <c r="Z480" s="31">
        <v>51</v>
      </c>
      <c r="AA480" s="31">
        <v>0</v>
      </c>
      <c r="AB480" s="31">
        <v>179</v>
      </c>
    </row>
    <row r="481" spans="1:28" ht="27.2" customHeight="1" x14ac:dyDescent="0.2">
      <c r="A481" s="145"/>
      <c r="B481" s="138" t="s">
        <v>345</v>
      </c>
      <c r="C481" s="139"/>
      <c r="D481" s="139"/>
      <c r="E481" s="139"/>
      <c r="F481" s="139"/>
      <c r="G481" s="140"/>
      <c r="H481" s="23">
        <v>44</v>
      </c>
      <c r="I481" s="31">
        <v>28448</v>
      </c>
      <c r="J481" s="31">
        <v>8576</v>
      </c>
      <c r="K481" s="31">
        <v>735</v>
      </c>
      <c r="L481" s="31">
        <v>1</v>
      </c>
      <c r="M481" s="31">
        <v>708</v>
      </c>
      <c r="N481" s="31">
        <v>0</v>
      </c>
      <c r="O481" s="31">
        <v>6379</v>
      </c>
      <c r="P481" s="31">
        <v>6363</v>
      </c>
      <c r="Q481" s="31">
        <v>16</v>
      </c>
      <c r="R481" s="31">
        <v>0</v>
      </c>
      <c r="S481" s="31">
        <v>0</v>
      </c>
      <c r="T481" s="31">
        <v>2</v>
      </c>
      <c r="U481" s="31">
        <v>1178</v>
      </c>
      <c r="V481" s="31">
        <v>337</v>
      </c>
      <c r="W481" s="31">
        <v>10</v>
      </c>
      <c r="X481" s="31">
        <v>67</v>
      </c>
      <c r="Y481" s="31">
        <v>2838</v>
      </c>
      <c r="Z481" s="31">
        <v>2830</v>
      </c>
      <c r="AA481" s="31">
        <v>0</v>
      </c>
      <c r="AB481" s="31">
        <v>21324</v>
      </c>
    </row>
    <row r="482" spans="1:28" ht="26.25" customHeight="1" x14ac:dyDescent="0.2">
      <c r="A482" s="145"/>
      <c r="B482" s="216" t="s">
        <v>32</v>
      </c>
      <c r="C482" s="138" t="s">
        <v>346</v>
      </c>
      <c r="D482" s="139"/>
      <c r="E482" s="139"/>
      <c r="F482" s="139"/>
      <c r="G482" s="140"/>
      <c r="H482" s="23">
        <v>45</v>
      </c>
      <c r="I482" s="54">
        <v>10055</v>
      </c>
      <c r="J482" s="54">
        <v>910</v>
      </c>
      <c r="K482" s="54">
        <v>7</v>
      </c>
      <c r="L482" s="54">
        <v>0</v>
      </c>
      <c r="M482" s="31">
        <v>7</v>
      </c>
      <c r="N482" s="31">
        <v>0</v>
      </c>
      <c r="O482" s="31">
        <v>849</v>
      </c>
      <c r="P482" s="31">
        <v>834</v>
      </c>
      <c r="Q482" s="31">
        <v>15</v>
      </c>
      <c r="R482" s="31">
        <v>0</v>
      </c>
      <c r="S482" s="31">
        <v>0</v>
      </c>
      <c r="T482" s="31">
        <v>2</v>
      </c>
      <c r="U482" s="31">
        <v>91</v>
      </c>
      <c r="V482" s="31">
        <v>1</v>
      </c>
      <c r="W482" s="31">
        <v>7</v>
      </c>
      <c r="X482" s="31">
        <v>12</v>
      </c>
      <c r="Y482" s="31">
        <v>1642</v>
      </c>
      <c r="Z482" s="31">
        <v>1642</v>
      </c>
      <c r="AA482" s="31">
        <v>0</v>
      </c>
      <c r="AB482" s="31">
        <v>9197</v>
      </c>
    </row>
    <row r="483" spans="1:28" ht="27.2" customHeight="1" x14ac:dyDescent="0.2">
      <c r="A483" s="145"/>
      <c r="B483" s="233"/>
      <c r="C483" s="138" t="s">
        <v>347</v>
      </c>
      <c r="D483" s="139"/>
      <c r="E483" s="139"/>
      <c r="F483" s="139"/>
      <c r="G483" s="140"/>
      <c r="H483" s="23">
        <v>46</v>
      </c>
      <c r="I483" s="31">
        <v>18393</v>
      </c>
      <c r="J483" s="31">
        <v>7666</v>
      </c>
      <c r="K483" s="31">
        <v>728</v>
      </c>
      <c r="L483" s="31">
        <v>1</v>
      </c>
      <c r="M483" s="31">
        <v>701</v>
      </c>
      <c r="N483" s="31">
        <v>0</v>
      </c>
      <c r="O483" s="31">
        <v>5530</v>
      </c>
      <c r="P483" s="31">
        <v>5529</v>
      </c>
      <c r="Q483" s="31">
        <v>1</v>
      </c>
      <c r="R483" s="31">
        <v>0</v>
      </c>
      <c r="S483" s="31">
        <v>0</v>
      </c>
      <c r="T483" s="31">
        <v>0</v>
      </c>
      <c r="U483" s="31">
        <v>1087</v>
      </c>
      <c r="V483" s="31">
        <v>336</v>
      </c>
      <c r="W483" s="31">
        <v>3</v>
      </c>
      <c r="X483" s="31">
        <v>55</v>
      </c>
      <c r="Y483" s="31">
        <v>1196</v>
      </c>
      <c r="Z483" s="31">
        <v>1188</v>
      </c>
      <c r="AA483" s="31">
        <v>0</v>
      </c>
      <c r="AB483" s="31">
        <v>12127</v>
      </c>
    </row>
    <row r="484" spans="1:28" ht="27.2" customHeight="1" x14ac:dyDescent="0.2">
      <c r="A484" s="145"/>
      <c r="B484" s="217"/>
      <c r="C484" s="138" t="s">
        <v>348</v>
      </c>
      <c r="D484" s="139"/>
      <c r="E484" s="139"/>
      <c r="F484" s="139"/>
      <c r="G484" s="140"/>
      <c r="H484" s="23">
        <v>47</v>
      </c>
      <c r="I484" s="31">
        <v>533</v>
      </c>
      <c r="J484" s="31">
        <v>115</v>
      </c>
      <c r="K484" s="31">
        <v>1</v>
      </c>
      <c r="L484" s="31">
        <v>0</v>
      </c>
      <c r="M484" s="31">
        <v>0</v>
      </c>
      <c r="N484" s="31">
        <v>0</v>
      </c>
      <c r="O484" s="31">
        <v>78</v>
      </c>
      <c r="P484" s="31">
        <v>78</v>
      </c>
      <c r="Q484" s="31">
        <v>0</v>
      </c>
      <c r="R484" s="31">
        <v>0</v>
      </c>
      <c r="S484" s="31">
        <v>0</v>
      </c>
      <c r="T484" s="31">
        <v>1</v>
      </c>
      <c r="U484" s="31">
        <v>5</v>
      </c>
      <c r="V484" s="31">
        <v>8</v>
      </c>
      <c r="W484" s="31">
        <v>0</v>
      </c>
      <c r="X484" s="31">
        <v>0</v>
      </c>
      <c r="Y484" s="31">
        <v>50</v>
      </c>
      <c r="Z484" s="31">
        <v>49</v>
      </c>
      <c r="AA484" s="31">
        <v>0</v>
      </c>
      <c r="AB484" s="31">
        <v>452</v>
      </c>
    </row>
    <row r="485" spans="1:28" ht="33" customHeight="1" x14ac:dyDescent="0.2">
      <c r="A485" s="145"/>
      <c r="B485" s="138" t="s">
        <v>349</v>
      </c>
      <c r="C485" s="139"/>
      <c r="D485" s="139"/>
      <c r="E485" s="139"/>
      <c r="F485" s="139"/>
      <c r="G485" s="140"/>
      <c r="H485" s="23">
        <v>48</v>
      </c>
      <c r="I485" s="31">
        <v>4144</v>
      </c>
      <c r="J485" s="31">
        <v>1910</v>
      </c>
      <c r="K485" s="31">
        <v>121</v>
      </c>
      <c r="L485" s="31">
        <v>0</v>
      </c>
      <c r="M485" s="31">
        <v>121</v>
      </c>
      <c r="N485" s="31">
        <v>0</v>
      </c>
      <c r="O485" s="31">
        <v>1013</v>
      </c>
      <c r="P485" s="31">
        <v>1013</v>
      </c>
      <c r="Q485" s="31">
        <v>0</v>
      </c>
      <c r="R485" s="31">
        <v>0</v>
      </c>
      <c r="S485" s="31">
        <v>0</v>
      </c>
      <c r="T485" s="31">
        <v>0</v>
      </c>
      <c r="U485" s="31">
        <v>14</v>
      </c>
      <c r="V485" s="31">
        <v>238</v>
      </c>
      <c r="W485" s="31">
        <v>0</v>
      </c>
      <c r="X485" s="31">
        <v>0</v>
      </c>
      <c r="Y485" s="31">
        <v>101</v>
      </c>
      <c r="Z485" s="31">
        <v>101</v>
      </c>
      <c r="AA485" s="31">
        <v>0</v>
      </c>
      <c r="AB485" s="31">
        <v>3010</v>
      </c>
    </row>
    <row r="486" spans="1:28" ht="27.2" customHeight="1" x14ac:dyDescent="0.2">
      <c r="A486" s="145"/>
      <c r="B486" s="220" t="s">
        <v>32</v>
      </c>
      <c r="C486" s="165" t="s">
        <v>350</v>
      </c>
      <c r="D486" s="166"/>
      <c r="E486" s="166"/>
      <c r="F486" s="166"/>
      <c r="G486" s="167"/>
      <c r="H486" s="23">
        <v>49</v>
      </c>
      <c r="I486" s="31">
        <v>98</v>
      </c>
      <c r="J486" s="31">
        <v>36</v>
      </c>
      <c r="K486" s="31">
        <v>1</v>
      </c>
      <c r="L486" s="31">
        <v>0</v>
      </c>
      <c r="M486" s="31">
        <v>1</v>
      </c>
      <c r="N486" s="31">
        <v>0</v>
      </c>
      <c r="O486" s="31">
        <v>30</v>
      </c>
      <c r="P486" s="31">
        <v>30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4</v>
      </c>
      <c r="W486" s="31">
        <v>0</v>
      </c>
      <c r="X486" s="31">
        <v>0</v>
      </c>
      <c r="Y486" s="31">
        <v>3</v>
      </c>
      <c r="Z486" s="31">
        <v>3</v>
      </c>
      <c r="AA486" s="31">
        <v>0</v>
      </c>
      <c r="AB486" s="31">
        <v>67</v>
      </c>
    </row>
    <row r="487" spans="1:28" ht="27.2" customHeight="1" x14ac:dyDescent="0.2">
      <c r="A487" s="145"/>
      <c r="B487" s="222"/>
      <c r="C487" s="165" t="s">
        <v>326</v>
      </c>
      <c r="D487" s="166"/>
      <c r="E487" s="166"/>
      <c r="F487" s="166"/>
      <c r="G487" s="167"/>
      <c r="H487" s="23">
        <v>50</v>
      </c>
      <c r="I487" s="31">
        <v>145</v>
      </c>
      <c r="J487" s="31">
        <v>43</v>
      </c>
      <c r="K487" s="31">
        <v>2</v>
      </c>
      <c r="L487" s="31">
        <v>0</v>
      </c>
      <c r="M487" s="31">
        <v>2</v>
      </c>
      <c r="N487" s="31">
        <v>0</v>
      </c>
      <c r="O487" s="31">
        <v>27</v>
      </c>
      <c r="P487" s="31">
        <v>27</v>
      </c>
      <c r="Q487" s="31">
        <v>0</v>
      </c>
      <c r="R487" s="31">
        <v>0</v>
      </c>
      <c r="S487" s="31">
        <v>0</v>
      </c>
      <c r="T487" s="31">
        <v>0</v>
      </c>
      <c r="U487" s="31">
        <v>1</v>
      </c>
      <c r="V487" s="31">
        <v>4</v>
      </c>
      <c r="W487" s="31">
        <v>0</v>
      </c>
      <c r="X487" s="31">
        <v>0</v>
      </c>
      <c r="Y487" s="31">
        <v>1</v>
      </c>
      <c r="Z487" s="31">
        <v>1</v>
      </c>
      <c r="AA487" s="31">
        <v>0</v>
      </c>
      <c r="AB487" s="31">
        <v>116</v>
      </c>
    </row>
    <row r="488" spans="1:28" ht="30" customHeight="1" x14ac:dyDescent="0.2">
      <c r="A488" s="145"/>
      <c r="B488" s="138" t="s">
        <v>351</v>
      </c>
      <c r="C488" s="139"/>
      <c r="D488" s="139"/>
      <c r="E488" s="139"/>
      <c r="F488" s="139"/>
      <c r="G488" s="140"/>
      <c r="H488" s="23">
        <v>51</v>
      </c>
      <c r="I488" s="31">
        <v>45</v>
      </c>
      <c r="J488" s="31">
        <v>2</v>
      </c>
      <c r="K488" s="31">
        <v>0</v>
      </c>
      <c r="L488" s="31">
        <v>0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21</v>
      </c>
      <c r="Z488" s="31">
        <v>21</v>
      </c>
      <c r="AA488" s="31">
        <v>0</v>
      </c>
      <c r="AB488" s="31">
        <v>44</v>
      </c>
    </row>
    <row r="489" spans="1:28" ht="27.2" customHeight="1" x14ac:dyDescent="0.2">
      <c r="A489" s="145"/>
      <c r="B489" s="138" t="s">
        <v>352</v>
      </c>
      <c r="C489" s="139"/>
      <c r="D489" s="139"/>
      <c r="E489" s="139"/>
      <c r="F489" s="139"/>
      <c r="G489" s="140"/>
      <c r="H489" s="23">
        <v>52</v>
      </c>
      <c r="I489" s="31">
        <v>23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9</v>
      </c>
      <c r="Z489" s="31">
        <v>9</v>
      </c>
      <c r="AA489" s="31">
        <v>0</v>
      </c>
      <c r="AB489" s="31">
        <v>22</v>
      </c>
    </row>
    <row r="490" spans="1:28" ht="27.2" customHeight="1" x14ac:dyDescent="0.2">
      <c r="A490" s="145"/>
      <c r="B490" s="138" t="s">
        <v>353</v>
      </c>
      <c r="C490" s="139"/>
      <c r="D490" s="139"/>
      <c r="E490" s="139"/>
      <c r="F490" s="139"/>
      <c r="G490" s="140"/>
      <c r="H490" s="23">
        <v>53</v>
      </c>
      <c r="I490" s="31">
        <v>587</v>
      </c>
      <c r="J490" s="31">
        <v>316</v>
      </c>
      <c r="K490" s="31">
        <v>2</v>
      </c>
      <c r="L490" s="31">
        <v>0</v>
      </c>
      <c r="M490" s="31">
        <v>1</v>
      </c>
      <c r="N490" s="31">
        <v>0</v>
      </c>
      <c r="O490" s="31">
        <v>221</v>
      </c>
      <c r="P490" s="31">
        <v>209</v>
      </c>
      <c r="Q490" s="31">
        <v>0</v>
      </c>
      <c r="R490" s="31">
        <v>10</v>
      </c>
      <c r="S490" s="31">
        <v>2</v>
      </c>
      <c r="T490" s="31">
        <v>0</v>
      </c>
      <c r="U490" s="31">
        <v>31</v>
      </c>
      <c r="V490" s="31">
        <v>30</v>
      </c>
      <c r="W490" s="31">
        <v>20</v>
      </c>
      <c r="X490" s="31">
        <v>21</v>
      </c>
      <c r="Y490" s="31">
        <v>220</v>
      </c>
      <c r="Z490" s="31">
        <v>220</v>
      </c>
      <c r="AA490" s="31">
        <v>0</v>
      </c>
      <c r="AB490" s="31">
        <v>364</v>
      </c>
    </row>
    <row r="491" spans="1:28" ht="27.2" customHeight="1" x14ac:dyDescent="0.2">
      <c r="A491" s="145"/>
      <c r="B491" s="39" t="s">
        <v>32</v>
      </c>
      <c r="C491" s="138" t="s">
        <v>354</v>
      </c>
      <c r="D491" s="139"/>
      <c r="E491" s="139"/>
      <c r="F491" s="139"/>
      <c r="G491" s="140"/>
      <c r="H491" s="23">
        <v>54</v>
      </c>
      <c r="I491" s="31">
        <v>404</v>
      </c>
      <c r="J491" s="31">
        <v>270</v>
      </c>
      <c r="K491" s="31">
        <v>2</v>
      </c>
      <c r="L491" s="31">
        <v>0</v>
      </c>
      <c r="M491" s="31">
        <v>1</v>
      </c>
      <c r="N491" s="31">
        <v>0</v>
      </c>
      <c r="O491" s="31">
        <v>190</v>
      </c>
      <c r="P491" s="31">
        <v>179</v>
      </c>
      <c r="Q491" s="31">
        <v>0</v>
      </c>
      <c r="R491" s="31">
        <v>9</v>
      </c>
      <c r="S491" s="31">
        <v>2</v>
      </c>
      <c r="T491" s="31">
        <v>0</v>
      </c>
      <c r="U491" s="31">
        <v>30</v>
      </c>
      <c r="V491" s="31">
        <v>29</v>
      </c>
      <c r="W491" s="31">
        <v>20</v>
      </c>
      <c r="X491" s="31">
        <v>19</v>
      </c>
      <c r="Y491" s="31">
        <v>61</v>
      </c>
      <c r="Z491" s="31">
        <v>61</v>
      </c>
      <c r="AA491" s="31">
        <v>0</v>
      </c>
      <c r="AB491" s="31">
        <v>212</v>
      </c>
    </row>
    <row r="492" spans="1:28" ht="27.2" customHeight="1" x14ac:dyDescent="0.2">
      <c r="A492" s="145"/>
      <c r="B492" s="138" t="s">
        <v>355</v>
      </c>
      <c r="C492" s="139"/>
      <c r="D492" s="139"/>
      <c r="E492" s="139"/>
      <c r="F492" s="139"/>
      <c r="G492" s="140"/>
      <c r="H492" s="23">
        <v>55</v>
      </c>
      <c r="I492" s="31">
        <v>36</v>
      </c>
      <c r="J492" s="31">
        <v>13</v>
      </c>
      <c r="K492" s="31">
        <v>0</v>
      </c>
      <c r="L492" s="31">
        <v>0</v>
      </c>
      <c r="M492" s="31">
        <v>0</v>
      </c>
      <c r="N492" s="31">
        <v>0</v>
      </c>
      <c r="O492" s="31">
        <v>9</v>
      </c>
      <c r="P492" s="31">
        <v>9</v>
      </c>
      <c r="Q492" s="31">
        <v>0</v>
      </c>
      <c r="R492" s="31">
        <v>0</v>
      </c>
      <c r="S492" s="31">
        <v>0</v>
      </c>
      <c r="T492" s="31">
        <v>0</v>
      </c>
      <c r="U492" s="31">
        <v>7</v>
      </c>
      <c r="V492" s="31">
        <v>0</v>
      </c>
      <c r="W492" s="31">
        <v>0</v>
      </c>
      <c r="X492" s="31">
        <v>0</v>
      </c>
      <c r="Y492" s="31">
        <v>47</v>
      </c>
      <c r="Z492" s="31">
        <v>47</v>
      </c>
      <c r="AA492" s="31">
        <v>0</v>
      </c>
      <c r="AB492" s="31">
        <v>27</v>
      </c>
    </row>
    <row r="493" spans="1:28" ht="27.2" customHeight="1" x14ac:dyDescent="0.2">
      <c r="A493" s="145"/>
      <c r="B493" s="138" t="s">
        <v>356</v>
      </c>
      <c r="C493" s="139"/>
      <c r="D493" s="139"/>
      <c r="E493" s="139"/>
      <c r="F493" s="139"/>
      <c r="G493" s="140"/>
      <c r="H493" s="23">
        <v>56</v>
      </c>
      <c r="I493" s="31">
        <v>10</v>
      </c>
      <c r="J493" s="31">
        <v>3</v>
      </c>
      <c r="K493" s="31">
        <v>0</v>
      </c>
      <c r="L493" s="31">
        <v>0</v>
      </c>
      <c r="M493" s="31">
        <v>0</v>
      </c>
      <c r="N493" s="31">
        <v>0</v>
      </c>
      <c r="O493" s="31">
        <v>2</v>
      </c>
      <c r="P493" s="31">
        <v>2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2</v>
      </c>
      <c r="X493" s="31">
        <v>0</v>
      </c>
      <c r="Y493" s="31">
        <v>2</v>
      </c>
      <c r="Z493" s="31">
        <v>2</v>
      </c>
      <c r="AA493" s="31">
        <v>0</v>
      </c>
      <c r="AB493" s="31">
        <v>8</v>
      </c>
    </row>
    <row r="494" spans="1:28" ht="27.2" customHeight="1" x14ac:dyDescent="0.2">
      <c r="A494" s="145"/>
      <c r="B494" s="138" t="s">
        <v>357</v>
      </c>
      <c r="C494" s="139"/>
      <c r="D494" s="139"/>
      <c r="E494" s="139"/>
      <c r="F494" s="139"/>
      <c r="G494" s="140"/>
      <c r="H494" s="23">
        <v>57</v>
      </c>
      <c r="I494" s="31">
        <v>0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</row>
    <row r="495" spans="1:28" ht="27.2" customHeight="1" x14ac:dyDescent="0.2">
      <c r="A495" s="145"/>
      <c r="B495" s="138" t="s">
        <v>358</v>
      </c>
      <c r="C495" s="139"/>
      <c r="D495" s="139"/>
      <c r="E495" s="139"/>
      <c r="F495" s="139"/>
      <c r="G495" s="140"/>
      <c r="H495" s="23">
        <v>58</v>
      </c>
      <c r="I495" s="31">
        <v>4</v>
      </c>
      <c r="J495" s="31">
        <v>1</v>
      </c>
      <c r="K495" s="31">
        <v>0</v>
      </c>
      <c r="L495" s="31">
        <v>0</v>
      </c>
      <c r="M495" s="31">
        <v>0</v>
      </c>
      <c r="N495" s="31">
        <v>0</v>
      </c>
      <c r="O495" s="31">
        <v>1</v>
      </c>
      <c r="P495" s="31">
        <v>1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3</v>
      </c>
    </row>
    <row r="496" spans="1:28" ht="27.2" customHeight="1" x14ac:dyDescent="0.2">
      <c r="A496" s="145"/>
      <c r="B496" s="138" t="s">
        <v>359</v>
      </c>
      <c r="C496" s="139"/>
      <c r="D496" s="139"/>
      <c r="E496" s="139"/>
      <c r="F496" s="139"/>
      <c r="G496" s="140"/>
      <c r="H496" s="23">
        <v>59</v>
      </c>
      <c r="I496" s="31">
        <v>877</v>
      </c>
      <c r="J496" s="31">
        <v>175</v>
      </c>
      <c r="K496" s="31">
        <v>2</v>
      </c>
      <c r="L496" s="31">
        <v>0</v>
      </c>
      <c r="M496" s="31">
        <v>2</v>
      </c>
      <c r="N496" s="31">
        <v>0</v>
      </c>
      <c r="O496" s="31">
        <v>159</v>
      </c>
      <c r="P496" s="31">
        <v>158</v>
      </c>
      <c r="Q496" s="31">
        <v>1</v>
      </c>
      <c r="R496" s="31">
        <v>0</v>
      </c>
      <c r="S496" s="31">
        <v>0</v>
      </c>
      <c r="T496" s="31">
        <v>0</v>
      </c>
      <c r="U496" s="31">
        <v>16</v>
      </c>
      <c r="V496" s="31">
        <v>1</v>
      </c>
      <c r="W496" s="31">
        <v>0</v>
      </c>
      <c r="X496" s="31">
        <v>0</v>
      </c>
      <c r="Y496" s="31">
        <v>107</v>
      </c>
      <c r="Z496" s="31">
        <v>107</v>
      </c>
      <c r="AA496" s="31">
        <v>0</v>
      </c>
      <c r="AB496" s="31">
        <v>716</v>
      </c>
    </row>
    <row r="497" spans="1:28" ht="27.2" customHeight="1" x14ac:dyDescent="0.2">
      <c r="A497" s="145"/>
      <c r="B497" s="216" t="s">
        <v>32</v>
      </c>
      <c r="C497" s="138" t="s">
        <v>360</v>
      </c>
      <c r="D497" s="139"/>
      <c r="E497" s="139"/>
      <c r="F497" s="139"/>
      <c r="G497" s="140"/>
      <c r="H497" s="23">
        <v>60</v>
      </c>
      <c r="I497" s="31">
        <v>270</v>
      </c>
      <c r="J497" s="31">
        <v>9</v>
      </c>
      <c r="K497" s="31">
        <v>0</v>
      </c>
      <c r="L497" s="31">
        <v>0</v>
      </c>
      <c r="M497" s="31">
        <v>0</v>
      </c>
      <c r="N497" s="31">
        <v>0</v>
      </c>
      <c r="O497" s="31">
        <v>7</v>
      </c>
      <c r="P497" s="31">
        <v>7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54</v>
      </c>
      <c r="Z497" s="31">
        <v>54</v>
      </c>
      <c r="AA497" s="31">
        <v>0</v>
      </c>
      <c r="AB497" s="31">
        <v>263</v>
      </c>
    </row>
    <row r="498" spans="1:28" ht="26.25" customHeight="1" x14ac:dyDescent="0.2">
      <c r="A498" s="145"/>
      <c r="B498" s="217"/>
      <c r="C498" s="138" t="s">
        <v>361</v>
      </c>
      <c r="D498" s="139"/>
      <c r="E498" s="139"/>
      <c r="F498" s="139"/>
      <c r="G498" s="140"/>
      <c r="H498" s="23">
        <v>61</v>
      </c>
      <c r="I498" s="54">
        <v>607</v>
      </c>
      <c r="J498" s="54">
        <v>166</v>
      </c>
      <c r="K498" s="54">
        <v>2</v>
      </c>
      <c r="L498" s="54">
        <v>0</v>
      </c>
      <c r="M498" s="31">
        <v>2</v>
      </c>
      <c r="N498" s="31">
        <v>0</v>
      </c>
      <c r="O498" s="31">
        <v>152</v>
      </c>
      <c r="P498" s="31">
        <v>151</v>
      </c>
      <c r="Q498" s="31">
        <v>1</v>
      </c>
      <c r="R498" s="31">
        <v>0</v>
      </c>
      <c r="S498" s="31">
        <v>0</v>
      </c>
      <c r="T498" s="31">
        <v>0</v>
      </c>
      <c r="U498" s="31">
        <v>16</v>
      </c>
      <c r="V498" s="31">
        <v>1</v>
      </c>
      <c r="W498" s="31">
        <v>0</v>
      </c>
      <c r="X498" s="31">
        <v>0</v>
      </c>
      <c r="Y498" s="31">
        <v>53</v>
      </c>
      <c r="Z498" s="31">
        <v>53</v>
      </c>
      <c r="AA498" s="31">
        <v>0</v>
      </c>
      <c r="AB498" s="31">
        <v>453</v>
      </c>
    </row>
    <row r="499" spans="1:28" ht="31.5" customHeight="1" x14ac:dyDescent="0.2">
      <c r="A499" s="145"/>
      <c r="B499" s="138" t="s">
        <v>362</v>
      </c>
      <c r="C499" s="139"/>
      <c r="D499" s="139"/>
      <c r="E499" s="139"/>
      <c r="F499" s="139"/>
      <c r="G499" s="140"/>
      <c r="H499" s="23">
        <v>62</v>
      </c>
      <c r="I499" s="31">
        <v>61</v>
      </c>
      <c r="J499" s="31">
        <v>10</v>
      </c>
      <c r="K499" s="31">
        <v>2</v>
      </c>
      <c r="L499" s="31">
        <v>0</v>
      </c>
      <c r="M499" s="31">
        <v>2</v>
      </c>
      <c r="N499" s="31">
        <v>0</v>
      </c>
      <c r="O499" s="31">
        <v>7</v>
      </c>
      <c r="P499" s="31">
        <v>7</v>
      </c>
      <c r="Q499" s="31">
        <v>0</v>
      </c>
      <c r="R499" s="31">
        <v>0</v>
      </c>
      <c r="S499" s="31">
        <v>0</v>
      </c>
      <c r="T499" s="31">
        <v>0</v>
      </c>
      <c r="U499" s="31">
        <v>2</v>
      </c>
      <c r="V499" s="31">
        <v>0</v>
      </c>
      <c r="W499" s="31">
        <v>0</v>
      </c>
      <c r="X499" s="31">
        <v>0</v>
      </c>
      <c r="Y499" s="31">
        <v>17</v>
      </c>
      <c r="Z499" s="31">
        <v>17</v>
      </c>
      <c r="AA499" s="31">
        <v>0</v>
      </c>
      <c r="AB499" s="31">
        <v>52</v>
      </c>
    </row>
    <row r="500" spans="1:28" ht="24" customHeight="1" x14ac:dyDescent="0.2">
      <c r="A500" s="146"/>
      <c r="B500" s="138" t="s">
        <v>179</v>
      </c>
      <c r="C500" s="139"/>
      <c r="D500" s="139"/>
      <c r="E500" s="139"/>
      <c r="F500" s="139"/>
      <c r="G500" s="140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8" t="s">
        <v>115</v>
      </c>
      <c r="B501" s="139"/>
      <c r="C501" s="139"/>
      <c r="D501" s="139"/>
      <c r="E501" s="139"/>
      <c r="F501" s="139"/>
      <c r="G501" s="140"/>
      <c r="H501" s="23">
        <v>64</v>
      </c>
      <c r="I501" s="31">
        <f t="shared" ref="I501:AB501" si="8">SUM(I463:I500,I437:I461)</f>
        <v>243627</v>
      </c>
      <c r="J501" s="31">
        <f t="shared" si="8"/>
        <v>108148</v>
      </c>
      <c r="K501" s="31">
        <f t="shared" si="8"/>
        <v>4294</v>
      </c>
      <c r="L501" s="31">
        <f t="shared" si="8"/>
        <v>16</v>
      </c>
      <c r="M501" s="31">
        <f t="shared" si="8"/>
        <v>4046</v>
      </c>
      <c r="N501" s="31">
        <f t="shared" si="8"/>
        <v>0</v>
      </c>
      <c r="O501" s="31">
        <f t="shared" si="8"/>
        <v>88498</v>
      </c>
      <c r="P501" s="31">
        <f t="shared" si="8"/>
        <v>87776</v>
      </c>
      <c r="Q501" s="31">
        <f t="shared" si="8"/>
        <v>68</v>
      </c>
      <c r="R501" s="31">
        <f t="shared" si="8"/>
        <v>600</v>
      </c>
      <c r="S501" s="31">
        <f t="shared" si="8"/>
        <v>54</v>
      </c>
      <c r="T501" s="31">
        <f t="shared" si="8"/>
        <v>51</v>
      </c>
      <c r="U501" s="31">
        <f t="shared" si="8"/>
        <v>26800</v>
      </c>
      <c r="V501" s="31">
        <f t="shared" si="8"/>
        <v>3664</v>
      </c>
      <c r="W501" s="31">
        <f t="shared" si="8"/>
        <v>1346</v>
      </c>
      <c r="X501" s="31">
        <f t="shared" si="8"/>
        <v>1509</v>
      </c>
      <c r="Y501" s="31">
        <f t="shared" si="8"/>
        <v>38583</v>
      </c>
      <c r="Z501" s="31">
        <f t="shared" si="8"/>
        <v>38462</v>
      </c>
      <c r="AA501" s="31">
        <f t="shared" si="8"/>
        <v>0</v>
      </c>
      <c r="AB501" s="31">
        <f t="shared" si="8"/>
        <v>150663</v>
      </c>
    </row>
    <row r="502" spans="1:28" ht="19.5" customHeight="1" x14ac:dyDescent="0.2"/>
    <row r="503" spans="1:28" ht="29.25" customHeight="1" x14ac:dyDescent="0.25">
      <c r="A503" s="177" t="s">
        <v>363</v>
      </c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</row>
    <row r="504" spans="1:28" ht="32.25" customHeight="1" x14ac:dyDescent="0.2">
      <c r="A504" s="178"/>
      <c r="B504" s="179"/>
      <c r="C504" s="179"/>
      <c r="D504" s="179"/>
      <c r="E504" s="179"/>
      <c r="F504" s="179"/>
      <c r="G504" s="180"/>
      <c r="H504" s="187" t="s">
        <v>15</v>
      </c>
      <c r="I504" s="168" t="s">
        <v>1148</v>
      </c>
      <c r="J504" s="168" t="s">
        <v>16</v>
      </c>
      <c r="K504" s="168" t="s">
        <v>17</v>
      </c>
      <c r="L504" s="171" t="s">
        <v>18</v>
      </c>
      <c r="M504" s="172"/>
      <c r="N504" s="173"/>
      <c r="O504" s="168" t="s">
        <v>19</v>
      </c>
      <c r="P504" s="171" t="s">
        <v>20</v>
      </c>
      <c r="Q504" s="172"/>
      <c r="R504" s="172"/>
      <c r="S504" s="173"/>
      <c r="T504" s="168" t="s">
        <v>21</v>
      </c>
      <c r="U504" s="171" t="s">
        <v>22</v>
      </c>
      <c r="V504" s="172"/>
      <c r="W504" s="172"/>
      <c r="X504" s="173"/>
      <c r="Y504" s="171" t="s">
        <v>23</v>
      </c>
      <c r="Z504" s="172"/>
      <c r="AA504" s="173"/>
      <c r="AB504" s="168" t="s">
        <v>24</v>
      </c>
    </row>
    <row r="505" spans="1:28" ht="27" customHeight="1" x14ac:dyDescent="0.2">
      <c r="A505" s="181"/>
      <c r="B505" s="182"/>
      <c r="C505" s="182"/>
      <c r="D505" s="182"/>
      <c r="E505" s="182"/>
      <c r="F505" s="182"/>
      <c r="G505" s="183"/>
      <c r="H505" s="188"/>
      <c r="I505" s="170"/>
      <c r="J505" s="170"/>
      <c r="K505" s="170"/>
      <c r="L505" s="168" t="s">
        <v>25</v>
      </c>
      <c r="M505" s="168" t="s">
        <v>26</v>
      </c>
      <c r="N505" s="168" t="s">
        <v>27</v>
      </c>
      <c r="O505" s="170"/>
      <c r="P505" s="168" t="s">
        <v>28</v>
      </c>
      <c r="Q505" s="168" t="s">
        <v>29</v>
      </c>
      <c r="R505" s="168" t="s">
        <v>30</v>
      </c>
      <c r="S505" s="168" t="s">
        <v>31</v>
      </c>
      <c r="T505" s="170"/>
      <c r="U505" s="171" t="s">
        <v>32</v>
      </c>
      <c r="V505" s="172"/>
      <c r="W505" s="172"/>
      <c r="X505" s="173"/>
      <c r="Y505" s="168" t="s">
        <v>33</v>
      </c>
      <c r="Z505" s="171" t="s">
        <v>34</v>
      </c>
      <c r="AA505" s="173"/>
      <c r="AB505" s="170"/>
    </row>
    <row r="506" spans="1:28" ht="81" customHeight="1" x14ac:dyDescent="0.2">
      <c r="A506" s="184"/>
      <c r="B506" s="185"/>
      <c r="C506" s="185"/>
      <c r="D506" s="185"/>
      <c r="E506" s="185"/>
      <c r="F506" s="185"/>
      <c r="G506" s="186"/>
      <c r="H506" s="18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9" t="s">
        <v>35</v>
      </c>
      <c r="V506" s="16" t="s">
        <v>36</v>
      </c>
      <c r="W506" s="16" t="s">
        <v>37</v>
      </c>
      <c r="X506" s="16" t="s">
        <v>38</v>
      </c>
      <c r="Y506" s="169"/>
      <c r="Z506" s="18" t="s">
        <v>39</v>
      </c>
      <c r="AA506" s="17" t="s">
        <v>40</v>
      </c>
      <c r="AB506" s="169"/>
    </row>
    <row r="507" spans="1:28" ht="12" customHeight="1" x14ac:dyDescent="0.2">
      <c r="A507" s="150" t="s">
        <v>41</v>
      </c>
      <c r="B507" s="151"/>
      <c r="C507" s="151"/>
      <c r="D507" s="151"/>
      <c r="E507" s="151"/>
      <c r="F507" s="151"/>
      <c r="G507" s="152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53" t="s">
        <v>43</v>
      </c>
      <c r="B508" s="154"/>
      <c r="C508" s="154"/>
      <c r="D508" s="154"/>
      <c r="E508" s="154"/>
      <c r="F508" s="154"/>
      <c r="G508" s="155"/>
      <c r="H508" s="23">
        <v>1</v>
      </c>
      <c r="I508" s="31">
        <v>3181</v>
      </c>
      <c r="J508" s="31">
        <v>1435</v>
      </c>
      <c r="K508" s="31">
        <v>22</v>
      </c>
      <c r="L508" s="31">
        <v>0</v>
      </c>
      <c r="M508" s="31">
        <v>16</v>
      </c>
      <c r="N508" s="31">
        <v>1</v>
      </c>
      <c r="O508" s="31">
        <v>1085</v>
      </c>
      <c r="P508" s="31">
        <v>1027</v>
      </c>
      <c r="Q508" s="31">
        <v>57</v>
      </c>
      <c r="R508" s="31">
        <v>1</v>
      </c>
      <c r="S508" s="31">
        <v>0</v>
      </c>
      <c r="T508" s="31">
        <v>0</v>
      </c>
      <c r="U508" s="31">
        <v>105</v>
      </c>
      <c r="V508" s="31">
        <v>193</v>
      </c>
      <c r="W508" s="31">
        <v>1</v>
      </c>
      <c r="X508" s="31">
        <v>0</v>
      </c>
      <c r="Y508" s="31">
        <v>106</v>
      </c>
      <c r="Z508" s="31">
        <v>105</v>
      </c>
      <c r="AA508" s="31">
        <v>0</v>
      </c>
      <c r="AB508" s="31">
        <v>2073</v>
      </c>
    </row>
    <row r="509" spans="1:28" ht="20.25" customHeight="1" x14ac:dyDescent="0.2">
      <c r="A509" s="156" t="s">
        <v>181</v>
      </c>
      <c r="B509" s="158"/>
      <c r="C509" s="165" t="s">
        <v>51</v>
      </c>
      <c r="D509" s="166"/>
      <c r="E509" s="166"/>
      <c r="F509" s="166"/>
      <c r="G509" s="167"/>
      <c r="H509" s="23">
        <v>2</v>
      </c>
      <c r="I509" s="31">
        <v>360</v>
      </c>
      <c r="J509" s="31">
        <v>183</v>
      </c>
      <c r="K509" s="31">
        <v>0</v>
      </c>
      <c r="L509" s="31">
        <v>0</v>
      </c>
      <c r="M509" s="31">
        <v>0</v>
      </c>
      <c r="N509" s="31">
        <v>0</v>
      </c>
      <c r="O509" s="31">
        <v>105</v>
      </c>
      <c r="P509" s="31">
        <v>105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101</v>
      </c>
      <c r="W509" s="31">
        <v>0</v>
      </c>
      <c r="X509" s="31">
        <v>0</v>
      </c>
      <c r="Y509" s="31">
        <v>10</v>
      </c>
      <c r="Z509" s="31">
        <v>10</v>
      </c>
      <c r="AA509" s="31">
        <v>0</v>
      </c>
      <c r="AB509" s="31">
        <v>255</v>
      </c>
    </row>
    <row r="510" spans="1:28" ht="20.25" customHeight="1" x14ac:dyDescent="0.2">
      <c r="A510" s="159"/>
      <c r="B510" s="161"/>
      <c r="C510" s="165" t="s">
        <v>52</v>
      </c>
      <c r="D510" s="166"/>
      <c r="E510" s="166"/>
      <c r="F510" s="166"/>
      <c r="G510" s="167"/>
      <c r="H510" s="23">
        <v>3</v>
      </c>
      <c r="I510" s="31">
        <v>1508</v>
      </c>
      <c r="J510" s="31">
        <v>519</v>
      </c>
      <c r="K510" s="31">
        <v>10</v>
      </c>
      <c r="L510" s="31">
        <v>0</v>
      </c>
      <c r="M510" s="31">
        <v>8</v>
      </c>
      <c r="N510" s="31">
        <v>1</v>
      </c>
      <c r="O510" s="31">
        <v>374</v>
      </c>
      <c r="P510" s="31">
        <v>348</v>
      </c>
      <c r="Q510" s="31">
        <v>25</v>
      </c>
      <c r="R510" s="31">
        <v>1</v>
      </c>
      <c r="S510" s="31">
        <v>0</v>
      </c>
      <c r="T510" s="31">
        <v>0</v>
      </c>
      <c r="U510" s="31">
        <v>62</v>
      </c>
      <c r="V510" s="31">
        <v>43</v>
      </c>
      <c r="W510" s="31">
        <v>1</v>
      </c>
      <c r="X510" s="31">
        <v>0</v>
      </c>
      <c r="Y510" s="31">
        <v>42</v>
      </c>
      <c r="Z510" s="31">
        <v>41</v>
      </c>
      <c r="AA510" s="31">
        <v>0</v>
      </c>
      <c r="AB510" s="31">
        <v>1123</v>
      </c>
    </row>
    <row r="511" spans="1:28" ht="20.25" customHeight="1" x14ac:dyDescent="0.2">
      <c r="A511" s="159"/>
      <c r="B511" s="161"/>
      <c r="C511" s="165" t="s">
        <v>182</v>
      </c>
      <c r="D511" s="166"/>
      <c r="E511" s="166"/>
      <c r="F511" s="166"/>
      <c r="G511" s="167"/>
      <c r="H511" s="23">
        <v>4</v>
      </c>
      <c r="I511" s="31">
        <v>1268</v>
      </c>
      <c r="J511" s="31">
        <v>709</v>
      </c>
      <c r="K511" s="31">
        <v>4</v>
      </c>
      <c r="L511" s="31">
        <v>0</v>
      </c>
      <c r="M511" s="31">
        <v>0</v>
      </c>
      <c r="N511" s="31">
        <v>0</v>
      </c>
      <c r="O511" s="31">
        <v>591</v>
      </c>
      <c r="P511" s="31">
        <v>559</v>
      </c>
      <c r="Q511" s="31">
        <v>32</v>
      </c>
      <c r="R511" s="31">
        <v>0</v>
      </c>
      <c r="S511" s="31">
        <v>0</v>
      </c>
      <c r="T511" s="31">
        <v>0</v>
      </c>
      <c r="U511" s="31">
        <v>39</v>
      </c>
      <c r="V511" s="31">
        <v>49</v>
      </c>
      <c r="W511" s="31">
        <v>0</v>
      </c>
      <c r="X511" s="31">
        <v>0</v>
      </c>
      <c r="Y511" s="31">
        <v>43</v>
      </c>
      <c r="Z511" s="31">
        <v>43</v>
      </c>
      <c r="AA511" s="31">
        <v>0</v>
      </c>
      <c r="AB511" s="31">
        <v>673</v>
      </c>
    </row>
    <row r="512" spans="1:28" ht="20.25" customHeight="1" x14ac:dyDescent="0.2">
      <c r="A512" s="162"/>
      <c r="B512" s="164"/>
      <c r="C512" s="165" t="s">
        <v>49</v>
      </c>
      <c r="D512" s="166"/>
      <c r="E512" s="166"/>
      <c r="F512" s="166"/>
      <c r="G512" s="167"/>
      <c r="H512" s="23">
        <v>5</v>
      </c>
      <c r="I512" s="31">
        <v>25</v>
      </c>
      <c r="J512" s="31">
        <v>11</v>
      </c>
      <c r="K512" s="31">
        <v>0</v>
      </c>
      <c r="L512" s="31">
        <v>0</v>
      </c>
      <c r="M512" s="31">
        <v>0</v>
      </c>
      <c r="N512" s="31">
        <v>0</v>
      </c>
      <c r="O512" s="31">
        <v>11</v>
      </c>
      <c r="P512" s="31">
        <v>11</v>
      </c>
      <c r="Q512" s="31">
        <v>0</v>
      </c>
      <c r="R512" s="31">
        <v>0</v>
      </c>
      <c r="S512" s="31">
        <v>0</v>
      </c>
      <c r="T512" s="31">
        <v>0</v>
      </c>
      <c r="U512" s="31">
        <v>4</v>
      </c>
      <c r="V512" s="31">
        <v>0</v>
      </c>
      <c r="W512" s="31">
        <v>0</v>
      </c>
      <c r="X512" s="31">
        <v>0</v>
      </c>
      <c r="Y512" s="31">
        <v>11</v>
      </c>
      <c r="Z512" s="31">
        <v>11</v>
      </c>
      <c r="AA512" s="31">
        <v>0</v>
      </c>
      <c r="AB512" s="31">
        <v>14</v>
      </c>
    </row>
    <row r="513" spans="1:28" ht="80.25" customHeight="1" x14ac:dyDescent="0.2">
      <c r="A513" s="59" t="s">
        <v>364</v>
      </c>
      <c r="B513" s="174" t="s">
        <v>365</v>
      </c>
      <c r="C513" s="175"/>
      <c r="D513" s="175"/>
      <c r="E513" s="175"/>
      <c r="F513" s="175"/>
      <c r="G513" s="176"/>
      <c r="H513" s="23">
        <v>6</v>
      </c>
      <c r="I513" s="31">
        <v>208</v>
      </c>
      <c r="J513" s="31">
        <v>127</v>
      </c>
      <c r="K513" s="31">
        <v>0</v>
      </c>
      <c r="L513" s="31">
        <v>0</v>
      </c>
      <c r="M513" s="31">
        <v>0</v>
      </c>
      <c r="N513" s="31">
        <v>0</v>
      </c>
      <c r="O513" s="31">
        <v>100</v>
      </c>
      <c r="P513" s="31">
        <v>100</v>
      </c>
      <c r="Q513" s="31">
        <v>0</v>
      </c>
      <c r="R513" s="31">
        <v>0</v>
      </c>
      <c r="S513" s="31">
        <v>0</v>
      </c>
      <c r="T513" s="31">
        <v>0</v>
      </c>
      <c r="U513" s="31">
        <v>1</v>
      </c>
      <c r="V513" s="31">
        <v>90</v>
      </c>
      <c r="W513" s="31">
        <v>0</v>
      </c>
      <c r="X513" s="31">
        <v>0</v>
      </c>
      <c r="Y513" s="31">
        <v>4</v>
      </c>
      <c r="Z513" s="31">
        <v>4</v>
      </c>
      <c r="AA513" s="31">
        <v>0</v>
      </c>
      <c r="AB513" s="31">
        <v>108</v>
      </c>
    </row>
    <row r="514" spans="1:28" ht="12.75" customHeight="1" x14ac:dyDescent="0.2">
      <c r="A514" s="230" t="s">
        <v>41</v>
      </c>
      <c r="B514" s="231"/>
      <c r="C514" s="231"/>
      <c r="D514" s="231"/>
      <c r="E514" s="231"/>
      <c r="F514" s="231"/>
      <c r="G514" s="232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10" t="s">
        <v>165</v>
      </c>
      <c r="B515" s="174" t="s">
        <v>366</v>
      </c>
      <c r="C515" s="175"/>
      <c r="D515" s="175"/>
      <c r="E515" s="175"/>
      <c r="F515" s="175"/>
      <c r="G515" s="176"/>
      <c r="H515" s="23">
        <v>7</v>
      </c>
      <c r="I515" s="31">
        <v>409</v>
      </c>
      <c r="J515" s="31">
        <v>388</v>
      </c>
      <c r="K515" s="31">
        <v>12</v>
      </c>
      <c r="L515" s="31">
        <v>0</v>
      </c>
      <c r="M515" s="31">
        <v>8</v>
      </c>
      <c r="N515" s="31">
        <v>0</v>
      </c>
      <c r="O515" s="31">
        <v>342</v>
      </c>
      <c r="P515" s="31">
        <v>340</v>
      </c>
      <c r="Q515" s="31">
        <v>2</v>
      </c>
      <c r="R515" s="31">
        <v>0</v>
      </c>
      <c r="S515" s="31">
        <v>0</v>
      </c>
      <c r="T515" s="31">
        <v>0</v>
      </c>
      <c r="U515" s="31">
        <v>26</v>
      </c>
      <c r="V515" s="31">
        <v>3</v>
      </c>
      <c r="W515" s="31">
        <v>0</v>
      </c>
      <c r="X515" s="31">
        <v>0</v>
      </c>
      <c r="Y515" s="31">
        <v>1</v>
      </c>
      <c r="Z515" s="31">
        <v>1</v>
      </c>
      <c r="AA515" s="31">
        <v>0</v>
      </c>
      <c r="AB515" s="31">
        <v>55</v>
      </c>
    </row>
    <row r="516" spans="1:28" ht="21" customHeight="1" x14ac:dyDescent="0.2">
      <c r="A516" s="211"/>
      <c r="B516" s="174" t="s">
        <v>367</v>
      </c>
      <c r="C516" s="175"/>
      <c r="D516" s="175"/>
      <c r="E516" s="175"/>
      <c r="F516" s="175"/>
      <c r="G516" s="176"/>
      <c r="H516" s="23">
        <v>8</v>
      </c>
      <c r="I516" s="31">
        <v>58</v>
      </c>
      <c r="J516" s="31">
        <v>9</v>
      </c>
      <c r="K516" s="31">
        <v>0</v>
      </c>
      <c r="L516" s="31">
        <v>0</v>
      </c>
      <c r="M516" s="31">
        <v>0</v>
      </c>
      <c r="N516" s="31">
        <v>0</v>
      </c>
      <c r="O516" s="31">
        <v>8</v>
      </c>
      <c r="P516" s="31">
        <v>8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50</v>
      </c>
    </row>
    <row r="517" spans="1:28" ht="83.25" customHeight="1" x14ac:dyDescent="0.2">
      <c r="A517" s="211"/>
      <c r="B517" s="138" t="s">
        <v>368</v>
      </c>
      <c r="C517" s="139"/>
      <c r="D517" s="139"/>
      <c r="E517" s="139"/>
      <c r="F517" s="139"/>
      <c r="G517" s="140"/>
      <c r="H517" s="23">
        <v>9</v>
      </c>
      <c r="I517" s="54">
        <v>24</v>
      </c>
      <c r="J517" s="54">
        <v>7</v>
      </c>
      <c r="K517" s="54">
        <v>0</v>
      </c>
      <c r="L517" s="54">
        <v>0</v>
      </c>
      <c r="M517" s="31">
        <v>0</v>
      </c>
      <c r="N517" s="31">
        <v>0</v>
      </c>
      <c r="O517" s="31">
        <v>6</v>
      </c>
      <c r="P517" s="31">
        <v>6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1</v>
      </c>
      <c r="Z517" s="31">
        <v>1</v>
      </c>
      <c r="AA517" s="31">
        <v>0</v>
      </c>
      <c r="AB517" s="31">
        <v>18</v>
      </c>
    </row>
    <row r="518" spans="1:28" ht="41.1" customHeight="1" x14ac:dyDescent="0.2">
      <c r="A518" s="211"/>
      <c r="B518" s="138" t="s">
        <v>369</v>
      </c>
      <c r="C518" s="139"/>
      <c r="D518" s="139"/>
      <c r="E518" s="139"/>
      <c r="F518" s="139"/>
      <c r="G518" s="140"/>
      <c r="H518" s="23">
        <v>10</v>
      </c>
      <c r="I518" s="54">
        <v>56</v>
      </c>
      <c r="J518" s="54">
        <v>7</v>
      </c>
      <c r="K518" s="54">
        <v>0</v>
      </c>
      <c r="L518" s="54">
        <v>0</v>
      </c>
      <c r="M518" s="31">
        <v>0</v>
      </c>
      <c r="N518" s="31">
        <v>0</v>
      </c>
      <c r="O518" s="31">
        <v>4</v>
      </c>
      <c r="P518" s="31">
        <v>4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0</v>
      </c>
      <c r="W518" s="31">
        <v>0</v>
      </c>
      <c r="X518" s="31">
        <v>0</v>
      </c>
      <c r="Y518" s="31">
        <v>5</v>
      </c>
      <c r="Z518" s="31">
        <v>5</v>
      </c>
      <c r="AA518" s="31">
        <v>0</v>
      </c>
      <c r="AB518" s="31">
        <v>52</v>
      </c>
    </row>
    <row r="519" spans="1:28" ht="27" customHeight="1" x14ac:dyDescent="0.2">
      <c r="A519" s="211"/>
      <c r="B519" s="216" t="s">
        <v>32</v>
      </c>
      <c r="C519" s="138" t="s">
        <v>370</v>
      </c>
      <c r="D519" s="139"/>
      <c r="E519" s="139"/>
      <c r="F519" s="139"/>
      <c r="G519" s="140"/>
      <c r="H519" s="23">
        <v>11</v>
      </c>
      <c r="I519" s="31">
        <v>0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</row>
    <row r="520" spans="1:28" ht="29.1" customHeight="1" x14ac:dyDescent="0.2">
      <c r="A520" s="211"/>
      <c r="B520" s="217"/>
      <c r="C520" s="138" t="s">
        <v>371</v>
      </c>
      <c r="D520" s="139"/>
      <c r="E520" s="139"/>
      <c r="F520" s="139"/>
      <c r="G520" s="140"/>
      <c r="H520" s="23">
        <v>12</v>
      </c>
      <c r="I520" s="31">
        <v>56</v>
      </c>
      <c r="J520" s="31">
        <v>7</v>
      </c>
      <c r="K520" s="31">
        <v>0</v>
      </c>
      <c r="L520" s="31">
        <v>0</v>
      </c>
      <c r="M520" s="31">
        <v>0</v>
      </c>
      <c r="N520" s="31">
        <v>0</v>
      </c>
      <c r="O520" s="31">
        <v>4</v>
      </c>
      <c r="P520" s="31">
        <v>4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5</v>
      </c>
      <c r="Z520" s="31">
        <v>5</v>
      </c>
      <c r="AA520" s="31">
        <v>0</v>
      </c>
      <c r="AB520" s="31">
        <v>52</v>
      </c>
    </row>
    <row r="521" spans="1:28" ht="48" customHeight="1" x14ac:dyDescent="0.2">
      <c r="A521" s="211"/>
      <c r="B521" s="174" t="s">
        <v>372</v>
      </c>
      <c r="C521" s="175"/>
      <c r="D521" s="175"/>
      <c r="E521" s="175"/>
      <c r="F521" s="175"/>
      <c r="G521" s="176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11"/>
      <c r="B522" s="174" t="s">
        <v>373</v>
      </c>
      <c r="C522" s="175"/>
      <c r="D522" s="175"/>
      <c r="E522" s="175"/>
      <c r="F522" s="175"/>
      <c r="G522" s="176"/>
      <c r="H522" s="23">
        <v>14</v>
      </c>
      <c r="I522" s="31">
        <v>43</v>
      </c>
      <c r="J522" s="31">
        <v>5</v>
      </c>
      <c r="K522" s="31">
        <v>0</v>
      </c>
      <c r="L522" s="31">
        <v>0</v>
      </c>
      <c r="M522" s="31">
        <v>0</v>
      </c>
      <c r="N522" s="31">
        <v>0</v>
      </c>
      <c r="O522" s="31">
        <v>2</v>
      </c>
      <c r="P522" s="31">
        <v>2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2</v>
      </c>
      <c r="W522" s="31">
        <v>0</v>
      </c>
      <c r="X522" s="31">
        <v>0</v>
      </c>
      <c r="Y522" s="31">
        <v>7</v>
      </c>
      <c r="Z522" s="31">
        <v>7</v>
      </c>
      <c r="AA522" s="31">
        <v>0</v>
      </c>
      <c r="AB522" s="31">
        <v>41</v>
      </c>
    </row>
    <row r="523" spans="1:28" ht="43.5" customHeight="1" x14ac:dyDescent="0.2">
      <c r="A523" s="211"/>
      <c r="B523" s="174" t="s">
        <v>374</v>
      </c>
      <c r="C523" s="175"/>
      <c r="D523" s="175"/>
      <c r="E523" s="175"/>
      <c r="F523" s="175"/>
      <c r="G523" s="176"/>
      <c r="H523" s="23">
        <v>15</v>
      </c>
      <c r="I523" s="31">
        <v>554</v>
      </c>
      <c r="J523" s="31">
        <v>219</v>
      </c>
      <c r="K523" s="31">
        <v>0</v>
      </c>
      <c r="L523" s="31">
        <v>0</v>
      </c>
      <c r="M523" s="31">
        <v>0</v>
      </c>
      <c r="N523" s="31">
        <v>0</v>
      </c>
      <c r="O523" s="31">
        <v>159</v>
      </c>
      <c r="P523" s="31">
        <v>159</v>
      </c>
      <c r="Q523" s="31">
        <v>0</v>
      </c>
      <c r="R523" s="31">
        <v>0</v>
      </c>
      <c r="S523" s="31">
        <v>0</v>
      </c>
      <c r="T523" s="31">
        <v>0</v>
      </c>
      <c r="U523" s="31">
        <v>9</v>
      </c>
      <c r="V523" s="31">
        <v>35</v>
      </c>
      <c r="W523" s="31">
        <v>0</v>
      </c>
      <c r="X523" s="31">
        <v>0</v>
      </c>
      <c r="Y523" s="31">
        <v>18</v>
      </c>
      <c r="Z523" s="31">
        <v>18</v>
      </c>
      <c r="AA523" s="31">
        <v>0</v>
      </c>
      <c r="AB523" s="31">
        <v>395</v>
      </c>
    </row>
    <row r="524" spans="1:28" ht="45" customHeight="1" x14ac:dyDescent="0.2">
      <c r="A524" s="211"/>
      <c r="B524" s="174" t="s">
        <v>375</v>
      </c>
      <c r="C524" s="175"/>
      <c r="D524" s="175"/>
      <c r="E524" s="175"/>
      <c r="F524" s="175"/>
      <c r="G524" s="176"/>
      <c r="H524" s="23">
        <v>16</v>
      </c>
      <c r="I524" s="31">
        <v>116</v>
      </c>
      <c r="J524" s="31">
        <v>42</v>
      </c>
      <c r="K524" s="31">
        <v>0</v>
      </c>
      <c r="L524" s="31">
        <v>0</v>
      </c>
      <c r="M524" s="31">
        <v>0</v>
      </c>
      <c r="N524" s="31">
        <v>0</v>
      </c>
      <c r="O524" s="31">
        <v>34</v>
      </c>
      <c r="P524" s="31">
        <v>33</v>
      </c>
      <c r="Q524" s="31">
        <v>1</v>
      </c>
      <c r="R524" s="31">
        <v>0</v>
      </c>
      <c r="S524" s="31">
        <v>0</v>
      </c>
      <c r="T524" s="31">
        <v>0</v>
      </c>
      <c r="U524" s="31">
        <v>1</v>
      </c>
      <c r="V524" s="31">
        <v>3</v>
      </c>
      <c r="W524" s="31">
        <v>0</v>
      </c>
      <c r="X524" s="31">
        <v>0</v>
      </c>
      <c r="Y524" s="31">
        <v>3</v>
      </c>
      <c r="Z524" s="31">
        <v>3</v>
      </c>
      <c r="AA524" s="31">
        <v>0</v>
      </c>
      <c r="AB524" s="31">
        <v>82</v>
      </c>
    </row>
    <row r="525" spans="1:28" ht="27.2" customHeight="1" x14ac:dyDescent="0.2">
      <c r="A525" s="211"/>
      <c r="B525" s="174" t="s">
        <v>376</v>
      </c>
      <c r="C525" s="175"/>
      <c r="D525" s="175"/>
      <c r="E525" s="175"/>
      <c r="F525" s="175"/>
      <c r="G525" s="176"/>
      <c r="H525" s="23">
        <v>17</v>
      </c>
      <c r="I525" s="31">
        <v>27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2</v>
      </c>
      <c r="Z525" s="31">
        <v>2</v>
      </c>
      <c r="AA525" s="31">
        <v>0</v>
      </c>
      <c r="AB525" s="31">
        <v>27</v>
      </c>
    </row>
    <row r="526" spans="1:28" ht="24" customHeight="1" x14ac:dyDescent="0.2">
      <c r="A526" s="211"/>
      <c r="B526" s="190" t="s">
        <v>32</v>
      </c>
      <c r="C526" s="138" t="s">
        <v>377</v>
      </c>
      <c r="D526" s="139"/>
      <c r="E526" s="139"/>
      <c r="F526" s="139"/>
      <c r="G526" s="140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11"/>
      <c r="B527" s="191"/>
      <c r="C527" s="139" t="s">
        <v>378</v>
      </c>
      <c r="D527" s="139"/>
      <c r="E527" s="139"/>
      <c r="F527" s="139"/>
      <c r="G527" s="140"/>
      <c r="H527" s="23">
        <v>19</v>
      </c>
      <c r="I527" s="31">
        <v>27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2</v>
      </c>
      <c r="Z527" s="31">
        <v>2</v>
      </c>
      <c r="AA527" s="31">
        <v>0</v>
      </c>
      <c r="AB527" s="31">
        <v>27</v>
      </c>
    </row>
    <row r="528" spans="1:28" ht="27.2" customHeight="1" x14ac:dyDescent="0.2">
      <c r="A528" s="211"/>
      <c r="B528" s="174" t="s">
        <v>379</v>
      </c>
      <c r="C528" s="175"/>
      <c r="D528" s="175"/>
      <c r="E528" s="175"/>
      <c r="F528" s="175"/>
      <c r="G528" s="176"/>
      <c r="H528" s="23">
        <v>20</v>
      </c>
      <c r="I528" s="31">
        <v>7</v>
      </c>
      <c r="J528" s="31">
        <v>1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7</v>
      </c>
    </row>
    <row r="529" spans="1:28" ht="27" customHeight="1" x14ac:dyDescent="0.2">
      <c r="A529" s="211"/>
      <c r="B529" s="174" t="s">
        <v>380</v>
      </c>
      <c r="C529" s="175"/>
      <c r="D529" s="175"/>
      <c r="E529" s="175"/>
      <c r="F529" s="175"/>
      <c r="G529" s="176"/>
      <c r="H529" s="23">
        <v>21</v>
      </c>
      <c r="I529" s="31">
        <v>828</v>
      </c>
      <c r="J529" s="31">
        <v>496</v>
      </c>
      <c r="K529" s="31">
        <v>10</v>
      </c>
      <c r="L529" s="31">
        <v>0</v>
      </c>
      <c r="M529" s="31">
        <v>8</v>
      </c>
      <c r="N529" s="31">
        <v>1</v>
      </c>
      <c r="O529" s="31">
        <v>313</v>
      </c>
      <c r="P529" s="31">
        <v>312</v>
      </c>
      <c r="Q529" s="31">
        <v>0</v>
      </c>
      <c r="R529" s="31">
        <v>1</v>
      </c>
      <c r="S529" s="31">
        <v>0</v>
      </c>
      <c r="T529" s="31">
        <v>0</v>
      </c>
      <c r="U529" s="31">
        <v>59</v>
      </c>
      <c r="V529" s="31">
        <v>42</v>
      </c>
      <c r="W529" s="31">
        <v>1</v>
      </c>
      <c r="X529" s="31">
        <v>0</v>
      </c>
      <c r="Y529" s="31">
        <v>14</v>
      </c>
      <c r="Z529" s="31">
        <v>13</v>
      </c>
      <c r="AA529" s="31">
        <v>0</v>
      </c>
      <c r="AB529" s="31">
        <v>504</v>
      </c>
    </row>
    <row r="530" spans="1:28" ht="63" customHeight="1" x14ac:dyDescent="0.2">
      <c r="A530" s="211"/>
      <c r="B530" s="138" t="s">
        <v>381</v>
      </c>
      <c r="C530" s="139"/>
      <c r="D530" s="139"/>
      <c r="E530" s="139"/>
      <c r="F530" s="139"/>
      <c r="G530" s="140"/>
      <c r="H530" s="23">
        <v>22</v>
      </c>
      <c r="I530" s="31">
        <v>0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</row>
    <row r="531" spans="1:28" ht="57.75" customHeight="1" x14ac:dyDescent="0.2">
      <c r="A531" s="211"/>
      <c r="B531" s="174" t="s">
        <v>382</v>
      </c>
      <c r="C531" s="175"/>
      <c r="D531" s="175"/>
      <c r="E531" s="175"/>
      <c r="F531" s="175"/>
      <c r="G531" s="176"/>
      <c r="H531" s="23">
        <v>23</v>
      </c>
      <c r="I531" s="31">
        <v>8</v>
      </c>
      <c r="J531" s="31">
        <v>3</v>
      </c>
      <c r="K531" s="31">
        <v>0</v>
      </c>
      <c r="L531" s="31">
        <v>0</v>
      </c>
      <c r="M531" s="31">
        <v>0</v>
      </c>
      <c r="N531" s="31">
        <v>0</v>
      </c>
      <c r="O531" s="31">
        <v>2</v>
      </c>
      <c r="P531" s="31">
        <v>2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6</v>
      </c>
    </row>
    <row r="532" spans="1:28" ht="50.25" customHeight="1" x14ac:dyDescent="0.2">
      <c r="A532" s="211"/>
      <c r="B532" s="174" t="s">
        <v>383</v>
      </c>
      <c r="C532" s="175"/>
      <c r="D532" s="175"/>
      <c r="E532" s="175"/>
      <c r="F532" s="175"/>
      <c r="G532" s="176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11"/>
      <c r="B533" s="174" t="s">
        <v>384</v>
      </c>
      <c r="C533" s="175"/>
      <c r="D533" s="175"/>
      <c r="E533" s="175"/>
      <c r="F533" s="175"/>
      <c r="G533" s="176"/>
      <c r="H533" s="23">
        <v>25</v>
      </c>
      <c r="I533" s="31">
        <v>585</v>
      </c>
      <c r="J533" s="31">
        <v>62</v>
      </c>
      <c r="K533" s="31">
        <v>0</v>
      </c>
      <c r="L533" s="31">
        <v>0</v>
      </c>
      <c r="M533" s="31">
        <v>0</v>
      </c>
      <c r="N533" s="31">
        <v>0</v>
      </c>
      <c r="O533" s="31">
        <v>57</v>
      </c>
      <c r="P533" s="31">
        <v>7</v>
      </c>
      <c r="Q533" s="31">
        <v>50</v>
      </c>
      <c r="R533" s="31">
        <v>0</v>
      </c>
      <c r="S533" s="31">
        <v>0</v>
      </c>
      <c r="T533" s="31">
        <v>0</v>
      </c>
      <c r="U533" s="31">
        <v>1</v>
      </c>
      <c r="V533" s="31">
        <v>2</v>
      </c>
      <c r="W533" s="31">
        <v>0</v>
      </c>
      <c r="X533" s="31">
        <v>0</v>
      </c>
      <c r="Y533" s="31">
        <v>38</v>
      </c>
      <c r="Z533" s="31">
        <v>38</v>
      </c>
      <c r="AA533" s="31">
        <v>0</v>
      </c>
      <c r="AB533" s="31">
        <v>528</v>
      </c>
    </row>
    <row r="534" spans="1:28" ht="53.25" customHeight="1" x14ac:dyDescent="0.2">
      <c r="A534" s="211"/>
      <c r="B534" s="174" t="s">
        <v>385</v>
      </c>
      <c r="C534" s="175"/>
      <c r="D534" s="175"/>
      <c r="E534" s="175"/>
      <c r="F534" s="175"/>
      <c r="G534" s="176"/>
      <c r="H534" s="23">
        <v>26</v>
      </c>
      <c r="I534" s="31">
        <v>31</v>
      </c>
      <c r="J534" s="31">
        <v>4</v>
      </c>
      <c r="K534" s="31">
        <v>0</v>
      </c>
      <c r="L534" s="31">
        <v>0</v>
      </c>
      <c r="M534" s="31">
        <v>0</v>
      </c>
      <c r="N534" s="31">
        <v>0</v>
      </c>
      <c r="O534" s="31">
        <v>4</v>
      </c>
      <c r="P534" s="31">
        <v>0</v>
      </c>
      <c r="Q534" s="31">
        <v>4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27</v>
      </c>
    </row>
    <row r="535" spans="1:28" ht="34.5" customHeight="1" x14ac:dyDescent="0.2">
      <c r="A535" s="211"/>
      <c r="B535" s="174" t="s">
        <v>386</v>
      </c>
      <c r="C535" s="175"/>
      <c r="D535" s="175"/>
      <c r="E535" s="175"/>
      <c r="F535" s="175"/>
      <c r="G535" s="176"/>
      <c r="H535" s="23">
        <v>27</v>
      </c>
      <c r="I535" s="31">
        <v>24</v>
      </c>
      <c r="J535" s="31">
        <v>11</v>
      </c>
      <c r="K535" s="31">
        <v>0</v>
      </c>
      <c r="L535" s="31">
        <v>0</v>
      </c>
      <c r="M535" s="31">
        <v>0</v>
      </c>
      <c r="N535" s="31">
        <v>0</v>
      </c>
      <c r="O535" s="31">
        <v>11</v>
      </c>
      <c r="P535" s="31">
        <v>11</v>
      </c>
      <c r="Q535" s="31">
        <v>0</v>
      </c>
      <c r="R535" s="31">
        <v>0</v>
      </c>
      <c r="S535" s="31">
        <v>0</v>
      </c>
      <c r="T535" s="31">
        <v>0</v>
      </c>
      <c r="U535" s="31">
        <v>4</v>
      </c>
      <c r="V535" s="31">
        <v>0</v>
      </c>
      <c r="W535" s="31">
        <v>0</v>
      </c>
      <c r="X535" s="31">
        <v>0</v>
      </c>
      <c r="Y535" s="31">
        <v>10</v>
      </c>
      <c r="Z535" s="31">
        <v>10</v>
      </c>
      <c r="AA535" s="31">
        <v>0</v>
      </c>
      <c r="AB535" s="31">
        <v>13</v>
      </c>
    </row>
    <row r="536" spans="1:28" ht="23.25" customHeight="1" x14ac:dyDescent="0.2">
      <c r="A536" s="211"/>
      <c r="B536" s="190" t="s">
        <v>32</v>
      </c>
      <c r="C536" s="138" t="s">
        <v>387</v>
      </c>
      <c r="D536" s="139"/>
      <c r="E536" s="139"/>
      <c r="F536" s="139"/>
      <c r="G536" s="140"/>
      <c r="H536" s="23">
        <v>28</v>
      </c>
      <c r="I536" s="31">
        <v>24</v>
      </c>
      <c r="J536" s="31">
        <v>11</v>
      </c>
      <c r="K536" s="31">
        <v>0</v>
      </c>
      <c r="L536" s="31">
        <v>0</v>
      </c>
      <c r="M536" s="31">
        <v>0</v>
      </c>
      <c r="N536" s="31">
        <v>0</v>
      </c>
      <c r="O536" s="31">
        <v>11</v>
      </c>
      <c r="P536" s="31">
        <v>11</v>
      </c>
      <c r="Q536" s="31">
        <v>0</v>
      </c>
      <c r="R536" s="31">
        <v>0</v>
      </c>
      <c r="S536" s="31">
        <v>0</v>
      </c>
      <c r="T536" s="31">
        <v>0</v>
      </c>
      <c r="U536" s="31">
        <v>4</v>
      </c>
      <c r="V536" s="31">
        <v>0</v>
      </c>
      <c r="W536" s="31">
        <v>0</v>
      </c>
      <c r="X536" s="31">
        <v>0</v>
      </c>
      <c r="Y536" s="31">
        <v>10</v>
      </c>
      <c r="Z536" s="31">
        <v>10</v>
      </c>
      <c r="AA536" s="31">
        <v>0</v>
      </c>
      <c r="AB536" s="31">
        <v>13</v>
      </c>
    </row>
    <row r="537" spans="1:28" ht="23.25" customHeight="1" x14ac:dyDescent="0.2">
      <c r="A537" s="211"/>
      <c r="B537" s="191"/>
      <c r="C537" s="139" t="s">
        <v>388</v>
      </c>
      <c r="D537" s="139"/>
      <c r="E537" s="139"/>
      <c r="F537" s="139"/>
      <c r="G537" s="140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11"/>
      <c r="B538" s="174" t="s">
        <v>389</v>
      </c>
      <c r="C538" s="175"/>
      <c r="D538" s="175"/>
      <c r="E538" s="175"/>
      <c r="F538" s="175"/>
      <c r="G538" s="176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11"/>
      <c r="B539" s="190" t="s">
        <v>32</v>
      </c>
      <c r="C539" s="138" t="s">
        <v>390</v>
      </c>
      <c r="D539" s="139"/>
      <c r="E539" s="139"/>
      <c r="F539" s="139"/>
      <c r="G539" s="140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11"/>
      <c r="B540" s="191"/>
      <c r="C540" s="139" t="s">
        <v>391</v>
      </c>
      <c r="D540" s="139"/>
      <c r="E540" s="139"/>
      <c r="F540" s="139"/>
      <c r="G540" s="140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11"/>
      <c r="B541" s="174" t="s">
        <v>392</v>
      </c>
      <c r="C541" s="175"/>
      <c r="D541" s="175"/>
      <c r="E541" s="175"/>
      <c r="F541" s="175"/>
      <c r="G541" s="176"/>
      <c r="H541" s="23">
        <v>33</v>
      </c>
      <c r="I541" s="54">
        <v>2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2</v>
      </c>
    </row>
    <row r="542" spans="1:28" ht="23.25" customHeight="1" x14ac:dyDescent="0.2">
      <c r="A542" s="211"/>
      <c r="B542" s="174" t="s">
        <v>393</v>
      </c>
      <c r="C542" s="175"/>
      <c r="D542" s="175"/>
      <c r="E542" s="175"/>
      <c r="F542" s="175"/>
      <c r="G542" s="176"/>
      <c r="H542" s="23">
        <v>34</v>
      </c>
      <c r="I542" s="54">
        <v>8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1</v>
      </c>
      <c r="Z542" s="31">
        <v>1</v>
      </c>
      <c r="AA542" s="31">
        <v>0</v>
      </c>
      <c r="AB542" s="31">
        <v>8</v>
      </c>
    </row>
    <row r="543" spans="1:28" ht="34.5" customHeight="1" x14ac:dyDescent="0.2">
      <c r="A543" s="211"/>
      <c r="B543" s="174" t="s">
        <v>394</v>
      </c>
      <c r="C543" s="175"/>
      <c r="D543" s="175"/>
      <c r="E543" s="175"/>
      <c r="F543" s="175"/>
      <c r="G543" s="176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11"/>
      <c r="B544" s="174" t="s">
        <v>395</v>
      </c>
      <c r="C544" s="175"/>
      <c r="D544" s="175"/>
      <c r="E544" s="175"/>
      <c r="F544" s="175"/>
      <c r="G544" s="176"/>
      <c r="H544" s="23">
        <v>36</v>
      </c>
      <c r="I544" s="54">
        <v>1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1.75" customHeight="1" x14ac:dyDescent="0.2">
      <c r="A545" s="211"/>
      <c r="B545" s="138" t="s">
        <v>396</v>
      </c>
      <c r="C545" s="139"/>
      <c r="D545" s="139"/>
      <c r="E545" s="139"/>
      <c r="F545" s="139"/>
      <c r="G545" s="140"/>
      <c r="H545" s="23">
        <v>37</v>
      </c>
      <c r="I545" s="54">
        <v>43</v>
      </c>
      <c r="J545" s="54">
        <v>23</v>
      </c>
      <c r="K545" s="54">
        <v>0</v>
      </c>
      <c r="L545" s="54">
        <v>0</v>
      </c>
      <c r="M545" s="31">
        <v>0</v>
      </c>
      <c r="N545" s="31">
        <v>0</v>
      </c>
      <c r="O545" s="31">
        <v>12</v>
      </c>
      <c r="P545" s="31">
        <v>12</v>
      </c>
      <c r="Q545" s="31">
        <v>0</v>
      </c>
      <c r="R545" s="31">
        <v>0</v>
      </c>
      <c r="S545" s="31">
        <v>0</v>
      </c>
      <c r="T545" s="31">
        <v>0</v>
      </c>
      <c r="U545" s="31">
        <v>2</v>
      </c>
      <c r="V545" s="31">
        <v>5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31</v>
      </c>
    </row>
    <row r="546" spans="1:28" ht="22.5" customHeight="1" x14ac:dyDescent="0.2">
      <c r="A546" s="211"/>
      <c r="B546" s="138" t="s">
        <v>397</v>
      </c>
      <c r="C546" s="139"/>
      <c r="D546" s="139"/>
      <c r="E546" s="139"/>
      <c r="F546" s="139"/>
      <c r="G546" s="140"/>
      <c r="H546" s="23">
        <v>38</v>
      </c>
      <c r="I546" s="54">
        <v>0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22.5" customHeight="1" x14ac:dyDescent="0.2">
      <c r="A547" s="211"/>
      <c r="B547" s="138" t="s">
        <v>398</v>
      </c>
      <c r="C547" s="139"/>
      <c r="D547" s="139"/>
      <c r="E547" s="139"/>
      <c r="F547" s="139"/>
      <c r="G547" s="140"/>
      <c r="H547" s="23">
        <v>39</v>
      </c>
      <c r="I547" s="54">
        <v>0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30" customHeight="1" x14ac:dyDescent="0.2">
      <c r="A548" s="211"/>
      <c r="B548" s="138" t="s">
        <v>399</v>
      </c>
      <c r="C548" s="139"/>
      <c r="D548" s="139"/>
      <c r="E548" s="139"/>
      <c r="F548" s="139"/>
      <c r="G548" s="140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11"/>
      <c r="B549" s="138" t="s">
        <v>400</v>
      </c>
      <c r="C549" s="139"/>
      <c r="D549" s="139"/>
      <c r="E549" s="139"/>
      <c r="F549" s="139"/>
      <c r="G549" s="140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33" customHeight="1" x14ac:dyDescent="0.2">
      <c r="A550" s="211"/>
      <c r="B550" s="138" t="s">
        <v>401</v>
      </c>
      <c r="C550" s="139"/>
      <c r="D550" s="139"/>
      <c r="E550" s="139"/>
      <c r="F550" s="139"/>
      <c r="G550" s="140"/>
      <c r="H550" s="23">
        <v>42</v>
      </c>
      <c r="I550" s="54">
        <v>3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3</v>
      </c>
    </row>
    <row r="551" spans="1:28" ht="41.25" customHeight="1" x14ac:dyDescent="0.2">
      <c r="A551" s="211"/>
      <c r="B551" s="138" t="s">
        <v>402</v>
      </c>
      <c r="C551" s="139"/>
      <c r="D551" s="139"/>
      <c r="E551" s="139"/>
      <c r="F551" s="139"/>
      <c r="G551" s="140"/>
      <c r="H551" s="23">
        <v>43</v>
      </c>
      <c r="I551" s="54">
        <v>66</v>
      </c>
      <c r="J551" s="54">
        <v>19</v>
      </c>
      <c r="K551" s="54">
        <v>0</v>
      </c>
      <c r="L551" s="54">
        <v>0</v>
      </c>
      <c r="M551" s="31">
        <v>0</v>
      </c>
      <c r="N551" s="31">
        <v>0</v>
      </c>
      <c r="O551" s="31">
        <v>19</v>
      </c>
      <c r="P551" s="31">
        <v>19</v>
      </c>
      <c r="Q551" s="31">
        <v>0</v>
      </c>
      <c r="R551" s="31">
        <v>0</v>
      </c>
      <c r="S551" s="31">
        <v>0</v>
      </c>
      <c r="T551" s="31">
        <v>0</v>
      </c>
      <c r="U551" s="31">
        <v>2</v>
      </c>
      <c r="V551" s="31">
        <v>10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47</v>
      </c>
    </row>
    <row r="552" spans="1:28" ht="42.75" customHeight="1" x14ac:dyDescent="0.2">
      <c r="A552" s="211"/>
      <c r="B552" s="138" t="s">
        <v>403</v>
      </c>
      <c r="C552" s="139"/>
      <c r="D552" s="139"/>
      <c r="E552" s="139"/>
      <c r="F552" s="139"/>
      <c r="G552" s="140"/>
      <c r="H552" s="23">
        <v>44</v>
      </c>
      <c r="I552" s="54">
        <v>1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1</v>
      </c>
    </row>
    <row r="553" spans="1:28" ht="44.1" customHeight="1" x14ac:dyDescent="0.2">
      <c r="A553" s="211"/>
      <c r="B553" s="138" t="s">
        <v>404</v>
      </c>
      <c r="C553" s="139"/>
      <c r="D553" s="139"/>
      <c r="E553" s="139"/>
      <c r="F553" s="139"/>
      <c r="G553" s="140"/>
      <c r="H553" s="23">
        <v>45</v>
      </c>
      <c r="I553" s="54">
        <v>1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1</v>
      </c>
      <c r="Z553" s="31">
        <v>1</v>
      </c>
      <c r="AA553" s="31">
        <v>0</v>
      </c>
      <c r="AB553" s="31">
        <v>1</v>
      </c>
    </row>
    <row r="554" spans="1:28" ht="27.2" customHeight="1" x14ac:dyDescent="0.2">
      <c r="A554" s="211"/>
      <c r="B554" s="138" t="s">
        <v>405</v>
      </c>
      <c r="C554" s="139"/>
      <c r="D554" s="139"/>
      <c r="E554" s="139"/>
      <c r="F554" s="139"/>
      <c r="G554" s="140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11"/>
      <c r="B555" s="138" t="s">
        <v>406</v>
      </c>
      <c r="C555" s="139"/>
      <c r="D555" s="139"/>
      <c r="E555" s="139"/>
      <c r="F555" s="139"/>
      <c r="G555" s="140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11"/>
      <c r="B556" s="138" t="s">
        <v>407</v>
      </c>
      <c r="C556" s="139"/>
      <c r="D556" s="139"/>
      <c r="E556" s="139"/>
      <c r="F556" s="139"/>
      <c r="G556" s="140"/>
      <c r="H556" s="23">
        <v>48</v>
      </c>
      <c r="I556" s="54">
        <v>4</v>
      </c>
      <c r="J556" s="54">
        <v>0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4</v>
      </c>
    </row>
    <row r="557" spans="1:28" ht="21.75" customHeight="1" x14ac:dyDescent="0.2">
      <c r="A557" s="212"/>
      <c r="B557" s="138" t="s">
        <v>179</v>
      </c>
      <c r="C557" s="139"/>
      <c r="D557" s="139"/>
      <c r="E557" s="139"/>
      <c r="F557" s="139"/>
      <c r="G557" s="140"/>
      <c r="H557" s="23">
        <v>49</v>
      </c>
      <c r="I557" s="54">
        <v>74</v>
      </c>
      <c r="J557" s="54">
        <v>12</v>
      </c>
      <c r="K557" s="54">
        <v>0</v>
      </c>
      <c r="L557" s="54">
        <v>0</v>
      </c>
      <c r="M557" s="31">
        <v>0</v>
      </c>
      <c r="N557" s="31">
        <v>0</v>
      </c>
      <c r="O557" s="31">
        <v>12</v>
      </c>
      <c r="P557" s="31">
        <v>12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1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62</v>
      </c>
    </row>
    <row r="558" spans="1:28" ht="21.75" customHeight="1" x14ac:dyDescent="0.2">
      <c r="A558" s="138" t="s">
        <v>115</v>
      </c>
      <c r="B558" s="139"/>
      <c r="C558" s="139"/>
      <c r="D558" s="139"/>
      <c r="E558" s="139"/>
      <c r="F558" s="139"/>
      <c r="G558" s="140"/>
      <c r="H558" s="23">
        <v>50</v>
      </c>
      <c r="I558" s="31">
        <f t="shared" ref="I558:AB558" si="9">SUM(I515:I557,I508:I513)</f>
        <v>9630</v>
      </c>
      <c r="J558" s="31">
        <f t="shared" si="9"/>
        <v>4310</v>
      </c>
      <c r="K558" s="31">
        <f t="shared" si="9"/>
        <v>58</v>
      </c>
      <c r="L558" s="31">
        <f t="shared" si="9"/>
        <v>0</v>
      </c>
      <c r="M558" s="31">
        <f t="shared" si="9"/>
        <v>40</v>
      </c>
      <c r="N558" s="31">
        <f t="shared" si="9"/>
        <v>3</v>
      </c>
      <c r="O558" s="31">
        <f t="shared" si="9"/>
        <v>3266</v>
      </c>
      <c r="P558" s="31">
        <f t="shared" si="9"/>
        <v>3092</v>
      </c>
      <c r="Q558" s="31">
        <f t="shared" si="9"/>
        <v>171</v>
      </c>
      <c r="R558" s="31">
        <f t="shared" si="9"/>
        <v>3</v>
      </c>
      <c r="S558" s="31">
        <f t="shared" si="9"/>
        <v>0</v>
      </c>
      <c r="T558" s="31">
        <f t="shared" si="9"/>
        <v>0</v>
      </c>
      <c r="U558" s="31">
        <f t="shared" si="9"/>
        <v>319</v>
      </c>
      <c r="V558" s="31">
        <f t="shared" si="9"/>
        <v>579</v>
      </c>
      <c r="W558" s="31">
        <f t="shared" si="9"/>
        <v>3</v>
      </c>
      <c r="X558" s="31">
        <f t="shared" si="9"/>
        <v>0</v>
      </c>
      <c r="Y558" s="31">
        <f t="shared" si="9"/>
        <v>335</v>
      </c>
      <c r="Z558" s="31">
        <f t="shared" si="9"/>
        <v>332</v>
      </c>
      <c r="AA558" s="31">
        <f t="shared" si="9"/>
        <v>0</v>
      </c>
      <c r="AB558" s="31">
        <f t="shared" si="9"/>
        <v>6303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78"/>
      <c r="B561" s="179"/>
      <c r="C561" s="179"/>
      <c r="D561" s="179"/>
      <c r="E561" s="179"/>
      <c r="F561" s="179"/>
      <c r="G561" s="180"/>
      <c r="H561" s="187" t="s">
        <v>15</v>
      </c>
      <c r="I561" s="168" t="s">
        <v>1148</v>
      </c>
      <c r="J561" s="168" t="s">
        <v>16</v>
      </c>
      <c r="K561" s="168" t="s">
        <v>17</v>
      </c>
      <c r="L561" s="171" t="s">
        <v>18</v>
      </c>
      <c r="M561" s="172"/>
      <c r="N561" s="173"/>
      <c r="O561" s="168" t="s">
        <v>19</v>
      </c>
      <c r="P561" s="171" t="s">
        <v>20</v>
      </c>
      <c r="Q561" s="172"/>
      <c r="R561" s="172"/>
      <c r="S561" s="173"/>
      <c r="T561" s="168" t="s">
        <v>21</v>
      </c>
      <c r="U561" s="171" t="s">
        <v>22</v>
      </c>
      <c r="V561" s="172"/>
      <c r="W561" s="172"/>
      <c r="X561" s="173"/>
      <c r="Y561" s="171" t="s">
        <v>23</v>
      </c>
      <c r="Z561" s="172"/>
      <c r="AA561" s="173"/>
      <c r="AB561" s="168" t="s">
        <v>24</v>
      </c>
    </row>
    <row r="562" spans="1:28" ht="27" customHeight="1" x14ac:dyDescent="0.2">
      <c r="A562" s="181"/>
      <c r="B562" s="182"/>
      <c r="C562" s="182"/>
      <c r="D562" s="182"/>
      <c r="E562" s="182"/>
      <c r="F562" s="182"/>
      <c r="G562" s="183"/>
      <c r="H562" s="188"/>
      <c r="I562" s="170"/>
      <c r="J562" s="170"/>
      <c r="K562" s="170"/>
      <c r="L562" s="168" t="s">
        <v>25</v>
      </c>
      <c r="M562" s="168" t="s">
        <v>26</v>
      </c>
      <c r="N562" s="168" t="s">
        <v>27</v>
      </c>
      <c r="O562" s="170"/>
      <c r="P562" s="168" t="s">
        <v>28</v>
      </c>
      <c r="Q562" s="168" t="s">
        <v>29</v>
      </c>
      <c r="R562" s="168" t="s">
        <v>30</v>
      </c>
      <c r="S562" s="168" t="s">
        <v>31</v>
      </c>
      <c r="T562" s="170"/>
      <c r="U562" s="171" t="s">
        <v>32</v>
      </c>
      <c r="V562" s="172"/>
      <c r="W562" s="172"/>
      <c r="X562" s="173"/>
      <c r="Y562" s="168" t="s">
        <v>33</v>
      </c>
      <c r="Z562" s="171" t="s">
        <v>34</v>
      </c>
      <c r="AA562" s="173"/>
      <c r="AB562" s="170"/>
    </row>
    <row r="563" spans="1:28" ht="78" customHeight="1" x14ac:dyDescent="0.2">
      <c r="A563" s="184"/>
      <c r="B563" s="185"/>
      <c r="C563" s="185"/>
      <c r="D563" s="185"/>
      <c r="E563" s="185"/>
      <c r="F563" s="185"/>
      <c r="G563" s="186"/>
      <c r="H563" s="18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9" t="s">
        <v>35</v>
      </c>
      <c r="V563" s="16" t="s">
        <v>36</v>
      </c>
      <c r="W563" s="16" t="s">
        <v>37</v>
      </c>
      <c r="X563" s="16" t="s">
        <v>38</v>
      </c>
      <c r="Y563" s="169"/>
      <c r="Z563" s="18" t="s">
        <v>39</v>
      </c>
      <c r="AA563" s="17" t="s">
        <v>40</v>
      </c>
      <c r="AB563" s="169"/>
    </row>
    <row r="564" spans="1:28" ht="14.25" customHeight="1" x14ac:dyDescent="0.2">
      <c r="A564" s="150" t="s">
        <v>41</v>
      </c>
      <c r="B564" s="151"/>
      <c r="C564" s="151"/>
      <c r="D564" s="151"/>
      <c r="E564" s="151"/>
      <c r="F564" s="151"/>
      <c r="G564" s="152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53" t="s">
        <v>43</v>
      </c>
      <c r="B565" s="154"/>
      <c r="C565" s="154"/>
      <c r="D565" s="154"/>
      <c r="E565" s="154"/>
      <c r="F565" s="154"/>
      <c r="G565" s="155"/>
      <c r="H565" s="23">
        <v>1</v>
      </c>
      <c r="I565" s="31">
        <v>2787</v>
      </c>
      <c r="J565" s="31">
        <v>975</v>
      </c>
      <c r="K565" s="31">
        <v>3</v>
      </c>
      <c r="L565" s="31">
        <v>0</v>
      </c>
      <c r="M565" s="31">
        <v>3</v>
      </c>
      <c r="N565" s="31">
        <v>0</v>
      </c>
      <c r="O565" s="31">
        <v>910</v>
      </c>
      <c r="P565" s="31">
        <v>909</v>
      </c>
      <c r="Q565" s="31">
        <v>0</v>
      </c>
      <c r="R565" s="31">
        <v>1</v>
      </c>
      <c r="S565" s="31">
        <v>0</v>
      </c>
      <c r="T565" s="31">
        <v>0</v>
      </c>
      <c r="U565" s="31">
        <v>74</v>
      </c>
      <c r="V565" s="31">
        <v>139</v>
      </c>
      <c r="W565" s="31">
        <v>1</v>
      </c>
      <c r="X565" s="31">
        <v>3</v>
      </c>
      <c r="Y565" s="31">
        <v>378</v>
      </c>
      <c r="Z565" s="31">
        <v>378</v>
      </c>
      <c r="AA565" s="31">
        <v>0</v>
      </c>
      <c r="AB565" s="31">
        <v>1874</v>
      </c>
    </row>
    <row r="566" spans="1:28" ht="21" customHeight="1" x14ac:dyDescent="0.2">
      <c r="A566" s="156" t="s">
        <v>181</v>
      </c>
      <c r="B566" s="158"/>
      <c r="C566" s="165" t="s">
        <v>51</v>
      </c>
      <c r="D566" s="166"/>
      <c r="E566" s="166"/>
      <c r="F566" s="166"/>
      <c r="G566" s="167"/>
      <c r="H566" s="23">
        <v>2</v>
      </c>
      <c r="I566" s="31">
        <v>3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3</v>
      </c>
    </row>
    <row r="567" spans="1:28" ht="21" customHeight="1" x14ac:dyDescent="0.2">
      <c r="A567" s="159"/>
      <c r="B567" s="161"/>
      <c r="C567" s="165" t="s">
        <v>52</v>
      </c>
      <c r="D567" s="166"/>
      <c r="E567" s="166"/>
      <c r="F567" s="166"/>
      <c r="G567" s="167"/>
      <c r="H567" s="23">
        <v>3</v>
      </c>
      <c r="I567" s="31">
        <v>454</v>
      </c>
      <c r="J567" s="31">
        <v>185</v>
      </c>
      <c r="K567" s="31">
        <v>1</v>
      </c>
      <c r="L567" s="31">
        <v>0</v>
      </c>
      <c r="M567" s="31">
        <v>1</v>
      </c>
      <c r="N567" s="31">
        <v>0</v>
      </c>
      <c r="O567" s="31">
        <v>162</v>
      </c>
      <c r="P567" s="31">
        <v>162</v>
      </c>
      <c r="Q567" s="31">
        <v>0</v>
      </c>
      <c r="R567" s="31">
        <v>0</v>
      </c>
      <c r="S567" s="31">
        <v>0</v>
      </c>
      <c r="T567" s="31">
        <v>0</v>
      </c>
      <c r="U567" s="31">
        <v>14</v>
      </c>
      <c r="V567" s="31">
        <v>79</v>
      </c>
      <c r="W567" s="31">
        <v>0</v>
      </c>
      <c r="X567" s="31">
        <v>1</v>
      </c>
      <c r="Y567" s="31">
        <v>12</v>
      </c>
      <c r="Z567" s="31">
        <v>12</v>
      </c>
      <c r="AA567" s="31">
        <v>0</v>
      </c>
      <c r="AB567" s="31">
        <v>291</v>
      </c>
    </row>
    <row r="568" spans="1:28" ht="21" customHeight="1" x14ac:dyDescent="0.2">
      <c r="A568" s="159"/>
      <c r="B568" s="161"/>
      <c r="C568" s="165" t="s">
        <v>182</v>
      </c>
      <c r="D568" s="166"/>
      <c r="E568" s="166"/>
      <c r="F568" s="166"/>
      <c r="G568" s="167"/>
      <c r="H568" s="23">
        <v>4</v>
      </c>
      <c r="I568" s="31">
        <v>1695</v>
      </c>
      <c r="J568" s="31">
        <v>468</v>
      </c>
      <c r="K568" s="31">
        <v>2</v>
      </c>
      <c r="L568" s="31">
        <v>0</v>
      </c>
      <c r="M568" s="31">
        <v>2</v>
      </c>
      <c r="N568" s="31">
        <v>0</v>
      </c>
      <c r="O568" s="31">
        <v>438</v>
      </c>
      <c r="P568" s="31">
        <v>438</v>
      </c>
      <c r="Q568" s="31">
        <v>0</v>
      </c>
      <c r="R568" s="31">
        <v>0</v>
      </c>
      <c r="S568" s="31">
        <v>0</v>
      </c>
      <c r="T568" s="31">
        <v>0</v>
      </c>
      <c r="U568" s="31">
        <v>33</v>
      </c>
      <c r="V568" s="31">
        <v>40</v>
      </c>
      <c r="W568" s="31">
        <v>1</v>
      </c>
      <c r="X568" s="31">
        <v>2</v>
      </c>
      <c r="Y568" s="31">
        <v>272</v>
      </c>
      <c r="Z568" s="31">
        <v>272</v>
      </c>
      <c r="AA568" s="31">
        <v>0</v>
      </c>
      <c r="AB568" s="31">
        <v>1255</v>
      </c>
    </row>
    <row r="569" spans="1:28" ht="21" customHeight="1" x14ac:dyDescent="0.2">
      <c r="A569" s="162"/>
      <c r="B569" s="164"/>
      <c r="C569" s="165" t="s">
        <v>49</v>
      </c>
      <c r="D569" s="166"/>
      <c r="E569" s="166"/>
      <c r="F569" s="166"/>
      <c r="G569" s="167"/>
      <c r="H569" s="23">
        <v>5</v>
      </c>
      <c r="I569" s="31">
        <v>635</v>
      </c>
      <c r="J569" s="31">
        <v>322</v>
      </c>
      <c r="K569" s="31">
        <v>0</v>
      </c>
      <c r="L569" s="31">
        <v>0</v>
      </c>
      <c r="M569" s="31">
        <v>0</v>
      </c>
      <c r="N569" s="31">
        <v>0</v>
      </c>
      <c r="O569" s="31">
        <v>310</v>
      </c>
      <c r="P569" s="31">
        <v>309</v>
      </c>
      <c r="Q569" s="31">
        <v>0</v>
      </c>
      <c r="R569" s="31">
        <v>1</v>
      </c>
      <c r="S569" s="31">
        <v>0</v>
      </c>
      <c r="T569" s="31">
        <v>0</v>
      </c>
      <c r="U569" s="31">
        <v>27</v>
      </c>
      <c r="V569" s="31">
        <v>20</v>
      </c>
      <c r="W569" s="31">
        <v>0</v>
      </c>
      <c r="X569" s="31">
        <v>0</v>
      </c>
      <c r="Y569" s="31">
        <v>94</v>
      </c>
      <c r="Z569" s="31">
        <v>94</v>
      </c>
      <c r="AA569" s="31">
        <v>0</v>
      </c>
      <c r="AB569" s="31">
        <v>325</v>
      </c>
    </row>
    <row r="570" spans="1:28" ht="23.25" customHeight="1" x14ac:dyDescent="0.2">
      <c r="A570" s="144" t="s">
        <v>165</v>
      </c>
      <c r="B570" s="138" t="s">
        <v>409</v>
      </c>
      <c r="C570" s="139"/>
      <c r="D570" s="139"/>
      <c r="E570" s="139"/>
      <c r="F570" s="139"/>
      <c r="G570" s="140"/>
      <c r="H570" s="23">
        <v>6</v>
      </c>
      <c r="I570" s="31">
        <v>20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20</v>
      </c>
    </row>
    <row r="571" spans="1:28" ht="30.75" customHeight="1" x14ac:dyDescent="0.2">
      <c r="A571" s="145"/>
      <c r="B571" s="138" t="s">
        <v>410</v>
      </c>
      <c r="C571" s="139"/>
      <c r="D571" s="139"/>
      <c r="E571" s="139"/>
      <c r="F571" s="139"/>
      <c r="G571" s="140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45"/>
      <c r="B572" s="138" t="s">
        <v>411</v>
      </c>
      <c r="C572" s="139"/>
      <c r="D572" s="139"/>
      <c r="E572" s="139"/>
      <c r="F572" s="139"/>
      <c r="G572" s="140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1</v>
      </c>
      <c r="Z572" s="31">
        <v>1</v>
      </c>
      <c r="AA572" s="31">
        <v>0</v>
      </c>
      <c r="AB572" s="31">
        <v>0</v>
      </c>
    </row>
    <row r="573" spans="1:28" ht="21.75" customHeight="1" x14ac:dyDescent="0.2">
      <c r="A573" s="145"/>
      <c r="B573" s="138" t="s">
        <v>412</v>
      </c>
      <c r="C573" s="139"/>
      <c r="D573" s="139"/>
      <c r="E573" s="139"/>
      <c r="F573" s="139"/>
      <c r="G573" s="140"/>
      <c r="H573" s="23">
        <v>9</v>
      </c>
      <c r="I573" s="31">
        <v>200</v>
      </c>
      <c r="J573" s="31">
        <v>36</v>
      </c>
      <c r="K573" s="31">
        <v>0</v>
      </c>
      <c r="L573" s="31">
        <v>0</v>
      </c>
      <c r="M573" s="31">
        <v>0</v>
      </c>
      <c r="N573" s="31">
        <v>0</v>
      </c>
      <c r="O573" s="31">
        <v>32</v>
      </c>
      <c r="P573" s="31">
        <v>32</v>
      </c>
      <c r="Q573" s="31">
        <v>0</v>
      </c>
      <c r="R573" s="31">
        <v>0</v>
      </c>
      <c r="S573" s="31">
        <v>0</v>
      </c>
      <c r="T573" s="31">
        <v>0</v>
      </c>
      <c r="U573" s="31">
        <v>1</v>
      </c>
      <c r="V573" s="31">
        <v>6</v>
      </c>
      <c r="W573" s="31">
        <v>0</v>
      </c>
      <c r="X573" s="31">
        <v>0</v>
      </c>
      <c r="Y573" s="31">
        <v>24</v>
      </c>
      <c r="Z573" s="31">
        <v>24</v>
      </c>
      <c r="AA573" s="31">
        <v>0</v>
      </c>
      <c r="AB573" s="31">
        <v>168</v>
      </c>
    </row>
    <row r="574" spans="1:28" ht="27.2" customHeight="1" x14ac:dyDescent="0.2">
      <c r="A574" s="145"/>
      <c r="B574" s="138" t="s">
        <v>413</v>
      </c>
      <c r="C574" s="139"/>
      <c r="D574" s="139"/>
      <c r="E574" s="139"/>
      <c r="F574" s="139"/>
      <c r="G574" s="140"/>
      <c r="H574" s="23">
        <v>10</v>
      </c>
      <c r="I574" s="62">
        <v>14</v>
      </c>
      <c r="J574" s="31">
        <v>4</v>
      </c>
      <c r="K574" s="31">
        <v>0</v>
      </c>
      <c r="L574" s="31">
        <v>0</v>
      </c>
      <c r="M574" s="31">
        <v>0</v>
      </c>
      <c r="N574" s="31">
        <v>0</v>
      </c>
      <c r="O574" s="31">
        <v>4</v>
      </c>
      <c r="P574" s="31">
        <v>4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4</v>
      </c>
      <c r="Z574" s="31">
        <v>4</v>
      </c>
      <c r="AA574" s="31">
        <v>0</v>
      </c>
      <c r="AB574" s="31">
        <v>10</v>
      </c>
    </row>
    <row r="575" spans="1:28" ht="25.5" customHeight="1" x14ac:dyDescent="0.2">
      <c r="A575" s="145"/>
      <c r="B575" s="190" t="s">
        <v>32</v>
      </c>
      <c r="C575" s="138" t="s">
        <v>414</v>
      </c>
      <c r="D575" s="139"/>
      <c r="E575" s="139"/>
      <c r="F575" s="139"/>
      <c r="G575" s="140"/>
      <c r="H575" s="23">
        <v>11</v>
      </c>
      <c r="I575" s="31">
        <v>13</v>
      </c>
      <c r="J575" s="31">
        <v>4</v>
      </c>
      <c r="K575" s="31">
        <v>0</v>
      </c>
      <c r="L575" s="31">
        <v>0</v>
      </c>
      <c r="M575" s="31">
        <v>0</v>
      </c>
      <c r="N575" s="31">
        <v>0</v>
      </c>
      <c r="O575" s="31">
        <v>4</v>
      </c>
      <c r="P575" s="31">
        <v>4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3</v>
      </c>
      <c r="Z575" s="31">
        <v>3</v>
      </c>
      <c r="AA575" s="31">
        <v>0</v>
      </c>
      <c r="AB575" s="31">
        <v>9</v>
      </c>
    </row>
    <row r="576" spans="1:28" ht="26.25" customHeight="1" x14ac:dyDescent="0.2">
      <c r="A576" s="145"/>
      <c r="B576" s="191"/>
      <c r="C576" s="139" t="s">
        <v>415</v>
      </c>
      <c r="D576" s="139"/>
      <c r="E576" s="139"/>
      <c r="F576" s="139"/>
      <c r="G576" s="140"/>
      <c r="H576" s="23">
        <v>12</v>
      </c>
      <c r="I576" s="54">
        <v>1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1</v>
      </c>
      <c r="Z576" s="31">
        <v>1</v>
      </c>
      <c r="AA576" s="31">
        <v>0</v>
      </c>
      <c r="AB576" s="31">
        <v>1</v>
      </c>
    </row>
    <row r="577" spans="1:28" ht="27.2" customHeight="1" x14ac:dyDescent="0.2">
      <c r="A577" s="145"/>
      <c r="B577" s="138" t="s">
        <v>416</v>
      </c>
      <c r="C577" s="139"/>
      <c r="D577" s="139"/>
      <c r="E577" s="139"/>
      <c r="F577" s="139"/>
      <c r="G577" s="140"/>
      <c r="H577" s="23">
        <v>13</v>
      </c>
      <c r="I577" s="62">
        <v>14</v>
      </c>
      <c r="J577" s="31">
        <v>6</v>
      </c>
      <c r="K577" s="31">
        <v>0</v>
      </c>
      <c r="L577" s="31">
        <v>0</v>
      </c>
      <c r="M577" s="31">
        <v>0</v>
      </c>
      <c r="N577" s="31">
        <v>0</v>
      </c>
      <c r="O577" s="31">
        <v>5</v>
      </c>
      <c r="P577" s="31">
        <v>5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1</v>
      </c>
      <c r="Z577" s="31">
        <v>1</v>
      </c>
      <c r="AA577" s="31">
        <v>0</v>
      </c>
      <c r="AB577" s="31">
        <v>9</v>
      </c>
    </row>
    <row r="578" spans="1:28" ht="25.5" customHeight="1" x14ac:dyDescent="0.2">
      <c r="A578" s="145"/>
      <c r="B578" s="190" t="s">
        <v>32</v>
      </c>
      <c r="C578" s="138" t="s">
        <v>417</v>
      </c>
      <c r="D578" s="139"/>
      <c r="E578" s="139"/>
      <c r="F578" s="139"/>
      <c r="G578" s="140"/>
      <c r="H578" s="23">
        <v>14</v>
      </c>
      <c r="I578" s="31">
        <v>12</v>
      </c>
      <c r="J578" s="31">
        <v>6</v>
      </c>
      <c r="K578" s="31">
        <v>0</v>
      </c>
      <c r="L578" s="31">
        <v>0</v>
      </c>
      <c r="M578" s="31">
        <v>0</v>
      </c>
      <c r="N578" s="31">
        <v>0</v>
      </c>
      <c r="O578" s="31">
        <v>5</v>
      </c>
      <c r="P578" s="31">
        <v>5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1</v>
      </c>
      <c r="Z578" s="31">
        <v>1</v>
      </c>
      <c r="AA578" s="31">
        <v>0</v>
      </c>
      <c r="AB578" s="31">
        <v>7</v>
      </c>
    </row>
    <row r="579" spans="1:28" ht="26.25" customHeight="1" x14ac:dyDescent="0.2">
      <c r="A579" s="145"/>
      <c r="B579" s="191"/>
      <c r="C579" s="139" t="s">
        <v>418</v>
      </c>
      <c r="D579" s="139"/>
      <c r="E579" s="139"/>
      <c r="F579" s="139"/>
      <c r="G579" s="140"/>
      <c r="H579" s="23">
        <v>15</v>
      </c>
      <c r="I579" s="54">
        <v>2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2</v>
      </c>
    </row>
    <row r="580" spans="1:28" ht="32.85" customHeight="1" x14ac:dyDescent="0.2">
      <c r="A580" s="145"/>
      <c r="B580" s="138" t="s">
        <v>419</v>
      </c>
      <c r="C580" s="139"/>
      <c r="D580" s="139"/>
      <c r="E580" s="139"/>
      <c r="F580" s="139"/>
      <c r="G580" s="140"/>
      <c r="H580" s="23">
        <v>16</v>
      </c>
      <c r="I580" s="62">
        <v>162</v>
      </c>
      <c r="J580" s="31">
        <v>35</v>
      </c>
      <c r="K580" s="31">
        <v>0</v>
      </c>
      <c r="L580" s="31">
        <v>0</v>
      </c>
      <c r="M580" s="31">
        <v>0</v>
      </c>
      <c r="N580" s="31">
        <v>0</v>
      </c>
      <c r="O580" s="31">
        <v>33</v>
      </c>
      <c r="P580" s="31">
        <v>33</v>
      </c>
      <c r="Q580" s="31">
        <v>0</v>
      </c>
      <c r="R580" s="31">
        <v>0</v>
      </c>
      <c r="S580" s="31">
        <v>0</v>
      </c>
      <c r="T580" s="31">
        <v>0</v>
      </c>
      <c r="U580" s="31">
        <v>2</v>
      </c>
      <c r="V580" s="31">
        <v>10</v>
      </c>
      <c r="W580" s="31">
        <v>0</v>
      </c>
      <c r="X580" s="31">
        <v>0</v>
      </c>
      <c r="Y580" s="31">
        <v>17</v>
      </c>
      <c r="Z580" s="31">
        <v>17</v>
      </c>
      <c r="AA580" s="31">
        <v>0</v>
      </c>
      <c r="AB580" s="31">
        <v>129</v>
      </c>
    </row>
    <row r="581" spans="1:28" ht="36.75" customHeight="1" x14ac:dyDescent="0.2">
      <c r="A581" s="145"/>
      <c r="B581" s="227" t="s">
        <v>420</v>
      </c>
      <c r="C581" s="228"/>
      <c r="D581" s="228"/>
      <c r="E581" s="228"/>
      <c r="F581" s="228"/>
      <c r="G581" s="229"/>
      <c r="H581" s="23">
        <v>17</v>
      </c>
      <c r="I581" s="62">
        <v>93</v>
      </c>
      <c r="J581" s="31">
        <v>60</v>
      </c>
      <c r="K581" s="31">
        <v>2</v>
      </c>
      <c r="L581" s="31">
        <v>0</v>
      </c>
      <c r="M581" s="31">
        <v>2</v>
      </c>
      <c r="N581" s="31">
        <v>0</v>
      </c>
      <c r="O581" s="31">
        <v>56</v>
      </c>
      <c r="P581" s="31">
        <v>56</v>
      </c>
      <c r="Q581" s="31">
        <v>0</v>
      </c>
      <c r="R581" s="31">
        <v>0</v>
      </c>
      <c r="S581" s="31">
        <v>0</v>
      </c>
      <c r="T581" s="31">
        <v>0</v>
      </c>
      <c r="U581" s="31">
        <v>3</v>
      </c>
      <c r="V581" s="31">
        <v>15</v>
      </c>
      <c r="W581" s="31">
        <v>0</v>
      </c>
      <c r="X581" s="31">
        <v>0</v>
      </c>
      <c r="Y581" s="31">
        <v>5</v>
      </c>
      <c r="Z581" s="31">
        <v>5</v>
      </c>
      <c r="AA581" s="31">
        <v>0</v>
      </c>
      <c r="AB581" s="31">
        <v>35</v>
      </c>
    </row>
    <row r="582" spans="1:28" ht="21" customHeight="1" x14ac:dyDescent="0.2">
      <c r="A582" s="145"/>
      <c r="B582" s="138" t="s">
        <v>421</v>
      </c>
      <c r="C582" s="139"/>
      <c r="D582" s="139"/>
      <c r="E582" s="139"/>
      <c r="F582" s="139"/>
      <c r="G582" s="140"/>
      <c r="H582" s="23">
        <v>18</v>
      </c>
      <c r="I582" s="31">
        <v>37</v>
      </c>
      <c r="J582" s="31">
        <v>2</v>
      </c>
      <c r="K582" s="31">
        <v>0</v>
      </c>
      <c r="L582" s="31">
        <v>0</v>
      </c>
      <c r="M582" s="31">
        <v>0</v>
      </c>
      <c r="N582" s="31">
        <v>0</v>
      </c>
      <c r="O582" s="31">
        <v>1</v>
      </c>
      <c r="P582" s="31">
        <v>1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3</v>
      </c>
      <c r="Z582" s="31">
        <v>3</v>
      </c>
      <c r="AA582" s="31">
        <v>0</v>
      </c>
      <c r="AB582" s="31">
        <v>36</v>
      </c>
    </row>
    <row r="583" spans="1:28" ht="20.25" customHeight="1" x14ac:dyDescent="0.2">
      <c r="A583" s="145"/>
      <c r="B583" s="138" t="s">
        <v>422</v>
      </c>
      <c r="C583" s="139"/>
      <c r="D583" s="139"/>
      <c r="E583" s="139"/>
      <c r="F583" s="139"/>
      <c r="G583" s="140"/>
      <c r="H583" s="23">
        <v>19</v>
      </c>
      <c r="I583" s="31">
        <v>64</v>
      </c>
      <c r="J583" s="31">
        <v>2</v>
      </c>
      <c r="K583" s="31">
        <v>0</v>
      </c>
      <c r="L583" s="31">
        <v>0</v>
      </c>
      <c r="M583" s="31">
        <v>0</v>
      </c>
      <c r="N583" s="31">
        <v>0</v>
      </c>
      <c r="O583" s="31">
        <v>2</v>
      </c>
      <c r="P583" s="31">
        <v>2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10</v>
      </c>
      <c r="Z583" s="31">
        <v>10</v>
      </c>
      <c r="AA583" s="31">
        <v>0</v>
      </c>
      <c r="AB583" s="31">
        <v>62</v>
      </c>
    </row>
    <row r="584" spans="1:28" ht="21" customHeight="1" x14ac:dyDescent="0.2">
      <c r="A584" s="145"/>
      <c r="B584" s="138" t="s">
        <v>423</v>
      </c>
      <c r="C584" s="139"/>
      <c r="D584" s="139"/>
      <c r="E584" s="139"/>
      <c r="F584" s="139"/>
      <c r="G584" s="140"/>
      <c r="H584" s="23">
        <v>20</v>
      </c>
      <c r="I584" s="31">
        <v>1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1</v>
      </c>
    </row>
    <row r="585" spans="1:28" ht="27.2" customHeight="1" x14ac:dyDescent="0.2">
      <c r="A585" s="145"/>
      <c r="B585" s="138" t="s">
        <v>424</v>
      </c>
      <c r="C585" s="139"/>
      <c r="D585" s="139"/>
      <c r="E585" s="139"/>
      <c r="F585" s="139"/>
      <c r="G585" s="140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45"/>
      <c r="B586" s="138" t="s">
        <v>425</v>
      </c>
      <c r="C586" s="139"/>
      <c r="D586" s="139"/>
      <c r="E586" s="139"/>
      <c r="F586" s="139"/>
      <c r="G586" s="140"/>
      <c r="H586" s="23">
        <v>22</v>
      </c>
      <c r="I586" s="31">
        <v>30</v>
      </c>
      <c r="J586" s="31">
        <v>7</v>
      </c>
      <c r="K586" s="31">
        <v>0</v>
      </c>
      <c r="L586" s="31">
        <v>0</v>
      </c>
      <c r="M586" s="31">
        <v>0</v>
      </c>
      <c r="N586" s="31">
        <v>0</v>
      </c>
      <c r="O586" s="31">
        <v>7</v>
      </c>
      <c r="P586" s="31">
        <v>7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1</v>
      </c>
      <c r="W586" s="31">
        <v>0</v>
      </c>
      <c r="X586" s="31">
        <v>0</v>
      </c>
      <c r="Y586" s="31">
        <v>6</v>
      </c>
      <c r="Z586" s="31">
        <v>6</v>
      </c>
      <c r="AA586" s="31">
        <v>0</v>
      </c>
      <c r="AB586" s="31">
        <v>23</v>
      </c>
    </row>
    <row r="587" spans="1:28" ht="28.5" customHeight="1" x14ac:dyDescent="0.2">
      <c r="A587" s="145"/>
      <c r="B587" s="138" t="s">
        <v>426</v>
      </c>
      <c r="C587" s="139"/>
      <c r="D587" s="139"/>
      <c r="E587" s="139"/>
      <c r="F587" s="139"/>
      <c r="G587" s="140"/>
      <c r="H587" s="23">
        <v>23</v>
      </c>
      <c r="I587" s="31">
        <v>1517</v>
      </c>
      <c r="J587" s="31">
        <v>501</v>
      </c>
      <c r="K587" s="31">
        <v>1</v>
      </c>
      <c r="L587" s="31">
        <v>0</v>
      </c>
      <c r="M587" s="31">
        <v>1</v>
      </c>
      <c r="N587" s="31">
        <v>0</v>
      </c>
      <c r="O587" s="31">
        <v>460</v>
      </c>
      <c r="P587" s="31">
        <v>460</v>
      </c>
      <c r="Q587" s="31">
        <v>0</v>
      </c>
      <c r="R587" s="31">
        <v>0</v>
      </c>
      <c r="S587" s="31">
        <v>0</v>
      </c>
      <c r="T587" s="31">
        <v>0</v>
      </c>
      <c r="U587" s="31">
        <v>37</v>
      </c>
      <c r="V587" s="31">
        <v>86</v>
      </c>
      <c r="W587" s="31">
        <v>1</v>
      </c>
      <c r="X587" s="31">
        <v>3</v>
      </c>
      <c r="Y587" s="31">
        <v>212</v>
      </c>
      <c r="Z587" s="31">
        <v>212</v>
      </c>
      <c r="AA587" s="31">
        <v>0</v>
      </c>
      <c r="AB587" s="31">
        <v>1056</v>
      </c>
    </row>
    <row r="588" spans="1:28" ht="25.5" customHeight="1" x14ac:dyDescent="0.2">
      <c r="A588" s="145"/>
      <c r="B588" s="138" t="s">
        <v>427</v>
      </c>
      <c r="C588" s="139"/>
      <c r="D588" s="139"/>
      <c r="E588" s="139"/>
      <c r="F588" s="139"/>
      <c r="G588" s="140"/>
      <c r="H588" s="23">
        <v>24</v>
      </c>
      <c r="I588" s="62">
        <v>5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1</v>
      </c>
      <c r="Z588" s="31">
        <v>1</v>
      </c>
      <c r="AA588" s="31">
        <v>0</v>
      </c>
      <c r="AB588" s="31">
        <v>5</v>
      </c>
    </row>
    <row r="589" spans="1:28" ht="24" customHeight="1" x14ac:dyDescent="0.2">
      <c r="A589" s="145"/>
      <c r="B589" s="138" t="s">
        <v>428</v>
      </c>
      <c r="C589" s="139"/>
      <c r="D589" s="139"/>
      <c r="E589" s="139"/>
      <c r="F589" s="139"/>
      <c r="G589" s="140"/>
      <c r="H589" s="23">
        <v>25</v>
      </c>
      <c r="I589" s="62">
        <v>17</v>
      </c>
      <c r="J589" s="31">
        <v>5</v>
      </c>
      <c r="K589" s="31">
        <v>0</v>
      </c>
      <c r="L589" s="31">
        <v>0</v>
      </c>
      <c r="M589" s="31">
        <v>0</v>
      </c>
      <c r="N589" s="31">
        <v>0</v>
      </c>
      <c r="O589" s="31">
        <v>5</v>
      </c>
      <c r="P589" s="31">
        <v>5</v>
      </c>
      <c r="Q589" s="31">
        <v>0</v>
      </c>
      <c r="R589" s="31">
        <v>0</v>
      </c>
      <c r="S589" s="31">
        <v>0</v>
      </c>
      <c r="T589" s="31">
        <v>0</v>
      </c>
      <c r="U589" s="31">
        <v>1</v>
      </c>
      <c r="V589" s="31">
        <v>0</v>
      </c>
      <c r="W589" s="31">
        <v>0</v>
      </c>
      <c r="X589" s="31">
        <v>0</v>
      </c>
      <c r="Y589" s="31">
        <v>10</v>
      </c>
      <c r="Z589" s="31">
        <v>10</v>
      </c>
      <c r="AA589" s="31">
        <v>0</v>
      </c>
      <c r="AB589" s="31">
        <v>12</v>
      </c>
    </row>
    <row r="590" spans="1:28" ht="25.5" customHeight="1" x14ac:dyDescent="0.2">
      <c r="A590" s="145"/>
      <c r="B590" s="190" t="s">
        <v>32</v>
      </c>
      <c r="C590" s="138" t="s">
        <v>429</v>
      </c>
      <c r="D590" s="139"/>
      <c r="E590" s="139"/>
      <c r="F590" s="139"/>
      <c r="G590" s="140"/>
      <c r="H590" s="23">
        <v>26</v>
      </c>
      <c r="I590" s="31">
        <v>15</v>
      </c>
      <c r="J590" s="31">
        <v>3</v>
      </c>
      <c r="K590" s="31">
        <v>0</v>
      </c>
      <c r="L590" s="31">
        <v>0</v>
      </c>
      <c r="M590" s="31">
        <v>0</v>
      </c>
      <c r="N590" s="31">
        <v>0</v>
      </c>
      <c r="O590" s="31">
        <v>3</v>
      </c>
      <c r="P590" s="31">
        <v>3</v>
      </c>
      <c r="Q590" s="31">
        <v>0</v>
      </c>
      <c r="R590" s="31">
        <v>0</v>
      </c>
      <c r="S590" s="31">
        <v>0</v>
      </c>
      <c r="T590" s="31">
        <v>0</v>
      </c>
      <c r="U590" s="31">
        <v>1</v>
      </c>
      <c r="V590" s="31">
        <v>0</v>
      </c>
      <c r="W590" s="31">
        <v>0</v>
      </c>
      <c r="X590" s="31">
        <v>0</v>
      </c>
      <c r="Y590" s="31">
        <v>9</v>
      </c>
      <c r="Z590" s="31">
        <v>9</v>
      </c>
      <c r="AA590" s="31">
        <v>0</v>
      </c>
      <c r="AB590" s="31">
        <v>12</v>
      </c>
    </row>
    <row r="591" spans="1:28" ht="26.25" customHeight="1" x14ac:dyDescent="0.2">
      <c r="A591" s="145"/>
      <c r="B591" s="191"/>
      <c r="C591" s="139" t="s">
        <v>430</v>
      </c>
      <c r="D591" s="139"/>
      <c r="E591" s="139"/>
      <c r="F591" s="139"/>
      <c r="G591" s="140"/>
      <c r="H591" s="23">
        <v>27</v>
      </c>
      <c r="I591" s="54">
        <v>2</v>
      </c>
      <c r="J591" s="54">
        <v>2</v>
      </c>
      <c r="K591" s="54">
        <v>0</v>
      </c>
      <c r="L591" s="54">
        <v>0</v>
      </c>
      <c r="M591" s="31">
        <v>0</v>
      </c>
      <c r="N591" s="31">
        <v>0</v>
      </c>
      <c r="O591" s="31">
        <v>2</v>
      </c>
      <c r="P591" s="31">
        <v>2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1</v>
      </c>
      <c r="Z591" s="31">
        <v>1</v>
      </c>
      <c r="AA591" s="31">
        <v>0</v>
      </c>
      <c r="AB591" s="31">
        <v>0</v>
      </c>
    </row>
    <row r="592" spans="1:28" ht="27.2" customHeight="1" x14ac:dyDescent="0.2">
      <c r="A592" s="145"/>
      <c r="B592" s="138" t="s">
        <v>431</v>
      </c>
      <c r="C592" s="139"/>
      <c r="D592" s="139"/>
      <c r="E592" s="139"/>
      <c r="F592" s="139"/>
      <c r="G592" s="140"/>
      <c r="H592" s="23">
        <v>28</v>
      </c>
      <c r="I592" s="62">
        <v>506</v>
      </c>
      <c r="J592" s="31">
        <v>286</v>
      </c>
      <c r="K592" s="31">
        <v>0</v>
      </c>
      <c r="L592" s="31">
        <v>0</v>
      </c>
      <c r="M592" s="31">
        <v>0</v>
      </c>
      <c r="N592" s="31">
        <v>0</v>
      </c>
      <c r="O592" s="31">
        <v>274</v>
      </c>
      <c r="P592" s="31">
        <v>273</v>
      </c>
      <c r="Q592" s="31">
        <v>0</v>
      </c>
      <c r="R592" s="31">
        <v>1</v>
      </c>
      <c r="S592" s="31">
        <v>0</v>
      </c>
      <c r="T592" s="31">
        <v>0</v>
      </c>
      <c r="U592" s="31">
        <v>28</v>
      </c>
      <c r="V592" s="31">
        <v>21</v>
      </c>
      <c r="W592" s="31">
        <v>0</v>
      </c>
      <c r="X592" s="31">
        <v>0</v>
      </c>
      <c r="Y592" s="31">
        <v>65</v>
      </c>
      <c r="Z592" s="31">
        <v>65</v>
      </c>
      <c r="AA592" s="31">
        <v>0</v>
      </c>
      <c r="AB592" s="31">
        <v>232</v>
      </c>
    </row>
    <row r="593" spans="1:28" ht="25.5" customHeight="1" x14ac:dyDescent="0.2">
      <c r="A593" s="145"/>
      <c r="B593" s="190" t="s">
        <v>32</v>
      </c>
      <c r="C593" s="138" t="s">
        <v>432</v>
      </c>
      <c r="D593" s="139"/>
      <c r="E593" s="139"/>
      <c r="F593" s="139"/>
      <c r="G593" s="140"/>
      <c r="H593" s="23">
        <v>29</v>
      </c>
      <c r="I593" s="31">
        <v>487</v>
      </c>
      <c r="J593" s="31">
        <v>278</v>
      </c>
      <c r="K593" s="31">
        <v>0</v>
      </c>
      <c r="L593" s="31">
        <v>0</v>
      </c>
      <c r="M593" s="31">
        <v>0</v>
      </c>
      <c r="N593" s="31">
        <v>0</v>
      </c>
      <c r="O593" s="31">
        <v>267</v>
      </c>
      <c r="P593" s="31">
        <v>266</v>
      </c>
      <c r="Q593" s="31">
        <v>0</v>
      </c>
      <c r="R593" s="31">
        <v>1</v>
      </c>
      <c r="S593" s="31">
        <v>0</v>
      </c>
      <c r="T593" s="31">
        <v>0</v>
      </c>
      <c r="U593" s="31">
        <v>24</v>
      </c>
      <c r="V593" s="31">
        <v>20</v>
      </c>
      <c r="W593" s="31">
        <v>0</v>
      </c>
      <c r="X593" s="31">
        <v>0</v>
      </c>
      <c r="Y593" s="31">
        <v>63</v>
      </c>
      <c r="Z593" s="31">
        <v>63</v>
      </c>
      <c r="AA593" s="31">
        <v>0</v>
      </c>
      <c r="AB593" s="31">
        <v>220</v>
      </c>
    </row>
    <row r="594" spans="1:28" ht="26.25" customHeight="1" x14ac:dyDescent="0.2">
      <c r="A594" s="145"/>
      <c r="B594" s="191"/>
      <c r="C594" s="139" t="s">
        <v>433</v>
      </c>
      <c r="D594" s="139"/>
      <c r="E594" s="139"/>
      <c r="F594" s="139"/>
      <c r="G594" s="140"/>
      <c r="H594" s="23">
        <v>30</v>
      </c>
      <c r="I594" s="54">
        <v>19</v>
      </c>
      <c r="J594" s="54">
        <v>8</v>
      </c>
      <c r="K594" s="54">
        <v>0</v>
      </c>
      <c r="L594" s="54">
        <v>0</v>
      </c>
      <c r="M594" s="31">
        <v>0</v>
      </c>
      <c r="N594" s="31">
        <v>0</v>
      </c>
      <c r="O594" s="31">
        <v>7</v>
      </c>
      <c r="P594" s="31">
        <v>7</v>
      </c>
      <c r="Q594" s="31">
        <v>0</v>
      </c>
      <c r="R594" s="31">
        <v>0</v>
      </c>
      <c r="S594" s="31">
        <v>0</v>
      </c>
      <c r="T594" s="31">
        <v>0</v>
      </c>
      <c r="U594" s="31">
        <v>4</v>
      </c>
      <c r="V594" s="31">
        <v>1</v>
      </c>
      <c r="W594" s="31">
        <v>0</v>
      </c>
      <c r="X594" s="31">
        <v>0</v>
      </c>
      <c r="Y594" s="31">
        <v>2</v>
      </c>
      <c r="Z594" s="31">
        <v>2</v>
      </c>
      <c r="AA594" s="31">
        <v>0</v>
      </c>
      <c r="AB594" s="31">
        <v>12</v>
      </c>
    </row>
    <row r="595" spans="1:28" ht="30" customHeight="1" x14ac:dyDescent="0.2">
      <c r="A595" s="145"/>
      <c r="B595" s="138" t="s">
        <v>434</v>
      </c>
      <c r="C595" s="139"/>
      <c r="D595" s="139"/>
      <c r="E595" s="139"/>
      <c r="F595" s="139"/>
      <c r="G595" s="140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45"/>
      <c r="B596" s="138" t="s">
        <v>435</v>
      </c>
      <c r="C596" s="139"/>
      <c r="D596" s="139"/>
      <c r="E596" s="139"/>
      <c r="F596" s="139"/>
      <c r="G596" s="140"/>
      <c r="H596" s="23">
        <v>32</v>
      </c>
      <c r="I596" s="31">
        <v>0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2</v>
      </c>
      <c r="Z596" s="31">
        <v>2</v>
      </c>
      <c r="AA596" s="31">
        <v>0</v>
      </c>
      <c r="AB596" s="31">
        <v>0</v>
      </c>
    </row>
    <row r="597" spans="1:28" ht="42" customHeight="1" x14ac:dyDescent="0.2">
      <c r="A597" s="145"/>
      <c r="B597" s="138" t="s">
        <v>436</v>
      </c>
      <c r="C597" s="139"/>
      <c r="D597" s="139"/>
      <c r="E597" s="139"/>
      <c r="F597" s="139"/>
      <c r="G597" s="140"/>
      <c r="H597" s="23">
        <v>33</v>
      </c>
      <c r="I597" s="62">
        <v>19</v>
      </c>
      <c r="J597" s="31">
        <v>2</v>
      </c>
      <c r="K597" s="31">
        <v>0</v>
      </c>
      <c r="L597" s="31">
        <v>0</v>
      </c>
      <c r="M597" s="31">
        <v>0</v>
      </c>
      <c r="N597" s="31">
        <v>0</v>
      </c>
      <c r="O597" s="31">
        <v>2</v>
      </c>
      <c r="P597" s="31">
        <v>2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1</v>
      </c>
      <c r="Z597" s="31">
        <v>1</v>
      </c>
      <c r="AA597" s="31">
        <v>0</v>
      </c>
      <c r="AB597" s="31">
        <v>17</v>
      </c>
    </row>
    <row r="598" spans="1:28" ht="25.5" customHeight="1" x14ac:dyDescent="0.2">
      <c r="A598" s="145"/>
      <c r="B598" s="190" t="s">
        <v>32</v>
      </c>
      <c r="C598" s="138" t="s">
        <v>437</v>
      </c>
      <c r="D598" s="139"/>
      <c r="E598" s="139"/>
      <c r="F598" s="139"/>
      <c r="G598" s="140"/>
      <c r="H598" s="23">
        <v>34</v>
      </c>
      <c r="I598" s="31">
        <v>16</v>
      </c>
      <c r="J598" s="31">
        <v>2</v>
      </c>
      <c r="K598" s="31">
        <v>0</v>
      </c>
      <c r="L598" s="31">
        <v>0</v>
      </c>
      <c r="M598" s="31">
        <v>0</v>
      </c>
      <c r="N598" s="31">
        <v>0</v>
      </c>
      <c r="O598" s="31">
        <v>2</v>
      </c>
      <c r="P598" s="31">
        <v>2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1</v>
      </c>
      <c r="Z598" s="31">
        <v>1</v>
      </c>
      <c r="AA598" s="31">
        <v>0</v>
      </c>
      <c r="AB598" s="31">
        <v>14</v>
      </c>
    </row>
    <row r="599" spans="1:28" ht="26.25" customHeight="1" x14ac:dyDescent="0.2">
      <c r="A599" s="145"/>
      <c r="B599" s="191"/>
      <c r="C599" s="139" t="s">
        <v>438</v>
      </c>
      <c r="D599" s="139"/>
      <c r="E599" s="139"/>
      <c r="F599" s="139"/>
      <c r="G599" s="140"/>
      <c r="H599" s="23">
        <v>35</v>
      </c>
      <c r="I599" s="54">
        <v>3</v>
      </c>
      <c r="J599" s="54">
        <v>0</v>
      </c>
      <c r="K599" s="54">
        <v>0</v>
      </c>
      <c r="L599" s="54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3</v>
      </c>
    </row>
    <row r="600" spans="1:28" ht="27" customHeight="1" x14ac:dyDescent="0.2">
      <c r="A600" s="145"/>
      <c r="B600" s="138" t="s">
        <v>439</v>
      </c>
      <c r="C600" s="139"/>
      <c r="D600" s="139"/>
      <c r="E600" s="139"/>
      <c r="F600" s="139"/>
      <c r="G600" s="140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45"/>
      <c r="B601" s="190" t="s">
        <v>32</v>
      </c>
      <c r="C601" s="138" t="s">
        <v>440</v>
      </c>
      <c r="D601" s="139"/>
      <c r="E601" s="139"/>
      <c r="F601" s="139"/>
      <c r="G601" s="140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45"/>
      <c r="B602" s="191"/>
      <c r="C602" s="139" t="s">
        <v>441</v>
      </c>
      <c r="D602" s="139"/>
      <c r="E602" s="139"/>
      <c r="F602" s="139"/>
      <c r="G602" s="140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45"/>
      <c r="B603" s="138" t="s">
        <v>442</v>
      </c>
      <c r="C603" s="139"/>
      <c r="D603" s="139"/>
      <c r="E603" s="139"/>
      <c r="F603" s="139"/>
      <c r="G603" s="140"/>
      <c r="H603" s="23">
        <v>39</v>
      </c>
      <c r="I603" s="62">
        <v>88</v>
      </c>
      <c r="J603" s="31">
        <v>29</v>
      </c>
      <c r="K603" s="31">
        <v>0</v>
      </c>
      <c r="L603" s="31">
        <v>0</v>
      </c>
      <c r="M603" s="31">
        <v>0</v>
      </c>
      <c r="N603" s="31">
        <v>0</v>
      </c>
      <c r="O603" s="31">
        <v>29</v>
      </c>
      <c r="P603" s="31">
        <v>29</v>
      </c>
      <c r="Q603" s="31">
        <v>0</v>
      </c>
      <c r="R603" s="31">
        <v>0</v>
      </c>
      <c r="S603" s="31">
        <v>0</v>
      </c>
      <c r="T603" s="31">
        <v>0</v>
      </c>
      <c r="U603" s="31">
        <v>2</v>
      </c>
      <c r="V603" s="31">
        <v>0</v>
      </c>
      <c r="W603" s="31">
        <v>0</v>
      </c>
      <c r="X603" s="31">
        <v>0</v>
      </c>
      <c r="Y603" s="31">
        <v>16</v>
      </c>
      <c r="Z603" s="31">
        <v>16</v>
      </c>
      <c r="AA603" s="31">
        <v>0</v>
      </c>
      <c r="AB603" s="31">
        <v>59</v>
      </c>
    </row>
    <row r="604" spans="1:28" ht="27" customHeight="1" x14ac:dyDescent="0.2">
      <c r="A604" s="146"/>
      <c r="B604" s="138" t="s">
        <v>179</v>
      </c>
      <c r="C604" s="139"/>
      <c r="D604" s="139"/>
      <c r="E604" s="139"/>
      <c r="F604" s="139"/>
      <c r="G604" s="140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8" t="s">
        <v>443</v>
      </c>
      <c r="B605" s="139"/>
      <c r="C605" s="139"/>
      <c r="D605" s="139"/>
      <c r="E605" s="139"/>
      <c r="F605" s="139"/>
      <c r="G605" s="140"/>
      <c r="H605" s="23">
        <v>41</v>
      </c>
      <c r="I605" s="31">
        <f t="shared" ref="I605:AB605" si="10">SUM(I565:I604)</f>
        <v>8931</v>
      </c>
      <c r="J605" s="31">
        <f t="shared" si="10"/>
        <v>3228</v>
      </c>
      <c r="K605" s="31">
        <f t="shared" si="10"/>
        <v>9</v>
      </c>
      <c r="L605" s="31">
        <f t="shared" si="10"/>
        <v>0</v>
      </c>
      <c r="M605" s="31">
        <f t="shared" si="10"/>
        <v>9</v>
      </c>
      <c r="N605" s="31">
        <f t="shared" si="10"/>
        <v>0</v>
      </c>
      <c r="O605" s="31">
        <f t="shared" si="10"/>
        <v>3020</v>
      </c>
      <c r="P605" s="31">
        <f t="shared" si="10"/>
        <v>3016</v>
      </c>
      <c r="Q605" s="31">
        <f t="shared" si="10"/>
        <v>0</v>
      </c>
      <c r="R605" s="31">
        <f t="shared" si="10"/>
        <v>4</v>
      </c>
      <c r="S605" s="31">
        <f t="shared" si="10"/>
        <v>0</v>
      </c>
      <c r="T605" s="31">
        <f t="shared" si="10"/>
        <v>0</v>
      </c>
      <c r="U605" s="31">
        <f t="shared" si="10"/>
        <v>251</v>
      </c>
      <c r="V605" s="31">
        <f t="shared" si="10"/>
        <v>438</v>
      </c>
      <c r="W605" s="31">
        <f t="shared" si="10"/>
        <v>3</v>
      </c>
      <c r="X605" s="31">
        <f t="shared" si="10"/>
        <v>9</v>
      </c>
      <c r="Y605" s="31">
        <f t="shared" si="10"/>
        <v>1215</v>
      </c>
      <c r="Z605" s="31">
        <f t="shared" si="10"/>
        <v>1215</v>
      </c>
      <c r="AA605" s="31">
        <f t="shared" si="10"/>
        <v>0</v>
      </c>
      <c r="AB605" s="31">
        <f t="shared" si="10"/>
        <v>5902</v>
      </c>
    </row>
    <row r="606" spans="1:28" ht="12.75" customHeight="1" x14ac:dyDescent="0.2"/>
    <row r="607" spans="1:28" ht="29.25" customHeight="1" x14ac:dyDescent="0.25">
      <c r="A607" s="177" t="s">
        <v>444</v>
      </c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</row>
    <row r="608" spans="1:28" ht="30.75" customHeight="1" x14ac:dyDescent="0.2">
      <c r="A608" s="178"/>
      <c r="B608" s="179"/>
      <c r="C608" s="179"/>
      <c r="D608" s="179"/>
      <c r="E608" s="179"/>
      <c r="F608" s="179"/>
      <c r="G608" s="180"/>
      <c r="H608" s="187" t="s">
        <v>15</v>
      </c>
      <c r="I608" s="168" t="s">
        <v>1148</v>
      </c>
      <c r="J608" s="168" t="s">
        <v>16</v>
      </c>
      <c r="K608" s="168" t="s">
        <v>17</v>
      </c>
      <c r="L608" s="171" t="s">
        <v>18</v>
      </c>
      <c r="M608" s="172"/>
      <c r="N608" s="173"/>
      <c r="O608" s="168" t="s">
        <v>19</v>
      </c>
      <c r="P608" s="171" t="s">
        <v>20</v>
      </c>
      <c r="Q608" s="172"/>
      <c r="R608" s="172"/>
      <c r="S608" s="173"/>
      <c r="T608" s="168" t="s">
        <v>21</v>
      </c>
      <c r="U608" s="171" t="s">
        <v>22</v>
      </c>
      <c r="V608" s="172"/>
      <c r="W608" s="172"/>
      <c r="X608" s="173"/>
      <c r="Y608" s="171" t="s">
        <v>23</v>
      </c>
      <c r="Z608" s="172"/>
      <c r="AA608" s="173"/>
      <c r="AB608" s="168" t="s">
        <v>24</v>
      </c>
    </row>
    <row r="609" spans="1:28" ht="27" customHeight="1" x14ac:dyDescent="0.2">
      <c r="A609" s="181"/>
      <c r="B609" s="182"/>
      <c r="C609" s="182"/>
      <c r="D609" s="182"/>
      <c r="E609" s="182"/>
      <c r="F609" s="182"/>
      <c r="G609" s="183"/>
      <c r="H609" s="188"/>
      <c r="I609" s="170"/>
      <c r="J609" s="170"/>
      <c r="K609" s="170"/>
      <c r="L609" s="168" t="s">
        <v>25</v>
      </c>
      <c r="M609" s="168" t="s">
        <v>26</v>
      </c>
      <c r="N609" s="168" t="s">
        <v>27</v>
      </c>
      <c r="O609" s="170"/>
      <c r="P609" s="168" t="s">
        <v>28</v>
      </c>
      <c r="Q609" s="168" t="s">
        <v>29</v>
      </c>
      <c r="R609" s="168" t="s">
        <v>30</v>
      </c>
      <c r="S609" s="168" t="s">
        <v>31</v>
      </c>
      <c r="T609" s="170"/>
      <c r="U609" s="171" t="s">
        <v>32</v>
      </c>
      <c r="V609" s="172"/>
      <c r="W609" s="172"/>
      <c r="X609" s="173"/>
      <c r="Y609" s="168" t="s">
        <v>33</v>
      </c>
      <c r="Z609" s="171" t="s">
        <v>34</v>
      </c>
      <c r="AA609" s="173"/>
      <c r="AB609" s="170"/>
    </row>
    <row r="610" spans="1:28" ht="77.25" customHeight="1" x14ac:dyDescent="0.2">
      <c r="A610" s="184"/>
      <c r="B610" s="185"/>
      <c r="C610" s="185"/>
      <c r="D610" s="185"/>
      <c r="E610" s="185"/>
      <c r="F610" s="185"/>
      <c r="G610" s="186"/>
      <c r="H610" s="18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9" t="s">
        <v>35</v>
      </c>
      <c r="V610" s="16" t="s">
        <v>36</v>
      </c>
      <c r="W610" s="16" t="s">
        <v>37</v>
      </c>
      <c r="X610" s="16" t="s">
        <v>38</v>
      </c>
      <c r="Y610" s="169"/>
      <c r="Z610" s="18" t="s">
        <v>39</v>
      </c>
      <c r="AA610" s="17" t="s">
        <v>40</v>
      </c>
      <c r="AB610" s="169"/>
    </row>
    <row r="611" spans="1:28" ht="14.25" customHeight="1" x14ac:dyDescent="0.2">
      <c r="A611" s="150" t="s">
        <v>41</v>
      </c>
      <c r="B611" s="151"/>
      <c r="C611" s="151"/>
      <c r="D611" s="151"/>
      <c r="E611" s="151"/>
      <c r="F611" s="151"/>
      <c r="G611" s="152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53" t="s">
        <v>43</v>
      </c>
      <c r="B612" s="154"/>
      <c r="C612" s="154"/>
      <c r="D612" s="154"/>
      <c r="E612" s="154"/>
      <c r="F612" s="154"/>
      <c r="G612" s="155"/>
      <c r="H612" s="23">
        <v>1</v>
      </c>
      <c r="I612" s="37">
        <v>5721</v>
      </c>
      <c r="J612" s="37">
        <v>3124</v>
      </c>
      <c r="K612" s="37">
        <v>33</v>
      </c>
      <c r="L612" s="37">
        <v>0</v>
      </c>
      <c r="M612" s="37">
        <v>28</v>
      </c>
      <c r="N612" s="37">
        <v>2</v>
      </c>
      <c r="O612" s="37">
        <v>2381</v>
      </c>
      <c r="P612" s="37">
        <v>2342</v>
      </c>
      <c r="Q612" s="37">
        <v>1</v>
      </c>
      <c r="R612" s="37">
        <v>21</v>
      </c>
      <c r="S612" s="37">
        <v>17</v>
      </c>
      <c r="T612" s="37">
        <v>0</v>
      </c>
      <c r="U612" s="37">
        <v>391</v>
      </c>
      <c r="V612" s="37">
        <v>93</v>
      </c>
      <c r="W612" s="37">
        <v>69</v>
      </c>
      <c r="X612" s="37">
        <v>33</v>
      </c>
      <c r="Y612" s="37">
        <v>2753</v>
      </c>
      <c r="Z612" s="37">
        <v>2729</v>
      </c>
      <c r="AA612" s="37">
        <v>0</v>
      </c>
      <c r="AB612" s="37">
        <v>3283</v>
      </c>
    </row>
    <row r="613" spans="1:28" ht="21" customHeight="1" x14ac:dyDescent="0.2">
      <c r="A613" s="156" t="s">
        <v>181</v>
      </c>
      <c r="B613" s="158"/>
      <c r="C613" s="165" t="s">
        <v>51</v>
      </c>
      <c r="D613" s="166"/>
      <c r="E613" s="166"/>
      <c r="F613" s="166"/>
      <c r="G613" s="167"/>
      <c r="H613" s="23">
        <v>2</v>
      </c>
      <c r="I613" s="31">
        <v>242</v>
      </c>
      <c r="J613" s="31">
        <v>165</v>
      </c>
      <c r="K613" s="31">
        <v>5</v>
      </c>
      <c r="L613" s="31">
        <v>0</v>
      </c>
      <c r="M613" s="31">
        <v>4</v>
      </c>
      <c r="N613" s="31">
        <v>1</v>
      </c>
      <c r="O613" s="31">
        <v>55</v>
      </c>
      <c r="P613" s="31">
        <v>54</v>
      </c>
      <c r="Q613" s="31">
        <v>0</v>
      </c>
      <c r="R613" s="31">
        <v>1</v>
      </c>
      <c r="S613" s="31">
        <v>0</v>
      </c>
      <c r="T613" s="31">
        <v>0</v>
      </c>
      <c r="U613" s="31">
        <v>15</v>
      </c>
      <c r="V613" s="31">
        <v>37</v>
      </c>
      <c r="W613" s="31">
        <v>0</v>
      </c>
      <c r="X613" s="31">
        <v>5</v>
      </c>
      <c r="Y613" s="31">
        <v>1</v>
      </c>
      <c r="Z613" s="31">
        <v>1</v>
      </c>
      <c r="AA613" s="31">
        <v>0</v>
      </c>
      <c r="AB613" s="31">
        <v>182</v>
      </c>
    </row>
    <row r="614" spans="1:28" ht="21" customHeight="1" x14ac:dyDescent="0.2">
      <c r="A614" s="159"/>
      <c r="B614" s="161"/>
      <c r="C614" s="165" t="s">
        <v>52</v>
      </c>
      <c r="D614" s="166"/>
      <c r="E614" s="166"/>
      <c r="F614" s="166"/>
      <c r="G614" s="167"/>
      <c r="H614" s="23">
        <v>3</v>
      </c>
      <c r="I614" s="31">
        <v>4939</v>
      </c>
      <c r="J614" s="31">
        <v>2616</v>
      </c>
      <c r="K614" s="31">
        <v>26</v>
      </c>
      <c r="L614" s="31">
        <v>0</v>
      </c>
      <c r="M614" s="31">
        <v>22</v>
      </c>
      <c r="N614" s="31">
        <v>1</v>
      </c>
      <c r="O614" s="31">
        <v>2013</v>
      </c>
      <c r="P614" s="31">
        <v>1981</v>
      </c>
      <c r="Q614" s="31">
        <v>1</v>
      </c>
      <c r="R614" s="31">
        <v>15</v>
      </c>
      <c r="S614" s="31">
        <v>16</v>
      </c>
      <c r="T614" s="31">
        <v>0</v>
      </c>
      <c r="U614" s="31">
        <v>323</v>
      </c>
      <c r="V614" s="31">
        <v>55</v>
      </c>
      <c r="W614" s="31">
        <v>62</v>
      </c>
      <c r="X614" s="31">
        <v>26</v>
      </c>
      <c r="Y614" s="31">
        <v>2250</v>
      </c>
      <c r="Z614" s="31">
        <v>2226</v>
      </c>
      <c r="AA614" s="31">
        <v>0</v>
      </c>
      <c r="AB614" s="31">
        <v>2876</v>
      </c>
    </row>
    <row r="615" spans="1:28" ht="21" customHeight="1" x14ac:dyDescent="0.2">
      <c r="A615" s="159"/>
      <c r="B615" s="161"/>
      <c r="C615" s="165" t="s">
        <v>182</v>
      </c>
      <c r="D615" s="166"/>
      <c r="E615" s="166"/>
      <c r="F615" s="166"/>
      <c r="G615" s="167"/>
      <c r="H615" s="23">
        <v>4</v>
      </c>
      <c r="I615" s="31">
        <v>540</v>
      </c>
      <c r="J615" s="31">
        <v>343</v>
      </c>
      <c r="K615" s="31">
        <v>2</v>
      </c>
      <c r="L615" s="31">
        <v>0</v>
      </c>
      <c r="M615" s="31">
        <v>2</v>
      </c>
      <c r="N615" s="31">
        <v>0</v>
      </c>
      <c r="O615" s="31">
        <v>313</v>
      </c>
      <c r="P615" s="31">
        <v>307</v>
      </c>
      <c r="Q615" s="31">
        <v>0</v>
      </c>
      <c r="R615" s="31">
        <v>5</v>
      </c>
      <c r="S615" s="31">
        <v>1</v>
      </c>
      <c r="T615" s="31">
        <v>0</v>
      </c>
      <c r="U615" s="31">
        <v>53</v>
      </c>
      <c r="V615" s="31">
        <v>1</v>
      </c>
      <c r="W615" s="31">
        <v>7</v>
      </c>
      <c r="X615" s="31">
        <v>2</v>
      </c>
      <c r="Y615" s="31">
        <v>502</v>
      </c>
      <c r="Z615" s="31">
        <v>502</v>
      </c>
      <c r="AA615" s="31">
        <v>0</v>
      </c>
      <c r="AB615" s="31">
        <v>225</v>
      </c>
    </row>
    <row r="616" spans="1:28" ht="21" customHeight="1" x14ac:dyDescent="0.2">
      <c r="A616" s="162"/>
      <c r="B616" s="164"/>
      <c r="C616" s="165" t="s">
        <v>49</v>
      </c>
      <c r="D616" s="166"/>
      <c r="E616" s="166"/>
      <c r="F616" s="166"/>
      <c r="G616" s="167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10" t="s">
        <v>165</v>
      </c>
      <c r="B617" s="174" t="s">
        <v>445</v>
      </c>
      <c r="C617" s="175"/>
      <c r="D617" s="175"/>
      <c r="E617" s="175"/>
      <c r="F617" s="175"/>
      <c r="G617" s="176"/>
      <c r="H617" s="23">
        <v>6</v>
      </c>
      <c r="I617" s="31">
        <v>116</v>
      </c>
      <c r="J617" s="31">
        <v>90</v>
      </c>
      <c r="K617" s="31">
        <v>2</v>
      </c>
      <c r="L617" s="31">
        <v>0</v>
      </c>
      <c r="M617" s="31">
        <v>2</v>
      </c>
      <c r="N617" s="31">
        <v>0</v>
      </c>
      <c r="O617" s="31">
        <v>27</v>
      </c>
      <c r="P617" s="31">
        <v>27</v>
      </c>
      <c r="Q617" s="31">
        <v>0</v>
      </c>
      <c r="R617" s="31">
        <v>0</v>
      </c>
      <c r="S617" s="31">
        <v>0</v>
      </c>
      <c r="T617" s="31">
        <v>0</v>
      </c>
      <c r="U617" s="31">
        <v>6</v>
      </c>
      <c r="V617" s="31">
        <v>27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87</v>
      </c>
    </row>
    <row r="618" spans="1:28" ht="27.2" customHeight="1" x14ac:dyDescent="0.2">
      <c r="A618" s="211"/>
      <c r="B618" s="174" t="s">
        <v>446</v>
      </c>
      <c r="C618" s="175"/>
      <c r="D618" s="175"/>
      <c r="E618" s="175"/>
      <c r="F618" s="175"/>
      <c r="G618" s="176"/>
      <c r="H618" s="23">
        <v>7</v>
      </c>
      <c r="I618" s="31">
        <v>26</v>
      </c>
      <c r="J618" s="31">
        <v>15</v>
      </c>
      <c r="K618" s="31">
        <v>0</v>
      </c>
      <c r="L618" s="31">
        <v>0</v>
      </c>
      <c r="M618" s="31">
        <v>0</v>
      </c>
      <c r="N618" s="31">
        <v>0</v>
      </c>
      <c r="O618" s="31">
        <v>9</v>
      </c>
      <c r="P618" s="31">
        <v>9</v>
      </c>
      <c r="Q618" s="31">
        <v>0</v>
      </c>
      <c r="R618" s="31">
        <v>0</v>
      </c>
      <c r="S618" s="31">
        <v>0</v>
      </c>
      <c r="T618" s="31">
        <v>0</v>
      </c>
      <c r="U618" s="31">
        <v>7</v>
      </c>
      <c r="V618" s="31">
        <v>2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17</v>
      </c>
    </row>
    <row r="619" spans="1:28" ht="27.2" customHeight="1" x14ac:dyDescent="0.2">
      <c r="A619" s="211"/>
      <c r="B619" s="174" t="s">
        <v>447</v>
      </c>
      <c r="C619" s="175"/>
      <c r="D619" s="175"/>
      <c r="E619" s="175"/>
      <c r="F619" s="175"/>
      <c r="G619" s="176"/>
      <c r="H619" s="23">
        <v>8</v>
      </c>
      <c r="I619" s="31">
        <v>8</v>
      </c>
      <c r="J619" s="31">
        <v>5</v>
      </c>
      <c r="K619" s="31">
        <v>0</v>
      </c>
      <c r="L619" s="31">
        <v>0</v>
      </c>
      <c r="M619" s="31">
        <v>0</v>
      </c>
      <c r="N619" s="31">
        <v>0</v>
      </c>
      <c r="O619" s="31">
        <v>1</v>
      </c>
      <c r="P619" s="31">
        <v>1</v>
      </c>
      <c r="Q619" s="31">
        <v>0</v>
      </c>
      <c r="R619" s="31">
        <v>0</v>
      </c>
      <c r="S619" s="31">
        <v>0</v>
      </c>
      <c r="T619" s="31">
        <v>0</v>
      </c>
      <c r="U619" s="31">
        <v>1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7</v>
      </c>
    </row>
    <row r="620" spans="1:28" ht="27.2" customHeight="1" x14ac:dyDescent="0.2">
      <c r="A620" s="211"/>
      <c r="B620" s="174" t="s">
        <v>448</v>
      </c>
      <c r="C620" s="175"/>
      <c r="D620" s="175"/>
      <c r="E620" s="175"/>
      <c r="F620" s="175"/>
      <c r="G620" s="176"/>
      <c r="H620" s="23">
        <v>9</v>
      </c>
      <c r="I620" s="31">
        <v>5</v>
      </c>
      <c r="J620" s="31">
        <v>4</v>
      </c>
      <c r="K620" s="31">
        <v>0</v>
      </c>
      <c r="L620" s="31">
        <v>0</v>
      </c>
      <c r="M620" s="31">
        <v>0</v>
      </c>
      <c r="N620" s="31">
        <v>0</v>
      </c>
      <c r="O620" s="31">
        <v>2</v>
      </c>
      <c r="P620" s="31">
        <v>2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3</v>
      </c>
    </row>
    <row r="621" spans="1:28" ht="29.25" customHeight="1" x14ac:dyDescent="0.2">
      <c r="A621" s="211"/>
      <c r="B621" s="174" t="s">
        <v>449</v>
      </c>
      <c r="C621" s="175"/>
      <c r="D621" s="175"/>
      <c r="E621" s="175"/>
      <c r="F621" s="175"/>
      <c r="G621" s="176"/>
      <c r="H621" s="23">
        <v>10</v>
      </c>
      <c r="I621" s="31">
        <v>7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7</v>
      </c>
    </row>
    <row r="622" spans="1:28" ht="27.2" customHeight="1" x14ac:dyDescent="0.2">
      <c r="A622" s="211"/>
      <c r="B622" s="174" t="s">
        <v>450</v>
      </c>
      <c r="C622" s="175"/>
      <c r="D622" s="175"/>
      <c r="E622" s="175"/>
      <c r="F622" s="175"/>
      <c r="G622" s="176"/>
      <c r="H622" s="23">
        <v>11</v>
      </c>
      <c r="I622" s="31">
        <v>3</v>
      </c>
      <c r="J622" s="31">
        <v>2</v>
      </c>
      <c r="K622" s="31">
        <v>0</v>
      </c>
      <c r="L622" s="31">
        <v>0</v>
      </c>
      <c r="M622" s="31">
        <v>0</v>
      </c>
      <c r="N622" s="31">
        <v>0</v>
      </c>
      <c r="O622" s="31">
        <v>2</v>
      </c>
      <c r="P622" s="31">
        <v>2</v>
      </c>
      <c r="Q622" s="31">
        <v>0</v>
      </c>
      <c r="R622" s="31">
        <v>0</v>
      </c>
      <c r="S622" s="31">
        <v>0</v>
      </c>
      <c r="T622" s="31">
        <v>0</v>
      </c>
      <c r="U622" s="31">
        <v>2</v>
      </c>
      <c r="V622" s="31">
        <v>2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7.2" customHeight="1" x14ac:dyDescent="0.2">
      <c r="A623" s="211"/>
      <c r="B623" s="174" t="s">
        <v>451</v>
      </c>
      <c r="C623" s="175"/>
      <c r="D623" s="175"/>
      <c r="E623" s="175"/>
      <c r="F623" s="175"/>
      <c r="G623" s="176"/>
      <c r="H623" s="23">
        <v>12</v>
      </c>
      <c r="I623" s="31">
        <v>96</v>
      </c>
      <c r="J623" s="31">
        <v>56</v>
      </c>
      <c r="K623" s="31">
        <v>2</v>
      </c>
      <c r="L623" s="31">
        <v>0</v>
      </c>
      <c r="M623" s="31">
        <v>1</v>
      </c>
      <c r="N623" s="31">
        <v>1</v>
      </c>
      <c r="O623" s="31">
        <v>14</v>
      </c>
      <c r="P623" s="31">
        <v>13</v>
      </c>
      <c r="Q623" s="31">
        <v>0</v>
      </c>
      <c r="R623" s="31">
        <v>1</v>
      </c>
      <c r="S623" s="31">
        <v>0</v>
      </c>
      <c r="T623" s="31">
        <v>0</v>
      </c>
      <c r="U623" s="31">
        <v>1</v>
      </c>
      <c r="V623" s="31">
        <v>6</v>
      </c>
      <c r="W623" s="31">
        <v>0</v>
      </c>
      <c r="X623" s="31">
        <v>4</v>
      </c>
      <c r="Y623" s="31">
        <v>2</v>
      </c>
      <c r="Z623" s="31">
        <v>2</v>
      </c>
      <c r="AA623" s="31">
        <v>0</v>
      </c>
      <c r="AB623" s="31">
        <v>80</v>
      </c>
    </row>
    <row r="624" spans="1:28" ht="27.2" customHeight="1" x14ac:dyDescent="0.2">
      <c r="A624" s="211"/>
      <c r="B624" s="174" t="s">
        <v>452</v>
      </c>
      <c r="C624" s="175"/>
      <c r="D624" s="175"/>
      <c r="E624" s="175"/>
      <c r="F624" s="175"/>
      <c r="G624" s="176"/>
      <c r="H624" s="23">
        <v>13</v>
      </c>
      <c r="I624" s="31">
        <v>1</v>
      </c>
      <c r="J624" s="31">
        <v>1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1</v>
      </c>
    </row>
    <row r="625" spans="1:28" ht="27.2" customHeight="1" x14ac:dyDescent="0.2">
      <c r="A625" s="211"/>
      <c r="B625" s="174" t="s">
        <v>453</v>
      </c>
      <c r="C625" s="175"/>
      <c r="D625" s="175"/>
      <c r="E625" s="175"/>
      <c r="F625" s="175"/>
      <c r="G625" s="176"/>
      <c r="H625" s="23">
        <v>14</v>
      </c>
      <c r="I625" s="31">
        <v>0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0</v>
      </c>
    </row>
    <row r="626" spans="1:28" ht="27.2" customHeight="1" x14ac:dyDescent="0.2">
      <c r="A626" s="211"/>
      <c r="B626" s="174" t="s">
        <v>454</v>
      </c>
      <c r="C626" s="175"/>
      <c r="D626" s="175"/>
      <c r="E626" s="175"/>
      <c r="F626" s="175"/>
      <c r="G626" s="176"/>
      <c r="H626" s="23">
        <v>15</v>
      </c>
      <c r="I626" s="31">
        <v>18</v>
      </c>
      <c r="J626" s="31">
        <v>5</v>
      </c>
      <c r="K626" s="31">
        <v>1</v>
      </c>
      <c r="L626" s="31">
        <v>0</v>
      </c>
      <c r="M626" s="31">
        <v>1</v>
      </c>
      <c r="N626" s="31">
        <v>0</v>
      </c>
      <c r="O626" s="31">
        <v>4</v>
      </c>
      <c r="P626" s="31">
        <v>4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13</v>
      </c>
    </row>
    <row r="627" spans="1:28" ht="22.5" customHeight="1" x14ac:dyDescent="0.2">
      <c r="A627" s="211"/>
      <c r="B627" s="174" t="s">
        <v>455</v>
      </c>
      <c r="C627" s="175"/>
      <c r="D627" s="175"/>
      <c r="E627" s="175"/>
      <c r="F627" s="175"/>
      <c r="G627" s="176"/>
      <c r="H627" s="23">
        <v>16</v>
      </c>
      <c r="I627" s="31">
        <v>1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1</v>
      </c>
    </row>
    <row r="628" spans="1:28" ht="24.75" customHeight="1" x14ac:dyDescent="0.2">
      <c r="A628" s="211"/>
      <c r="B628" s="174" t="s">
        <v>456</v>
      </c>
      <c r="C628" s="175"/>
      <c r="D628" s="175"/>
      <c r="E628" s="175"/>
      <c r="F628" s="175"/>
      <c r="G628" s="176"/>
      <c r="H628" s="23">
        <v>17</v>
      </c>
      <c r="I628" s="31">
        <v>5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5</v>
      </c>
    </row>
    <row r="629" spans="1:28" ht="24.75" customHeight="1" x14ac:dyDescent="0.2">
      <c r="A629" s="211"/>
      <c r="B629" s="174" t="s">
        <v>457</v>
      </c>
      <c r="C629" s="175"/>
      <c r="D629" s="175"/>
      <c r="E629" s="175"/>
      <c r="F629" s="175"/>
      <c r="G629" s="176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11"/>
      <c r="B630" s="174" t="s">
        <v>458</v>
      </c>
      <c r="C630" s="175"/>
      <c r="D630" s="175"/>
      <c r="E630" s="175"/>
      <c r="F630" s="175"/>
      <c r="G630" s="176"/>
      <c r="H630" s="23">
        <v>19</v>
      </c>
      <c r="I630" s="31">
        <v>1121</v>
      </c>
      <c r="J630" s="31">
        <v>99</v>
      </c>
      <c r="K630" s="31">
        <v>3</v>
      </c>
      <c r="L630" s="31">
        <v>0</v>
      </c>
      <c r="M630" s="31">
        <v>3</v>
      </c>
      <c r="N630" s="31">
        <v>0</v>
      </c>
      <c r="O630" s="31">
        <v>96</v>
      </c>
      <c r="P630" s="31">
        <v>76</v>
      </c>
      <c r="Q630" s="31">
        <v>0</v>
      </c>
      <c r="R630" s="31">
        <v>6</v>
      </c>
      <c r="S630" s="31">
        <v>14</v>
      </c>
      <c r="T630" s="31">
        <v>0</v>
      </c>
      <c r="U630" s="31">
        <v>13</v>
      </c>
      <c r="V630" s="31">
        <v>0</v>
      </c>
      <c r="W630" s="31">
        <v>24</v>
      </c>
      <c r="X630" s="31">
        <v>13</v>
      </c>
      <c r="Y630" s="31">
        <v>62</v>
      </c>
      <c r="Z630" s="31">
        <v>62</v>
      </c>
      <c r="AA630" s="31">
        <v>0</v>
      </c>
      <c r="AB630" s="31">
        <v>1022</v>
      </c>
    </row>
    <row r="631" spans="1:28" ht="27.2" customHeight="1" x14ac:dyDescent="0.2">
      <c r="A631" s="211"/>
      <c r="B631" s="174" t="s">
        <v>459</v>
      </c>
      <c r="C631" s="175"/>
      <c r="D631" s="175"/>
      <c r="E631" s="175"/>
      <c r="F631" s="175"/>
      <c r="G631" s="176"/>
      <c r="H631" s="23">
        <v>20</v>
      </c>
      <c r="I631" s="31">
        <v>21</v>
      </c>
      <c r="J631" s="31">
        <v>13</v>
      </c>
      <c r="K631" s="31">
        <v>6</v>
      </c>
      <c r="L631" s="31">
        <v>0</v>
      </c>
      <c r="M631" s="31">
        <v>6</v>
      </c>
      <c r="N631" s="31">
        <v>0</v>
      </c>
      <c r="O631" s="31">
        <v>6</v>
      </c>
      <c r="P631" s="31">
        <v>6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9</v>
      </c>
    </row>
    <row r="632" spans="1:28" ht="33.75" customHeight="1" x14ac:dyDescent="0.2">
      <c r="A632" s="211"/>
      <c r="B632" s="174" t="s">
        <v>460</v>
      </c>
      <c r="C632" s="175"/>
      <c r="D632" s="175"/>
      <c r="E632" s="175"/>
      <c r="F632" s="175"/>
      <c r="G632" s="176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11"/>
      <c r="B633" s="174" t="s">
        <v>461</v>
      </c>
      <c r="C633" s="175"/>
      <c r="D633" s="175"/>
      <c r="E633" s="175"/>
      <c r="F633" s="175"/>
      <c r="G633" s="176"/>
      <c r="H633" s="23">
        <v>22</v>
      </c>
      <c r="I633" s="31">
        <v>30</v>
      </c>
      <c r="J633" s="31">
        <v>12</v>
      </c>
      <c r="K633" s="31">
        <v>1</v>
      </c>
      <c r="L633" s="31">
        <v>0</v>
      </c>
      <c r="M633" s="31">
        <v>1</v>
      </c>
      <c r="N633" s="31">
        <v>0</v>
      </c>
      <c r="O633" s="31">
        <v>11</v>
      </c>
      <c r="P633" s="31">
        <v>10</v>
      </c>
      <c r="Q633" s="31">
        <v>0</v>
      </c>
      <c r="R633" s="31">
        <v>1</v>
      </c>
      <c r="S633" s="31">
        <v>0</v>
      </c>
      <c r="T633" s="31">
        <v>0</v>
      </c>
      <c r="U633" s="31">
        <v>1</v>
      </c>
      <c r="V633" s="31">
        <v>0</v>
      </c>
      <c r="W633" s="31">
        <v>2</v>
      </c>
      <c r="X633" s="31">
        <v>0</v>
      </c>
      <c r="Y633" s="31">
        <v>6</v>
      </c>
      <c r="Z633" s="31">
        <v>6</v>
      </c>
      <c r="AA633" s="31">
        <v>0</v>
      </c>
      <c r="AB633" s="31">
        <v>18</v>
      </c>
    </row>
    <row r="634" spans="1:28" ht="30.75" customHeight="1" x14ac:dyDescent="0.2">
      <c r="A634" s="211"/>
      <c r="B634" s="174" t="s">
        <v>462</v>
      </c>
      <c r="C634" s="175"/>
      <c r="D634" s="175"/>
      <c r="E634" s="175"/>
      <c r="F634" s="175"/>
      <c r="G634" s="176"/>
      <c r="H634" s="23">
        <v>23</v>
      </c>
      <c r="I634" s="31">
        <v>3848</v>
      </c>
      <c r="J634" s="31">
        <v>2709</v>
      </c>
      <c r="K634" s="31">
        <v>17</v>
      </c>
      <c r="L634" s="31">
        <v>0</v>
      </c>
      <c r="M634" s="31">
        <v>13</v>
      </c>
      <c r="N634" s="31">
        <v>1</v>
      </c>
      <c r="O634" s="31">
        <v>2117</v>
      </c>
      <c r="P634" s="31">
        <v>2101</v>
      </c>
      <c r="Q634" s="31">
        <v>1</v>
      </c>
      <c r="R634" s="31">
        <v>12</v>
      </c>
      <c r="S634" s="31">
        <v>3</v>
      </c>
      <c r="T634" s="31">
        <v>0</v>
      </c>
      <c r="U634" s="31">
        <v>351</v>
      </c>
      <c r="V634" s="31">
        <v>46</v>
      </c>
      <c r="W634" s="31">
        <v>43</v>
      </c>
      <c r="X634" s="31">
        <v>12</v>
      </c>
      <c r="Y634" s="31">
        <v>2178</v>
      </c>
      <c r="Z634" s="31">
        <v>2155</v>
      </c>
      <c r="AA634" s="31">
        <v>0</v>
      </c>
      <c r="AB634" s="31">
        <v>1691</v>
      </c>
    </row>
    <row r="635" spans="1:28" ht="69.75" customHeight="1" x14ac:dyDescent="0.2">
      <c r="A635" s="211"/>
      <c r="B635" s="174" t="s">
        <v>463</v>
      </c>
      <c r="C635" s="175"/>
      <c r="D635" s="175"/>
      <c r="E635" s="175"/>
      <c r="F635" s="175"/>
      <c r="G635" s="176"/>
      <c r="H635" s="23">
        <v>24</v>
      </c>
      <c r="I635" s="31">
        <v>125</v>
      </c>
      <c r="J635" s="31">
        <v>106</v>
      </c>
      <c r="K635" s="31">
        <v>1</v>
      </c>
      <c r="L635" s="31">
        <v>0</v>
      </c>
      <c r="M635" s="31">
        <v>1</v>
      </c>
      <c r="N635" s="31">
        <v>0</v>
      </c>
      <c r="O635" s="31">
        <v>86</v>
      </c>
      <c r="P635" s="31">
        <v>85</v>
      </c>
      <c r="Q635" s="31">
        <v>0</v>
      </c>
      <c r="R635" s="31">
        <v>1</v>
      </c>
      <c r="S635" s="31">
        <v>0</v>
      </c>
      <c r="T635" s="31">
        <v>0</v>
      </c>
      <c r="U635" s="31">
        <v>9</v>
      </c>
      <c r="V635" s="31">
        <v>10</v>
      </c>
      <c r="W635" s="31">
        <v>0</v>
      </c>
      <c r="X635" s="31">
        <v>4</v>
      </c>
      <c r="Y635" s="31">
        <v>3</v>
      </c>
      <c r="Z635" s="31">
        <v>2</v>
      </c>
      <c r="AA635" s="31">
        <v>0</v>
      </c>
      <c r="AB635" s="31">
        <v>37</v>
      </c>
    </row>
    <row r="636" spans="1:28" ht="27.2" customHeight="1" x14ac:dyDescent="0.2">
      <c r="A636" s="211"/>
      <c r="B636" s="174" t="s">
        <v>464</v>
      </c>
      <c r="C636" s="175"/>
      <c r="D636" s="175"/>
      <c r="E636" s="175"/>
      <c r="F636" s="175"/>
      <c r="G636" s="176"/>
      <c r="H636" s="23">
        <v>25</v>
      </c>
      <c r="I636" s="31">
        <v>6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1</v>
      </c>
      <c r="Z636" s="31">
        <v>1</v>
      </c>
      <c r="AA636" s="31">
        <v>0</v>
      </c>
      <c r="AB636" s="31">
        <v>6</v>
      </c>
    </row>
    <row r="637" spans="1:28" ht="29.25" customHeight="1" x14ac:dyDescent="0.2">
      <c r="A637" s="211"/>
      <c r="B637" s="174" t="s">
        <v>465</v>
      </c>
      <c r="C637" s="175"/>
      <c r="D637" s="175"/>
      <c r="E637" s="175"/>
      <c r="F637" s="175"/>
      <c r="G637" s="176"/>
      <c r="H637" s="23">
        <v>26</v>
      </c>
      <c r="I637" s="31">
        <v>5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5</v>
      </c>
    </row>
    <row r="638" spans="1:28" ht="45" customHeight="1" x14ac:dyDescent="0.2">
      <c r="A638" s="211"/>
      <c r="B638" s="174" t="s">
        <v>466</v>
      </c>
      <c r="C638" s="175"/>
      <c r="D638" s="175"/>
      <c r="E638" s="175"/>
      <c r="F638" s="175"/>
      <c r="G638" s="176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33.75" customHeight="1" x14ac:dyDescent="0.2">
      <c r="A639" s="211"/>
      <c r="B639" s="174" t="s">
        <v>467</v>
      </c>
      <c r="C639" s="175"/>
      <c r="D639" s="175"/>
      <c r="E639" s="175"/>
      <c r="F639" s="175"/>
      <c r="G639" s="176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11"/>
      <c r="B640" s="174" t="s">
        <v>468</v>
      </c>
      <c r="C640" s="175"/>
      <c r="D640" s="175"/>
      <c r="E640" s="175"/>
      <c r="F640" s="175"/>
      <c r="G640" s="176"/>
      <c r="H640" s="23">
        <v>29</v>
      </c>
      <c r="I640" s="31">
        <v>0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1</v>
      </c>
      <c r="Z640" s="31">
        <v>1</v>
      </c>
      <c r="AA640" s="31">
        <v>0</v>
      </c>
      <c r="AB640" s="31">
        <v>0</v>
      </c>
    </row>
    <row r="641" spans="1:28" ht="24" customHeight="1" x14ac:dyDescent="0.2">
      <c r="A641" s="211"/>
      <c r="B641" s="174" t="s">
        <v>469</v>
      </c>
      <c r="C641" s="175"/>
      <c r="D641" s="175"/>
      <c r="E641" s="175"/>
      <c r="F641" s="175"/>
      <c r="G641" s="176"/>
      <c r="H641" s="23">
        <v>30</v>
      </c>
      <c r="I641" s="31">
        <v>6</v>
      </c>
      <c r="J641" s="31">
        <v>4</v>
      </c>
      <c r="K641" s="31">
        <v>0</v>
      </c>
      <c r="L641" s="31">
        <v>0</v>
      </c>
      <c r="M641" s="31">
        <v>0</v>
      </c>
      <c r="N641" s="31">
        <v>0</v>
      </c>
      <c r="O641" s="31">
        <v>4</v>
      </c>
      <c r="P641" s="31">
        <v>4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2</v>
      </c>
    </row>
    <row r="642" spans="1:28" ht="27.2" customHeight="1" x14ac:dyDescent="0.2">
      <c r="A642" s="211"/>
      <c r="B642" s="174" t="s">
        <v>470</v>
      </c>
      <c r="C642" s="175"/>
      <c r="D642" s="175"/>
      <c r="E642" s="175"/>
      <c r="F642" s="175"/>
      <c r="G642" s="176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7.2" customHeight="1" x14ac:dyDescent="0.2">
      <c r="A643" s="211"/>
      <c r="B643" s="190" t="s">
        <v>32</v>
      </c>
      <c r="C643" s="138" t="s">
        <v>471</v>
      </c>
      <c r="D643" s="139"/>
      <c r="E643" s="139"/>
      <c r="F643" s="139"/>
      <c r="G643" s="140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4" customHeight="1" x14ac:dyDescent="0.2">
      <c r="A644" s="211"/>
      <c r="B644" s="191"/>
      <c r="C644" s="139" t="s">
        <v>472</v>
      </c>
      <c r="D644" s="139"/>
      <c r="E644" s="139"/>
      <c r="F644" s="139"/>
      <c r="G644" s="140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11"/>
      <c r="B645" s="174" t="s">
        <v>473</v>
      </c>
      <c r="C645" s="175"/>
      <c r="D645" s="175"/>
      <c r="E645" s="175"/>
      <c r="F645" s="175"/>
      <c r="G645" s="176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11"/>
      <c r="B646" s="174" t="s">
        <v>474</v>
      </c>
      <c r="C646" s="175"/>
      <c r="D646" s="175"/>
      <c r="E646" s="175"/>
      <c r="F646" s="175"/>
      <c r="G646" s="176"/>
      <c r="H646" s="23">
        <v>35</v>
      </c>
      <c r="I646" s="31">
        <v>271</v>
      </c>
      <c r="J646" s="31">
        <v>3</v>
      </c>
      <c r="K646" s="31">
        <v>0</v>
      </c>
      <c r="L646" s="31">
        <v>0</v>
      </c>
      <c r="M646" s="31">
        <v>0</v>
      </c>
      <c r="N646" s="31">
        <v>0</v>
      </c>
      <c r="O646" s="31">
        <v>2</v>
      </c>
      <c r="P646" s="31">
        <v>2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499</v>
      </c>
      <c r="Z646" s="31">
        <v>499</v>
      </c>
      <c r="AA646" s="31">
        <v>0</v>
      </c>
      <c r="AB646" s="31">
        <v>269</v>
      </c>
    </row>
    <row r="647" spans="1:28" ht="27.2" customHeight="1" x14ac:dyDescent="0.2">
      <c r="A647" s="211"/>
      <c r="B647" s="174" t="s">
        <v>475</v>
      </c>
      <c r="C647" s="175"/>
      <c r="D647" s="175"/>
      <c r="E647" s="175"/>
      <c r="F647" s="175"/>
      <c r="G647" s="176"/>
      <c r="H647" s="23">
        <v>36</v>
      </c>
      <c r="I647" s="31">
        <v>2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1</v>
      </c>
      <c r="Z647" s="31">
        <v>1</v>
      </c>
      <c r="AA647" s="31">
        <v>0</v>
      </c>
      <c r="AB647" s="31">
        <v>2</v>
      </c>
    </row>
    <row r="648" spans="1:28" ht="23.25" customHeight="1" x14ac:dyDescent="0.2">
      <c r="A648" s="212"/>
      <c r="B648" s="174" t="s">
        <v>179</v>
      </c>
      <c r="C648" s="175"/>
      <c r="D648" s="175"/>
      <c r="E648" s="175"/>
      <c r="F648" s="175"/>
      <c r="G648" s="176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8" t="s">
        <v>443</v>
      </c>
      <c r="B649" s="139"/>
      <c r="C649" s="139"/>
      <c r="D649" s="139"/>
      <c r="E649" s="139"/>
      <c r="F649" s="139"/>
      <c r="G649" s="140"/>
      <c r="H649" s="23">
        <v>38</v>
      </c>
      <c r="I649" s="31">
        <f t="shared" ref="I649:AB649" si="11">SUM(I612:I648)</f>
        <v>17163</v>
      </c>
      <c r="J649" s="31">
        <f t="shared" si="11"/>
        <v>9372</v>
      </c>
      <c r="K649" s="31">
        <f t="shared" si="11"/>
        <v>99</v>
      </c>
      <c r="L649" s="31">
        <f t="shared" si="11"/>
        <v>0</v>
      </c>
      <c r="M649" s="31">
        <f t="shared" si="11"/>
        <v>84</v>
      </c>
      <c r="N649" s="31">
        <f t="shared" si="11"/>
        <v>6</v>
      </c>
      <c r="O649" s="31">
        <f t="shared" si="11"/>
        <v>7143</v>
      </c>
      <c r="P649" s="31">
        <f t="shared" si="11"/>
        <v>7026</v>
      </c>
      <c r="Q649" s="31">
        <f t="shared" si="11"/>
        <v>3</v>
      </c>
      <c r="R649" s="31">
        <f t="shared" si="11"/>
        <v>63</v>
      </c>
      <c r="S649" s="31">
        <f t="shared" si="11"/>
        <v>51</v>
      </c>
      <c r="T649" s="31">
        <f t="shared" si="11"/>
        <v>0</v>
      </c>
      <c r="U649" s="31">
        <f t="shared" si="11"/>
        <v>1173</v>
      </c>
      <c r="V649" s="31">
        <f t="shared" si="11"/>
        <v>279</v>
      </c>
      <c r="W649" s="31">
        <f t="shared" si="11"/>
        <v>207</v>
      </c>
      <c r="X649" s="31">
        <f t="shared" si="11"/>
        <v>99</v>
      </c>
      <c r="Y649" s="31">
        <f t="shared" si="11"/>
        <v>8259</v>
      </c>
      <c r="Z649" s="31">
        <f t="shared" si="11"/>
        <v>8187</v>
      </c>
      <c r="AA649" s="31">
        <f t="shared" si="11"/>
        <v>0</v>
      </c>
      <c r="AB649" s="31">
        <f t="shared" si="11"/>
        <v>9849</v>
      </c>
    </row>
    <row r="650" spans="1:28" ht="13.5" customHeight="1" x14ac:dyDescent="0.2"/>
    <row r="651" spans="1:28" ht="18.75" customHeight="1" x14ac:dyDescent="0.25">
      <c r="A651" s="177" t="s">
        <v>476</v>
      </c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</row>
    <row r="652" spans="1:28" ht="25.5" customHeight="1" x14ac:dyDescent="0.2">
      <c r="A652" s="178"/>
      <c r="B652" s="179"/>
      <c r="C652" s="179"/>
      <c r="D652" s="179"/>
      <c r="E652" s="179"/>
      <c r="F652" s="179"/>
      <c r="G652" s="180"/>
      <c r="H652" s="187" t="s">
        <v>15</v>
      </c>
      <c r="I652" s="168" t="s">
        <v>1148</v>
      </c>
      <c r="J652" s="168" t="s">
        <v>16</v>
      </c>
      <c r="K652" s="168" t="s">
        <v>17</v>
      </c>
      <c r="L652" s="171" t="s">
        <v>18</v>
      </c>
      <c r="M652" s="172"/>
      <c r="N652" s="173"/>
      <c r="O652" s="168" t="s">
        <v>19</v>
      </c>
      <c r="P652" s="171" t="s">
        <v>20</v>
      </c>
      <c r="Q652" s="172"/>
      <c r="R652" s="172"/>
      <c r="S652" s="173"/>
      <c r="T652" s="168" t="s">
        <v>21</v>
      </c>
      <c r="U652" s="171" t="s">
        <v>22</v>
      </c>
      <c r="V652" s="172"/>
      <c r="W652" s="172"/>
      <c r="X652" s="173"/>
      <c r="Y652" s="171" t="s">
        <v>23</v>
      </c>
      <c r="Z652" s="172"/>
      <c r="AA652" s="173"/>
      <c r="AB652" s="168" t="s">
        <v>24</v>
      </c>
    </row>
    <row r="653" spans="1:28" ht="19.5" customHeight="1" x14ac:dyDescent="0.2">
      <c r="A653" s="181"/>
      <c r="B653" s="182"/>
      <c r="C653" s="182"/>
      <c r="D653" s="182"/>
      <c r="E653" s="182"/>
      <c r="F653" s="182"/>
      <c r="G653" s="183"/>
      <c r="H653" s="188"/>
      <c r="I653" s="170"/>
      <c r="J653" s="170"/>
      <c r="K653" s="170"/>
      <c r="L653" s="168" t="s">
        <v>25</v>
      </c>
      <c r="M653" s="168" t="s">
        <v>26</v>
      </c>
      <c r="N653" s="168" t="s">
        <v>27</v>
      </c>
      <c r="O653" s="170"/>
      <c r="P653" s="168" t="s">
        <v>28</v>
      </c>
      <c r="Q653" s="168" t="s">
        <v>29</v>
      </c>
      <c r="R653" s="168" t="s">
        <v>30</v>
      </c>
      <c r="S653" s="168" t="s">
        <v>31</v>
      </c>
      <c r="T653" s="170"/>
      <c r="U653" s="171" t="s">
        <v>32</v>
      </c>
      <c r="V653" s="172"/>
      <c r="W653" s="172"/>
      <c r="X653" s="173"/>
      <c r="Y653" s="168" t="s">
        <v>33</v>
      </c>
      <c r="Z653" s="171" t="s">
        <v>34</v>
      </c>
      <c r="AA653" s="173"/>
      <c r="AB653" s="170"/>
    </row>
    <row r="654" spans="1:28" ht="83.25" customHeight="1" x14ac:dyDescent="0.2">
      <c r="A654" s="184"/>
      <c r="B654" s="185"/>
      <c r="C654" s="185"/>
      <c r="D654" s="185"/>
      <c r="E654" s="185"/>
      <c r="F654" s="185"/>
      <c r="G654" s="186"/>
      <c r="H654" s="18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9" t="s">
        <v>35</v>
      </c>
      <c r="V654" s="16" t="s">
        <v>36</v>
      </c>
      <c r="W654" s="16" t="s">
        <v>37</v>
      </c>
      <c r="X654" s="16" t="s">
        <v>38</v>
      </c>
      <c r="Y654" s="169"/>
      <c r="Z654" s="18" t="s">
        <v>39</v>
      </c>
      <c r="AA654" s="17" t="s">
        <v>40</v>
      </c>
      <c r="AB654" s="169"/>
    </row>
    <row r="655" spans="1:28" ht="15" customHeight="1" x14ac:dyDescent="0.2">
      <c r="A655" s="150" t="s">
        <v>41</v>
      </c>
      <c r="B655" s="151"/>
      <c r="C655" s="151"/>
      <c r="D655" s="151"/>
      <c r="E655" s="151"/>
      <c r="F655" s="151"/>
      <c r="G655" s="152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53" t="s">
        <v>43</v>
      </c>
      <c r="B656" s="154"/>
      <c r="C656" s="154"/>
      <c r="D656" s="154"/>
      <c r="E656" s="154"/>
      <c r="F656" s="154"/>
      <c r="G656" s="155"/>
      <c r="H656" s="23">
        <v>1</v>
      </c>
      <c r="I656" s="31">
        <v>440</v>
      </c>
      <c r="J656" s="31">
        <v>1</v>
      </c>
      <c r="K656" s="31">
        <v>0</v>
      </c>
      <c r="L656" s="31">
        <v>0</v>
      </c>
      <c r="M656" s="31">
        <v>0</v>
      </c>
      <c r="N656" s="31">
        <v>0</v>
      </c>
      <c r="O656" s="31">
        <v>1</v>
      </c>
      <c r="P656" s="31">
        <v>1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30</v>
      </c>
      <c r="Z656" s="31">
        <v>30</v>
      </c>
      <c r="AA656" s="31">
        <v>0</v>
      </c>
      <c r="AB656" s="31">
        <v>439</v>
      </c>
    </row>
    <row r="657" spans="1:28" ht="19.5" customHeight="1" x14ac:dyDescent="0.2">
      <c r="A657" s="156" t="s">
        <v>181</v>
      </c>
      <c r="B657" s="158"/>
      <c r="C657" s="165" t="s">
        <v>51</v>
      </c>
      <c r="D657" s="166"/>
      <c r="E657" s="166"/>
      <c r="F657" s="166"/>
      <c r="G657" s="167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9"/>
      <c r="B658" s="161"/>
      <c r="C658" s="165" t="s">
        <v>52</v>
      </c>
      <c r="D658" s="166"/>
      <c r="E658" s="166"/>
      <c r="F658" s="166"/>
      <c r="G658" s="167"/>
      <c r="H658" s="23">
        <v>3</v>
      </c>
      <c r="I658" s="31">
        <v>225</v>
      </c>
      <c r="J658" s="31">
        <v>1</v>
      </c>
      <c r="K658" s="31">
        <v>0</v>
      </c>
      <c r="L658" s="31">
        <v>0</v>
      </c>
      <c r="M658" s="31">
        <v>0</v>
      </c>
      <c r="N658" s="31">
        <v>0</v>
      </c>
      <c r="O658" s="31">
        <v>1</v>
      </c>
      <c r="P658" s="31">
        <v>1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11</v>
      </c>
      <c r="Z658" s="31">
        <v>11</v>
      </c>
      <c r="AA658" s="31">
        <v>0</v>
      </c>
      <c r="AB658" s="31">
        <v>224</v>
      </c>
    </row>
    <row r="659" spans="1:28" ht="19.5" customHeight="1" x14ac:dyDescent="0.2">
      <c r="A659" s="159"/>
      <c r="B659" s="161"/>
      <c r="C659" s="165" t="s">
        <v>182</v>
      </c>
      <c r="D659" s="166"/>
      <c r="E659" s="166"/>
      <c r="F659" s="166"/>
      <c r="G659" s="167"/>
      <c r="H659" s="23">
        <v>4</v>
      </c>
      <c r="I659" s="31">
        <v>4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4</v>
      </c>
    </row>
    <row r="660" spans="1:28" ht="20.25" customHeight="1" x14ac:dyDescent="0.2">
      <c r="A660" s="162"/>
      <c r="B660" s="164"/>
      <c r="C660" s="165" t="s">
        <v>49</v>
      </c>
      <c r="D660" s="166"/>
      <c r="E660" s="166"/>
      <c r="F660" s="166"/>
      <c r="G660" s="167"/>
      <c r="H660" s="23">
        <v>5</v>
      </c>
      <c r="I660" s="31">
        <v>211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19</v>
      </c>
      <c r="Z660" s="31">
        <v>19</v>
      </c>
      <c r="AA660" s="31">
        <v>0</v>
      </c>
      <c r="AB660" s="31">
        <v>211</v>
      </c>
    </row>
    <row r="661" spans="1:28" ht="12.75" customHeight="1" x14ac:dyDescent="0.2">
      <c r="A661" s="150" t="s">
        <v>41</v>
      </c>
      <c r="B661" s="151"/>
      <c r="C661" s="151"/>
      <c r="D661" s="151"/>
      <c r="E661" s="151"/>
      <c r="F661" s="151"/>
      <c r="G661" s="152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44" t="s">
        <v>165</v>
      </c>
      <c r="B662" s="138" t="s">
        <v>477</v>
      </c>
      <c r="C662" s="139"/>
      <c r="D662" s="139"/>
      <c r="E662" s="139"/>
      <c r="F662" s="139"/>
      <c r="G662" s="140"/>
      <c r="H662" s="23">
        <v>6</v>
      </c>
      <c r="I662" s="31">
        <v>148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13</v>
      </c>
      <c r="Z662" s="31">
        <v>13</v>
      </c>
      <c r="AA662" s="31">
        <v>0</v>
      </c>
      <c r="AB662" s="31">
        <v>148</v>
      </c>
    </row>
    <row r="663" spans="1:28" ht="27.2" customHeight="1" x14ac:dyDescent="0.2">
      <c r="A663" s="145"/>
      <c r="B663" s="190" t="s">
        <v>32</v>
      </c>
      <c r="C663" s="138" t="s">
        <v>478</v>
      </c>
      <c r="D663" s="139"/>
      <c r="E663" s="139"/>
      <c r="F663" s="139"/>
      <c r="G663" s="140"/>
      <c r="H663" s="23">
        <v>7</v>
      </c>
      <c r="I663" s="31">
        <v>104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11</v>
      </c>
      <c r="Z663" s="31">
        <v>11</v>
      </c>
      <c r="AA663" s="31">
        <v>0</v>
      </c>
      <c r="AB663" s="31">
        <v>104</v>
      </c>
    </row>
    <row r="664" spans="1:28" ht="26.25" customHeight="1" x14ac:dyDescent="0.2">
      <c r="A664" s="145"/>
      <c r="B664" s="191"/>
      <c r="C664" s="139" t="s">
        <v>479</v>
      </c>
      <c r="D664" s="139"/>
      <c r="E664" s="139"/>
      <c r="F664" s="139"/>
      <c r="G664" s="140"/>
      <c r="H664" s="23">
        <v>8</v>
      </c>
      <c r="I664" s="54">
        <v>44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2</v>
      </c>
      <c r="Z664" s="31">
        <v>2</v>
      </c>
      <c r="AA664" s="31">
        <v>0</v>
      </c>
      <c r="AB664" s="31">
        <v>44</v>
      </c>
    </row>
    <row r="665" spans="1:28" ht="36.75" customHeight="1" x14ac:dyDescent="0.2">
      <c r="A665" s="145"/>
      <c r="B665" s="138" t="s">
        <v>480</v>
      </c>
      <c r="C665" s="139"/>
      <c r="D665" s="139"/>
      <c r="E665" s="139"/>
      <c r="F665" s="139"/>
      <c r="G665" s="140"/>
      <c r="H665" s="23">
        <v>9</v>
      </c>
      <c r="I665" s="31">
        <v>269</v>
      </c>
      <c r="J665" s="31">
        <v>1</v>
      </c>
      <c r="K665" s="31">
        <v>0</v>
      </c>
      <c r="L665" s="31">
        <v>0</v>
      </c>
      <c r="M665" s="31">
        <v>0</v>
      </c>
      <c r="N665" s="31">
        <v>0</v>
      </c>
      <c r="O665" s="31">
        <v>1</v>
      </c>
      <c r="P665" s="31">
        <v>1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17</v>
      </c>
      <c r="Z665" s="31">
        <v>17</v>
      </c>
      <c r="AA665" s="31">
        <v>0</v>
      </c>
      <c r="AB665" s="31">
        <v>268</v>
      </c>
    </row>
    <row r="666" spans="1:28" ht="27.2" customHeight="1" x14ac:dyDescent="0.2">
      <c r="A666" s="145"/>
      <c r="B666" s="190" t="s">
        <v>32</v>
      </c>
      <c r="C666" s="138" t="s">
        <v>481</v>
      </c>
      <c r="D666" s="139"/>
      <c r="E666" s="139"/>
      <c r="F666" s="139"/>
      <c r="G666" s="140"/>
      <c r="H666" s="23">
        <v>10</v>
      </c>
      <c r="I666" s="31">
        <v>89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8</v>
      </c>
      <c r="Z666" s="31">
        <v>8</v>
      </c>
      <c r="AA666" s="31">
        <v>0</v>
      </c>
      <c r="AB666" s="31">
        <v>89</v>
      </c>
    </row>
    <row r="667" spans="1:28" ht="26.25" customHeight="1" x14ac:dyDescent="0.2">
      <c r="A667" s="145"/>
      <c r="B667" s="191"/>
      <c r="C667" s="139" t="s">
        <v>482</v>
      </c>
      <c r="D667" s="139"/>
      <c r="E667" s="139"/>
      <c r="F667" s="139"/>
      <c r="G667" s="140"/>
      <c r="H667" s="23">
        <v>11</v>
      </c>
      <c r="I667" s="54">
        <v>180</v>
      </c>
      <c r="J667" s="54">
        <v>1</v>
      </c>
      <c r="K667" s="54">
        <v>0</v>
      </c>
      <c r="L667" s="54">
        <v>0</v>
      </c>
      <c r="M667" s="31">
        <v>0</v>
      </c>
      <c r="N667" s="31">
        <v>0</v>
      </c>
      <c r="O667" s="31">
        <v>1</v>
      </c>
      <c r="P667" s="31">
        <v>1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9</v>
      </c>
      <c r="Z667" s="31">
        <v>9</v>
      </c>
      <c r="AA667" s="31">
        <v>0</v>
      </c>
      <c r="AB667" s="31">
        <v>179</v>
      </c>
    </row>
    <row r="668" spans="1:28" ht="27.2" customHeight="1" x14ac:dyDescent="0.2">
      <c r="A668" s="145"/>
      <c r="B668" s="138" t="s">
        <v>483</v>
      </c>
      <c r="C668" s="139"/>
      <c r="D668" s="139"/>
      <c r="E668" s="139"/>
      <c r="F668" s="139"/>
      <c r="G668" s="140"/>
      <c r="H668" s="23">
        <v>12</v>
      </c>
      <c r="I668" s="31">
        <v>2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2</v>
      </c>
    </row>
    <row r="669" spans="1:28" ht="27.75" customHeight="1" x14ac:dyDescent="0.2">
      <c r="A669" s="145"/>
      <c r="B669" s="138" t="s">
        <v>484</v>
      </c>
      <c r="C669" s="139"/>
      <c r="D669" s="139"/>
      <c r="E669" s="139"/>
      <c r="F669" s="139"/>
      <c r="G669" s="140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45"/>
      <c r="B670" s="138" t="s">
        <v>485</v>
      </c>
      <c r="C670" s="139"/>
      <c r="D670" s="139"/>
      <c r="E670" s="139"/>
      <c r="F670" s="139"/>
      <c r="G670" s="140"/>
      <c r="H670" s="23">
        <v>14</v>
      </c>
      <c r="I670" s="31">
        <v>21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21</v>
      </c>
    </row>
    <row r="671" spans="1:28" ht="27.2" customHeight="1" x14ac:dyDescent="0.2">
      <c r="A671" s="145"/>
      <c r="B671" s="190" t="s">
        <v>32</v>
      </c>
      <c r="C671" s="138" t="s">
        <v>486</v>
      </c>
      <c r="D671" s="139"/>
      <c r="E671" s="139"/>
      <c r="F671" s="139"/>
      <c r="G671" s="140"/>
      <c r="H671" s="23">
        <v>15</v>
      </c>
      <c r="I671" s="31">
        <v>18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18</v>
      </c>
    </row>
    <row r="672" spans="1:28" ht="26.25" customHeight="1" x14ac:dyDescent="0.2">
      <c r="A672" s="145"/>
      <c r="B672" s="191"/>
      <c r="C672" s="139" t="s">
        <v>487</v>
      </c>
      <c r="D672" s="139"/>
      <c r="E672" s="139"/>
      <c r="F672" s="139"/>
      <c r="G672" s="140"/>
      <c r="H672" s="23">
        <v>16</v>
      </c>
      <c r="I672" s="54">
        <v>3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3</v>
      </c>
    </row>
    <row r="673" spans="1:28" ht="25.5" customHeight="1" x14ac:dyDescent="0.2">
      <c r="A673" s="146"/>
      <c r="B673" s="138" t="s">
        <v>179</v>
      </c>
      <c r="C673" s="139"/>
      <c r="D673" s="139"/>
      <c r="E673" s="139"/>
      <c r="F673" s="139"/>
      <c r="G673" s="140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8" t="s">
        <v>443</v>
      </c>
      <c r="B674" s="139"/>
      <c r="C674" s="139"/>
      <c r="D674" s="139"/>
      <c r="E674" s="139"/>
      <c r="F674" s="139"/>
      <c r="G674" s="140"/>
      <c r="H674" s="23">
        <v>18</v>
      </c>
      <c r="I674" s="31">
        <f t="shared" ref="I674:AB674" si="12">SUM(I656:I660,I662:I673)</f>
        <v>1758</v>
      </c>
      <c r="J674" s="31">
        <f t="shared" si="12"/>
        <v>4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4</v>
      </c>
      <c r="P674" s="31">
        <f t="shared" si="12"/>
        <v>4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120</v>
      </c>
      <c r="Z674" s="31">
        <f t="shared" si="12"/>
        <v>120</v>
      </c>
      <c r="AA674" s="31">
        <f t="shared" si="12"/>
        <v>0</v>
      </c>
      <c r="AB674" s="31">
        <f t="shared" si="12"/>
        <v>1754</v>
      </c>
    </row>
    <row r="675" spans="1:28" ht="14.25" customHeight="1" x14ac:dyDescent="0.2"/>
    <row r="676" spans="1:28" ht="29.25" customHeight="1" x14ac:dyDescent="0.25">
      <c r="A676" s="177" t="s">
        <v>488</v>
      </c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</row>
    <row r="677" spans="1:28" ht="33" customHeight="1" x14ac:dyDescent="0.2">
      <c r="A677" s="178"/>
      <c r="B677" s="179"/>
      <c r="C677" s="179"/>
      <c r="D677" s="179"/>
      <c r="E677" s="179"/>
      <c r="F677" s="179"/>
      <c r="G677" s="180"/>
      <c r="H677" s="187" t="s">
        <v>15</v>
      </c>
      <c r="I677" s="168" t="s">
        <v>1148</v>
      </c>
      <c r="J677" s="168" t="s">
        <v>16</v>
      </c>
      <c r="K677" s="168" t="s">
        <v>17</v>
      </c>
      <c r="L677" s="171" t="s">
        <v>18</v>
      </c>
      <c r="M677" s="172"/>
      <c r="N677" s="173"/>
      <c r="O677" s="168" t="s">
        <v>19</v>
      </c>
      <c r="P677" s="171" t="s">
        <v>20</v>
      </c>
      <c r="Q677" s="172"/>
      <c r="R677" s="172"/>
      <c r="S677" s="173"/>
      <c r="T677" s="168" t="s">
        <v>21</v>
      </c>
      <c r="U677" s="171" t="s">
        <v>22</v>
      </c>
      <c r="V677" s="172"/>
      <c r="W677" s="172"/>
      <c r="X677" s="173"/>
      <c r="Y677" s="171" t="s">
        <v>23</v>
      </c>
      <c r="Z677" s="172"/>
      <c r="AA677" s="173"/>
      <c r="AB677" s="168" t="s">
        <v>24</v>
      </c>
    </row>
    <row r="678" spans="1:28" ht="25.5" customHeight="1" x14ac:dyDescent="0.2">
      <c r="A678" s="181"/>
      <c r="B678" s="182"/>
      <c r="C678" s="182"/>
      <c r="D678" s="182"/>
      <c r="E678" s="182"/>
      <c r="F678" s="182"/>
      <c r="G678" s="183"/>
      <c r="H678" s="188"/>
      <c r="I678" s="170"/>
      <c r="J678" s="170"/>
      <c r="K678" s="170"/>
      <c r="L678" s="168" t="s">
        <v>25</v>
      </c>
      <c r="M678" s="168" t="s">
        <v>26</v>
      </c>
      <c r="N678" s="168" t="s">
        <v>27</v>
      </c>
      <c r="O678" s="170"/>
      <c r="P678" s="168" t="s">
        <v>28</v>
      </c>
      <c r="Q678" s="168" t="s">
        <v>29</v>
      </c>
      <c r="R678" s="168" t="s">
        <v>30</v>
      </c>
      <c r="S678" s="168" t="s">
        <v>31</v>
      </c>
      <c r="T678" s="170"/>
      <c r="U678" s="171" t="s">
        <v>32</v>
      </c>
      <c r="V678" s="172"/>
      <c r="W678" s="172"/>
      <c r="X678" s="173"/>
      <c r="Y678" s="168" t="s">
        <v>33</v>
      </c>
      <c r="Z678" s="171" t="s">
        <v>34</v>
      </c>
      <c r="AA678" s="173"/>
      <c r="AB678" s="170"/>
    </row>
    <row r="679" spans="1:28" ht="78" customHeight="1" x14ac:dyDescent="0.2">
      <c r="A679" s="184"/>
      <c r="B679" s="185"/>
      <c r="C679" s="185"/>
      <c r="D679" s="185"/>
      <c r="E679" s="185"/>
      <c r="F679" s="185"/>
      <c r="G679" s="186"/>
      <c r="H679" s="18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9" t="s">
        <v>35</v>
      </c>
      <c r="V679" s="16" t="s">
        <v>36</v>
      </c>
      <c r="W679" s="16" t="s">
        <v>37</v>
      </c>
      <c r="X679" s="16" t="s">
        <v>38</v>
      </c>
      <c r="Y679" s="169"/>
      <c r="Z679" s="18" t="s">
        <v>39</v>
      </c>
      <c r="AA679" s="17" t="s">
        <v>40</v>
      </c>
      <c r="AB679" s="169"/>
    </row>
    <row r="680" spans="1:28" ht="14.25" customHeight="1" x14ac:dyDescent="0.2">
      <c r="A680" s="150" t="s">
        <v>41</v>
      </c>
      <c r="B680" s="151"/>
      <c r="C680" s="151"/>
      <c r="D680" s="151"/>
      <c r="E680" s="151"/>
      <c r="F680" s="151"/>
      <c r="G680" s="152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53" t="s">
        <v>43</v>
      </c>
      <c r="B681" s="154"/>
      <c r="C681" s="154"/>
      <c r="D681" s="154"/>
      <c r="E681" s="154"/>
      <c r="F681" s="154"/>
      <c r="G681" s="155"/>
      <c r="H681" s="23">
        <v>1</v>
      </c>
      <c r="I681" s="31">
        <v>5256</v>
      </c>
      <c r="J681" s="31">
        <v>2364</v>
      </c>
      <c r="K681" s="31">
        <v>19</v>
      </c>
      <c r="L681" s="31">
        <v>1</v>
      </c>
      <c r="M681" s="31">
        <v>17</v>
      </c>
      <c r="N681" s="31">
        <v>0</v>
      </c>
      <c r="O681" s="31">
        <v>1943</v>
      </c>
      <c r="P681" s="31">
        <v>1844</v>
      </c>
      <c r="Q681" s="31">
        <v>71</v>
      </c>
      <c r="R681" s="31">
        <v>13</v>
      </c>
      <c r="S681" s="31">
        <v>15</v>
      </c>
      <c r="T681" s="31">
        <v>2</v>
      </c>
      <c r="U681" s="31">
        <v>135</v>
      </c>
      <c r="V681" s="31">
        <v>36</v>
      </c>
      <c r="W681" s="31">
        <v>264</v>
      </c>
      <c r="X681" s="31">
        <v>82</v>
      </c>
      <c r="Y681" s="31">
        <v>1783</v>
      </c>
      <c r="Z681" s="31">
        <v>1701</v>
      </c>
      <c r="AA681" s="31">
        <v>0</v>
      </c>
      <c r="AB681" s="31">
        <v>3210</v>
      </c>
    </row>
    <row r="682" spans="1:28" ht="21" customHeight="1" x14ac:dyDescent="0.2">
      <c r="A682" s="156" t="s">
        <v>181</v>
      </c>
      <c r="B682" s="158"/>
      <c r="C682" s="165" t="s">
        <v>51</v>
      </c>
      <c r="D682" s="166"/>
      <c r="E682" s="166"/>
      <c r="F682" s="166"/>
      <c r="G682" s="167"/>
      <c r="H682" s="23">
        <v>2</v>
      </c>
      <c r="I682" s="31">
        <v>57</v>
      </c>
      <c r="J682" s="31">
        <v>43</v>
      </c>
      <c r="K682" s="31">
        <v>4</v>
      </c>
      <c r="L682" s="31">
        <v>0</v>
      </c>
      <c r="M682" s="31">
        <v>4</v>
      </c>
      <c r="N682" s="31">
        <v>0</v>
      </c>
      <c r="O682" s="31">
        <v>27</v>
      </c>
      <c r="P682" s="31">
        <v>26</v>
      </c>
      <c r="Q682" s="31">
        <v>0</v>
      </c>
      <c r="R682" s="31">
        <v>1</v>
      </c>
      <c r="S682" s="31">
        <v>0</v>
      </c>
      <c r="T682" s="31">
        <v>0</v>
      </c>
      <c r="U682" s="31">
        <v>4</v>
      </c>
      <c r="V682" s="31">
        <v>5</v>
      </c>
      <c r="W682" s="31">
        <v>10</v>
      </c>
      <c r="X682" s="31">
        <v>1</v>
      </c>
      <c r="Y682" s="31">
        <v>9</v>
      </c>
      <c r="Z682" s="31">
        <v>3</v>
      </c>
      <c r="AA682" s="31">
        <v>0</v>
      </c>
      <c r="AB682" s="31">
        <v>20</v>
      </c>
    </row>
    <row r="683" spans="1:28" ht="21" customHeight="1" x14ac:dyDescent="0.2">
      <c r="A683" s="159"/>
      <c r="B683" s="161"/>
      <c r="C683" s="165" t="s">
        <v>52</v>
      </c>
      <c r="D683" s="166"/>
      <c r="E683" s="166"/>
      <c r="F683" s="166"/>
      <c r="G683" s="167"/>
      <c r="H683" s="23">
        <v>3</v>
      </c>
      <c r="I683" s="31">
        <v>1582</v>
      </c>
      <c r="J683" s="31">
        <v>860</v>
      </c>
      <c r="K683" s="31">
        <v>10</v>
      </c>
      <c r="L683" s="31">
        <v>1</v>
      </c>
      <c r="M683" s="31">
        <v>9</v>
      </c>
      <c r="N683" s="31">
        <v>0</v>
      </c>
      <c r="O683" s="31">
        <v>623</v>
      </c>
      <c r="P683" s="31">
        <v>616</v>
      </c>
      <c r="Q683" s="31">
        <v>0</v>
      </c>
      <c r="R683" s="31">
        <v>4</v>
      </c>
      <c r="S683" s="31">
        <v>3</v>
      </c>
      <c r="T683" s="31">
        <v>0</v>
      </c>
      <c r="U683" s="31">
        <v>94</v>
      </c>
      <c r="V683" s="31">
        <v>30</v>
      </c>
      <c r="W683" s="31">
        <v>110</v>
      </c>
      <c r="X683" s="31">
        <v>47</v>
      </c>
      <c r="Y683" s="31">
        <v>563</v>
      </c>
      <c r="Z683" s="31">
        <v>508</v>
      </c>
      <c r="AA683" s="31">
        <v>0</v>
      </c>
      <c r="AB683" s="31">
        <v>894</v>
      </c>
    </row>
    <row r="684" spans="1:28" ht="21" customHeight="1" x14ac:dyDescent="0.2">
      <c r="A684" s="159"/>
      <c r="B684" s="161"/>
      <c r="C684" s="165" t="s">
        <v>182</v>
      </c>
      <c r="D684" s="166"/>
      <c r="E684" s="166"/>
      <c r="F684" s="166"/>
      <c r="G684" s="167"/>
      <c r="H684" s="23">
        <v>4</v>
      </c>
      <c r="I684" s="31">
        <v>3329</v>
      </c>
      <c r="J684" s="31">
        <v>1457</v>
      </c>
      <c r="K684" s="31">
        <v>5</v>
      </c>
      <c r="L684" s="31">
        <v>0</v>
      </c>
      <c r="M684" s="31">
        <v>4</v>
      </c>
      <c r="N684" s="31">
        <v>0</v>
      </c>
      <c r="O684" s="31">
        <v>1290</v>
      </c>
      <c r="P684" s="31">
        <v>1199</v>
      </c>
      <c r="Q684" s="31">
        <v>71</v>
      </c>
      <c r="R684" s="31">
        <v>8</v>
      </c>
      <c r="S684" s="31">
        <v>12</v>
      </c>
      <c r="T684" s="31">
        <v>0</v>
      </c>
      <c r="U684" s="31">
        <v>36</v>
      </c>
      <c r="V684" s="31">
        <v>1</v>
      </c>
      <c r="W684" s="31">
        <v>144</v>
      </c>
      <c r="X684" s="31">
        <v>34</v>
      </c>
      <c r="Y684" s="31">
        <v>1089</v>
      </c>
      <c r="Z684" s="31">
        <v>1068</v>
      </c>
      <c r="AA684" s="31">
        <v>0</v>
      </c>
      <c r="AB684" s="31">
        <v>2013</v>
      </c>
    </row>
    <row r="685" spans="1:28" ht="21" customHeight="1" x14ac:dyDescent="0.2">
      <c r="A685" s="162"/>
      <c r="B685" s="164"/>
      <c r="C685" s="165" t="s">
        <v>49</v>
      </c>
      <c r="D685" s="166"/>
      <c r="E685" s="166"/>
      <c r="F685" s="166"/>
      <c r="G685" s="167"/>
      <c r="H685" s="23">
        <v>5</v>
      </c>
      <c r="I685" s="31">
        <v>288</v>
      </c>
      <c r="J685" s="31">
        <v>4</v>
      </c>
      <c r="K685" s="31">
        <v>0</v>
      </c>
      <c r="L685" s="31">
        <v>0</v>
      </c>
      <c r="M685" s="31">
        <v>0</v>
      </c>
      <c r="N685" s="31">
        <v>0</v>
      </c>
      <c r="O685" s="31">
        <v>3</v>
      </c>
      <c r="P685" s="31">
        <v>3</v>
      </c>
      <c r="Q685" s="31">
        <v>0</v>
      </c>
      <c r="R685" s="31">
        <v>0</v>
      </c>
      <c r="S685" s="31">
        <v>0</v>
      </c>
      <c r="T685" s="31">
        <v>2</v>
      </c>
      <c r="U685" s="31">
        <v>1</v>
      </c>
      <c r="V685" s="31">
        <v>0</v>
      </c>
      <c r="W685" s="31">
        <v>0</v>
      </c>
      <c r="X685" s="31">
        <v>0</v>
      </c>
      <c r="Y685" s="31">
        <v>122</v>
      </c>
      <c r="Z685" s="31">
        <v>122</v>
      </c>
      <c r="AA685" s="31">
        <v>0</v>
      </c>
      <c r="AB685" s="31">
        <v>283</v>
      </c>
    </row>
    <row r="686" spans="1:28" ht="39" customHeight="1" x14ac:dyDescent="0.2">
      <c r="A686" s="144" t="s">
        <v>165</v>
      </c>
      <c r="B686" s="138" t="s">
        <v>489</v>
      </c>
      <c r="C686" s="139"/>
      <c r="D686" s="139"/>
      <c r="E686" s="139"/>
      <c r="F686" s="139"/>
      <c r="G686" s="140"/>
      <c r="H686" s="23">
        <v>6</v>
      </c>
      <c r="I686" s="31">
        <v>76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37</v>
      </c>
      <c r="Z686" s="31">
        <v>37</v>
      </c>
      <c r="AA686" s="31">
        <v>0</v>
      </c>
      <c r="AB686" s="31">
        <v>76</v>
      </c>
    </row>
    <row r="687" spans="1:28" ht="27.2" customHeight="1" x14ac:dyDescent="0.2">
      <c r="A687" s="145"/>
      <c r="B687" s="190" t="s">
        <v>32</v>
      </c>
      <c r="C687" s="138" t="s">
        <v>490</v>
      </c>
      <c r="D687" s="139"/>
      <c r="E687" s="139"/>
      <c r="F687" s="139"/>
      <c r="G687" s="140"/>
      <c r="H687" s="23">
        <v>7</v>
      </c>
      <c r="I687" s="31">
        <v>5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1</v>
      </c>
      <c r="Z687" s="31">
        <v>1</v>
      </c>
      <c r="AA687" s="31">
        <v>0</v>
      </c>
      <c r="AB687" s="31">
        <v>5</v>
      </c>
    </row>
    <row r="688" spans="1:28" ht="26.25" customHeight="1" x14ac:dyDescent="0.2">
      <c r="A688" s="145"/>
      <c r="B688" s="191"/>
      <c r="C688" s="139" t="s">
        <v>491</v>
      </c>
      <c r="D688" s="139"/>
      <c r="E688" s="139"/>
      <c r="F688" s="139"/>
      <c r="G688" s="140"/>
      <c r="H688" s="23">
        <v>8</v>
      </c>
      <c r="I688" s="54">
        <v>71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36</v>
      </c>
      <c r="Z688" s="31">
        <v>36</v>
      </c>
      <c r="AA688" s="31">
        <v>0</v>
      </c>
      <c r="AB688" s="31">
        <v>71</v>
      </c>
    </row>
    <row r="689" spans="1:28" ht="69.75" customHeight="1" x14ac:dyDescent="0.2">
      <c r="A689" s="145"/>
      <c r="B689" s="138" t="s">
        <v>492</v>
      </c>
      <c r="C689" s="139"/>
      <c r="D689" s="139"/>
      <c r="E689" s="139"/>
      <c r="F689" s="139"/>
      <c r="G689" s="140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45"/>
      <c r="B690" s="138" t="s">
        <v>493</v>
      </c>
      <c r="C690" s="139"/>
      <c r="D690" s="139"/>
      <c r="E690" s="139"/>
      <c r="F690" s="139"/>
      <c r="G690" s="140"/>
      <c r="H690" s="23">
        <v>10</v>
      </c>
      <c r="I690" s="31">
        <v>10</v>
      </c>
      <c r="J690" s="31">
        <v>4</v>
      </c>
      <c r="K690" s="31">
        <v>0</v>
      </c>
      <c r="L690" s="31">
        <v>0</v>
      </c>
      <c r="M690" s="31">
        <v>0</v>
      </c>
      <c r="N690" s="31">
        <v>0</v>
      </c>
      <c r="O690" s="31">
        <v>4</v>
      </c>
      <c r="P690" s="31">
        <v>4</v>
      </c>
      <c r="Q690" s="31">
        <v>0</v>
      </c>
      <c r="R690" s="31">
        <v>0</v>
      </c>
      <c r="S690" s="31">
        <v>0</v>
      </c>
      <c r="T690" s="31">
        <v>0</v>
      </c>
      <c r="U690" s="31">
        <v>1</v>
      </c>
      <c r="V690" s="31">
        <v>1</v>
      </c>
      <c r="W690" s="31">
        <v>1</v>
      </c>
      <c r="X690" s="31">
        <v>1</v>
      </c>
      <c r="Y690" s="31">
        <v>2</v>
      </c>
      <c r="Z690" s="31">
        <v>2</v>
      </c>
      <c r="AA690" s="31">
        <v>0</v>
      </c>
      <c r="AB690" s="31">
        <v>6</v>
      </c>
    </row>
    <row r="691" spans="1:28" ht="27.2" customHeight="1" x14ac:dyDescent="0.2">
      <c r="A691" s="145"/>
      <c r="B691" s="138" t="s">
        <v>494</v>
      </c>
      <c r="C691" s="139"/>
      <c r="D691" s="139"/>
      <c r="E691" s="139"/>
      <c r="F691" s="139"/>
      <c r="G691" s="140"/>
      <c r="H691" s="23">
        <v>11</v>
      </c>
      <c r="I691" s="31">
        <v>3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3</v>
      </c>
    </row>
    <row r="692" spans="1:28" ht="27.2" customHeight="1" x14ac:dyDescent="0.2">
      <c r="A692" s="145"/>
      <c r="B692" s="138" t="s">
        <v>495</v>
      </c>
      <c r="C692" s="139"/>
      <c r="D692" s="139"/>
      <c r="E692" s="139"/>
      <c r="F692" s="139"/>
      <c r="G692" s="140"/>
      <c r="H692" s="23">
        <v>12</v>
      </c>
      <c r="I692" s="31">
        <v>1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1</v>
      </c>
      <c r="Z692" s="31">
        <v>1</v>
      </c>
      <c r="AA692" s="31">
        <v>0</v>
      </c>
      <c r="AB692" s="31">
        <v>1</v>
      </c>
    </row>
    <row r="693" spans="1:28" ht="27.2" customHeight="1" x14ac:dyDescent="0.2">
      <c r="A693" s="145"/>
      <c r="B693" s="190" t="s">
        <v>32</v>
      </c>
      <c r="C693" s="138" t="s">
        <v>496</v>
      </c>
      <c r="D693" s="139"/>
      <c r="E693" s="139"/>
      <c r="F693" s="139"/>
      <c r="G693" s="140"/>
      <c r="H693" s="23">
        <v>13</v>
      </c>
      <c r="I693" s="31">
        <v>1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1</v>
      </c>
      <c r="Z693" s="31">
        <v>1</v>
      </c>
      <c r="AA693" s="31">
        <v>0</v>
      </c>
      <c r="AB693" s="31">
        <v>1</v>
      </c>
    </row>
    <row r="694" spans="1:28" ht="26.25" customHeight="1" x14ac:dyDescent="0.2">
      <c r="A694" s="145"/>
      <c r="B694" s="191"/>
      <c r="C694" s="139" t="s">
        <v>497</v>
      </c>
      <c r="D694" s="139"/>
      <c r="E694" s="139"/>
      <c r="F694" s="139"/>
      <c r="G694" s="140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45"/>
      <c r="B695" s="138" t="s">
        <v>498</v>
      </c>
      <c r="C695" s="139"/>
      <c r="D695" s="139"/>
      <c r="E695" s="139"/>
      <c r="F695" s="139"/>
      <c r="G695" s="140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45"/>
      <c r="B696" s="190" t="s">
        <v>32</v>
      </c>
      <c r="C696" s="138" t="s">
        <v>499</v>
      </c>
      <c r="D696" s="139"/>
      <c r="E696" s="139"/>
      <c r="F696" s="139"/>
      <c r="G696" s="140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6.25" customHeight="1" x14ac:dyDescent="0.2">
      <c r="A697" s="145"/>
      <c r="B697" s="191"/>
      <c r="C697" s="139" t="s">
        <v>500</v>
      </c>
      <c r="D697" s="139"/>
      <c r="E697" s="139"/>
      <c r="F697" s="139"/>
      <c r="G697" s="140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45"/>
      <c r="B698" s="138" t="s">
        <v>501</v>
      </c>
      <c r="C698" s="139"/>
      <c r="D698" s="139"/>
      <c r="E698" s="139"/>
      <c r="F698" s="139"/>
      <c r="G698" s="140"/>
      <c r="H698" s="23">
        <v>18</v>
      </c>
      <c r="I698" s="31">
        <v>0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7.2" customHeight="1" x14ac:dyDescent="0.2">
      <c r="A699" s="145"/>
      <c r="B699" s="190" t="s">
        <v>32</v>
      </c>
      <c r="C699" s="138" t="s">
        <v>502</v>
      </c>
      <c r="D699" s="139"/>
      <c r="E699" s="139"/>
      <c r="F699" s="139"/>
      <c r="G699" s="140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6.25" customHeight="1" x14ac:dyDescent="0.2">
      <c r="A700" s="145"/>
      <c r="B700" s="191"/>
      <c r="C700" s="139" t="s">
        <v>503</v>
      </c>
      <c r="D700" s="139"/>
      <c r="E700" s="139"/>
      <c r="F700" s="139"/>
      <c r="G700" s="140"/>
      <c r="H700" s="23">
        <v>20</v>
      </c>
      <c r="I700" s="54">
        <v>0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7.2" customHeight="1" x14ac:dyDescent="0.2">
      <c r="A701" s="145"/>
      <c r="B701" s="138" t="s">
        <v>504</v>
      </c>
      <c r="C701" s="139"/>
      <c r="D701" s="139"/>
      <c r="E701" s="139"/>
      <c r="F701" s="139"/>
      <c r="G701" s="140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45"/>
      <c r="B702" s="190" t="s">
        <v>32</v>
      </c>
      <c r="C702" s="138" t="s">
        <v>505</v>
      </c>
      <c r="D702" s="139"/>
      <c r="E702" s="139"/>
      <c r="F702" s="139"/>
      <c r="G702" s="140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45"/>
      <c r="B703" s="191"/>
      <c r="C703" s="139" t="s">
        <v>506</v>
      </c>
      <c r="D703" s="139"/>
      <c r="E703" s="139"/>
      <c r="F703" s="139"/>
      <c r="G703" s="140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45"/>
      <c r="B704" s="138" t="s">
        <v>507</v>
      </c>
      <c r="C704" s="139"/>
      <c r="D704" s="139"/>
      <c r="E704" s="139"/>
      <c r="F704" s="139"/>
      <c r="G704" s="140"/>
      <c r="H704" s="23">
        <v>24</v>
      </c>
      <c r="I704" s="31">
        <v>1</v>
      </c>
      <c r="J704" s="31">
        <v>1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1</v>
      </c>
    </row>
    <row r="705" spans="1:28" ht="27.2" customHeight="1" x14ac:dyDescent="0.2">
      <c r="A705" s="145"/>
      <c r="B705" s="190" t="s">
        <v>32</v>
      </c>
      <c r="C705" s="138" t="s">
        <v>508</v>
      </c>
      <c r="D705" s="139"/>
      <c r="E705" s="139"/>
      <c r="F705" s="139"/>
      <c r="G705" s="140"/>
      <c r="H705" s="23">
        <v>25</v>
      </c>
      <c r="I705" s="31">
        <v>1</v>
      </c>
      <c r="J705" s="31">
        <v>1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1</v>
      </c>
    </row>
    <row r="706" spans="1:28" ht="26.25" customHeight="1" x14ac:dyDescent="0.2">
      <c r="A706" s="145"/>
      <c r="B706" s="191"/>
      <c r="C706" s="139" t="s">
        <v>509</v>
      </c>
      <c r="D706" s="139"/>
      <c r="E706" s="139"/>
      <c r="F706" s="139"/>
      <c r="G706" s="140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45"/>
      <c r="B707" s="138" t="s">
        <v>510</v>
      </c>
      <c r="C707" s="139"/>
      <c r="D707" s="139"/>
      <c r="E707" s="139"/>
      <c r="F707" s="139"/>
      <c r="G707" s="140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45"/>
      <c r="B708" s="138" t="s">
        <v>511</v>
      </c>
      <c r="C708" s="139"/>
      <c r="D708" s="139"/>
      <c r="E708" s="139"/>
      <c r="F708" s="139"/>
      <c r="G708" s="140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45"/>
      <c r="B709" s="138" t="s">
        <v>512</v>
      </c>
      <c r="C709" s="139"/>
      <c r="D709" s="139"/>
      <c r="E709" s="139"/>
      <c r="F709" s="139"/>
      <c r="G709" s="140"/>
      <c r="H709" s="23">
        <v>29</v>
      </c>
      <c r="I709" s="31">
        <v>3687</v>
      </c>
      <c r="J709" s="31">
        <v>1529</v>
      </c>
      <c r="K709" s="31">
        <v>2</v>
      </c>
      <c r="L709" s="31">
        <v>0</v>
      </c>
      <c r="M709" s="31">
        <v>2</v>
      </c>
      <c r="N709" s="31">
        <v>0</v>
      </c>
      <c r="O709" s="31">
        <v>1325</v>
      </c>
      <c r="P709" s="31">
        <v>1249</v>
      </c>
      <c r="Q709" s="31">
        <v>69</v>
      </c>
      <c r="R709" s="31">
        <v>0</v>
      </c>
      <c r="S709" s="31">
        <v>7</v>
      </c>
      <c r="T709" s="31">
        <v>0</v>
      </c>
      <c r="U709" s="31">
        <v>16</v>
      </c>
      <c r="V709" s="31">
        <v>0</v>
      </c>
      <c r="W709" s="31">
        <v>0</v>
      </c>
      <c r="X709" s="31">
        <v>24</v>
      </c>
      <c r="Y709" s="31">
        <v>1153</v>
      </c>
      <c r="Z709" s="31">
        <v>1099</v>
      </c>
      <c r="AA709" s="31">
        <v>0</v>
      </c>
      <c r="AB709" s="31">
        <v>2306</v>
      </c>
    </row>
    <row r="710" spans="1:28" ht="30" customHeight="1" x14ac:dyDescent="0.2">
      <c r="A710" s="145"/>
      <c r="B710" s="39" t="s">
        <v>34</v>
      </c>
      <c r="C710" s="138" t="s">
        <v>513</v>
      </c>
      <c r="D710" s="139"/>
      <c r="E710" s="139"/>
      <c r="F710" s="139"/>
      <c r="G710" s="140"/>
      <c r="H710" s="23">
        <v>30</v>
      </c>
      <c r="I710" s="31">
        <v>550</v>
      </c>
      <c r="J710" s="31">
        <v>248</v>
      </c>
      <c r="K710" s="31">
        <v>1</v>
      </c>
      <c r="L710" s="31">
        <v>0</v>
      </c>
      <c r="M710" s="31">
        <v>1</v>
      </c>
      <c r="N710" s="31">
        <v>0</v>
      </c>
      <c r="O710" s="31">
        <v>180</v>
      </c>
      <c r="P710" s="31">
        <v>177</v>
      </c>
      <c r="Q710" s="31">
        <v>0</v>
      </c>
      <c r="R710" s="31">
        <v>0</v>
      </c>
      <c r="S710" s="31">
        <v>3</v>
      </c>
      <c r="T710" s="31">
        <v>0</v>
      </c>
      <c r="U710" s="31">
        <v>5</v>
      </c>
      <c r="V710" s="31">
        <v>0</v>
      </c>
      <c r="W710" s="31">
        <v>0</v>
      </c>
      <c r="X710" s="31">
        <v>5</v>
      </c>
      <c r="Y710" s="31">
        <v>216</v>
      </c>
      <c r="Z710" s="31">
        <v>187</v>
      </c>
      <c r="AA710" s="31">
        <v>0</v>
      </c>
      <c r="AB710" s="31">
        <v>340</v>
      </c>
    </row>
    <row r="711" spans="1:28" ht="45" customHeight="1" x14ac:dyDescent="0.2">
      <c r="A711" s="145"/>
      <c r="B711" s="138" t="s">
        <v>514</v>
      </c>
      <c r="C711" s="139"/>
      <c r="D711" s="139"/>
      <c r="E711" s="139"/>
      <c r="F711" s="139"/>
      <c r="G711" s="140"/>
      <c r="H711" s="23">
        <v>31</v>
      </c>
      <c r="I711" s="31">
        <v>470</v>
      </c>
      <c r="J711" s="31">
        <v>289</v>
      </c>
      <c r="K711" s="31">
        <v>1</v>
      </c>
      <c r="L711" s="31">
        <v>0</v>
      </c>
      <c r="M711" s="31">
        <v>1</v>
      </c>
      <c r="N711" s="31">
        <v>0</v>
      </c>
      <c r="O711" s="31">
        <v>203</v>
      </c>
      <c r="P711" s="31">
        <v>202</v>
      </c>
      <c r="Q711" s="31">
        <v>0</v>
      </c>
      <c r="R711" s="31">
        <v>0</v>
      </c>
      <c r="S711" s="31">
        <v>1</v>
      </c>
      <c r="T711" s="31">
        <v>0</v>
      </c>
      <c r="U711" s="31">
        <v>10</v>
      </c>
      <c r="V711" s="31">
        <v>0</v>
      </c>
      <c r="W711" s="31">
        <v>197</v>
      </c>
      <c r="X711" s="31">
        <v>1</v>
      </c>
      <c r="Y711" s="31">
        <v>289</v>
      </c>
      <c r="Z711" s="31">
        <v>261</v>
      </c>
      <c r="AA711" s="31">
        <v>0</v>
      </c>
      <c r="AB711" s="31">
        <v>238</v>
      </c>
    </row>
    <row r="712" spans="1:28" ht="44.25" customHeight="1" x14ac:dyDescent="0.2">
      <c r="A712" s="145"/>
      <c r="B712" s="138" t="s">
        <v>515</v>
      </c>
      <c r="C712" s="139"/>
      <c r="D712" s="139"/>
      <c r="E712" s="139"/>
      <c r="F712" s="139"/>
      <c r="G712" s="140"/>
      <c r="H712" s="23">
        <v>32</v>
      </c>
      <c r="I712" s="31">
        <v>32</v>
      </c>
      <c r="J712" s="31">
        <v>9</v>
      </c>
      <c r="K712" s="31">
        <v>0</v>
      </c>
      <c r="L712" s="31">
        <v>0</v>
      </c>
      <c r="M712" s="31">
        <v>0</v>
      </c>
      <c r="N712" s="31">
        <v>0</v>
      </c>
      <c r="O712" s="31">
        <v>8</v>
      </c>
      <c r="P712" s="31">
        <v>8</v>
      </c>
      <c r="Q712" s="31">
        <v>0</v>
      </c>
      <c r="R712" s="31">
        <v>0</v>
      </c>
      <c r="S712" s="31">
        <v>0</v>
      </c>
      <c r="T712" s="31">
        <v>0</v>
      </c>
      <c r="U712" s="31">
        <v>2</v>
      </c>
      <c r="V712" s="31">
        <v>0</v>
      </c>
      <c r="W712" s="31">
        <v>4</v>
      </c>
      <c r="X712" s="31">
        <v>0</v>
      </c>
      <c r="Y712" s="31">
        <v>1</v>
      </c>
      <c r="Z712" s="31">
        <v>1</v>
      </c>
      <c r="AA712" s="31">
        <v>0</v>
      </c>
      <c r="AB712" s="31">
        <v>24</v>
      </c>
    </row>
    <row r="713" spans="1:28" ht="28.5" customHeight="1" x14ac:dyDescent="0.2">
      <c r="A713" s="146"/>
      <c r="B713" s="138" t="s">
        <v>516</v>
      </c>
      <c r="C713" s="139"/>
      <c r="D713" s="139"/>
      <c r="E713" s="139"/>
      <c r="F713" s="139"/>
      <c r="G713" s="140"/>
      <c r="H713" s="23">
        <v>33</v>
      </c>
      <c r="I713" s="31">
        <v>3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3</v>
      </c>
    </row>
    <row r="714" spans="1:28" ht="14.25" customHeight="1" x14ac:dyDescent="0.2">
      <c r="A714" s="150" t="s">
        <v>41</v>
      </c>
      <c r="B714" s="151"/>
      <c r="C714" s="151"/>
      <c r="D714" s="151"/>
      <c r="E714" s="151"/>
      <c r="F714" s="151"/>
      <c r="G714" s="152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44" t="s">
        <v>165</v>
      </c>
      <c r="B715" s="138" t="s">
        <v>517</v>
      </c>
      <c r="C715" s="139"/>
      <c r="D715" s="139"/>
      <c r="E715" s="139"/>
      <c r="F715" s="139"/>
      <c r="G715" s="140"/>
      <c r="H715" s="23">
        <v>34</v>
      </c>
      <c r="I715" s="31">
        <v>584</v>
      </c>
      <c r="J715" s="31">
        <v>516</v>
      </c>
      <c r="K715" s="31">
        <v>16</v>
      </c>
      <c r="L715" s="31">
        <v>1</v>
      </c>
      <c r="M715" s="31">
        <v>14</v>
      </c>
      <c r="N715" s="31">
        <v>0</v>
      </c>
      <c r="O715" s="31">
        <v>387</v>
      </c>
      <c r="P715" s="31">
        <v>367</v>
      </c>
      <c r="Q715" s="31">
        <v>2</v>
      </c>
      <c r="R715" s="31">
        <v>13</v>
      </c>
      <c r="S715" s="31">
        <v>5</v>
      </c>
      <c r="T715" s="31">
        <v>0</v>
      </c>
      <c r="U715" s="31">
        <v>105</v>
      </c>
      <c r="V715" s="31">
        <v>35</v>
      </c>
      <c r="W715" s="31">
        <v>59</v>
      </c>
      <c r="X715" s="31">
        <v>54</v>
      </c>
      <c r="Y715" s="31">
        <v>136</v>
      </c>
      <c r="Z715" s="31">
        <v>136</v>
      </c>
      <c r="AA715" s="31">
        <v>0</v>
      </c>
      <c r="AB715" s="31">
        <v>181</v>
      </c>
    </row>
    <row r="716" spans="1:28" ht="21.75" customHeight="1" x14ac:dyDescent="0.2">
      <c r="A716" s="145"/>
      <c r="B716" s="224" t="s">
        <v>518</v>
      </c>
      <c r="C716" s="165" t="s">
        <v>324</v>
      </c>
      <c r="D716" s="166"/>
      <c r="E716" s="166"/>
      <c r="F716" s="166"/>
      <c r="G716" s="167"/>
      <c r="H716" s="23">
        <v>35</v>
      </c>
      <c r="I716" s="31">
        <v>6</v>
      </c>
      <c r="J716" s="31">
        <v>4</v>
      </c>
      <c r="K716" s="31">
        <v>0</v>
      </c>
      <c r="L716" s="31">
        <v>0</v>
      </c>
      <c r="M716" s="31">
        <v>0</v>
      </c>
      <c r="N716" s="31">
        <v>0</v>
      </c>
      <c r="O716" s="31">
        <v>4</v>
      </c>
      <c r="P716" s="31">
        <v>4</v>
      </c>
      <c r="Q716" s="31">
        <v>0</v>
      </c>
      <c r="R716" s="31">
        <v>0</v>
      </c>
      <c r="S716" s="31">
        <v>0</v>
      </c>
      <c r="T716" s="31">
        <v>0</v>
      </c>
      <c r="U716" s="31">
        <v>2</v>
      </c>
      <c r="V716" s="31">
        <v>0</v>
      </c>
      <c r="W716" s="31">
        <v>1</v>
      </c>
      <c r="X716" s="31">
        <v>0</v>
      </c>
      <c r="Y716" s="31">
        <v>3</v>
      </c>
      <c r="Z716" s="31">
        <v>3</v>
      </c>
      <c r="AA716" s="31">
        <v>0</v>
      </c>
      <c r="AB716" s="31">
        <v>2</v>
      </c>
    </row>
    <row r="717" spans="1:28" ht="27.2" customHeight="1" x14ac:dyDescent="0.2">
      <c r="A717" s="145"/>
      <c r="B717" s="225"/>
      <c r="C717" s="165" t="s">
        <v>325</v>
      </c>
      <c r="D717" s="166"/>
      <c r="E717" s="166"/>
      <c r="F717" s="166"/>
      <c r="G717" s="167"/>
      <c r="H717" s="23">
        <v>36</v>
      </c>
      <c r="I717" s="31">
        <v>537</v>
      </c>
      <c r="J717" s="31">
        <v>483</v>
      </c>
      <c r="K717" s="31">
        <v>16</v>
      </c>
      <c r="L717" s="31">
        <v>1</v>
      </c>
      <c r="M717" s="31">
        <v>14</v>
      </c>
      <c r="N717" s="31">
        <v>0</v>
      </c>
      <c r="O717" s="31">
        <v>368</v>
      </c>
      <c r="P717" s="31">
        <v>348</v>
      </c>
      <c r="Q717" s="31">
        <v>2</v>
      </c>
      <c r="R717" s="31">
        <v>13</v>
      </c>
      <c r="S717" s="31">
        <v>5</v>
      </c>
      <c r="T717" s="31">
        <v>0</v>
      </c>
      <c r="U717" s="31">
        <v>99</v>
      </c>
      <c r="V717" s="31">
        <v>32</v>
      </c>
      <c r="W717" s="31">
        <v>57</v>
      </c>
      <c r="X717" s="31">
        <v>50</v>
      </c>
      <c r="Y717" s="31">
        <v>118</v>
      </c>
      <c r="Z717" s="31">
        <v>118</v>
      </c>
      <c r="AA717" s="31">
        <v>0</v>
      </c>
      <c r="AB717" s="31">
        <v>153</v>
      </c>
    </row>
    <row r="718" spans="1:28" ht="26.25" customHeight="1" x14ac:dyDescent="0.2">
      <c r="A718" s="145"/>
      <c r="B718" s="225"/>
      <c r="C718" s="165" t="s">
        <v>519</v>
      </c>
      <c r="D718" s="166"/>
      <c r="E718" s="166"/>
      <c r="F718" s="166"/>
      <c r="G718" s="167"/>
      <c r="H718" s="23">
        <v>37</v>
      </c>
      <c r="I718" s="31">
        <v>18</v>
      </c>
      <c r="J718" s="31">
        <v>14</v>
      </c>
      <c r="K718" s="31">
        <v>1</v>
      </c>
      <c r="L718" s="31">
        <v>0</v>
      </c>
      <c r="M718" s="31">
        <v>1</v>
      </c>
      <c r="N718" s="31">
        <v>0</v>
      </c>
      <c r="O718" s="31">
        <v>6</v>
      </c>
      <c r="P718" s="31">
        <v>6</v>
      </c>
      <c r="Q718" s="31">
        <v>0</v>
      </c>
      <c r="R718" s="31">
        <v>0</v>
      </c>
      <c r="S718" s="31">
        <v>0</v>
      </c>
      <c r="T718" s="31">
        <v>0</v>
      </c>
      <c r="U718" s="31">
        <v>3</v>
      </c>
      <c r="V718" s="31">
        <v>1</v>
      </c>
      <c r="W718" s="31">
        <v>2</v>
      </c>
      <c r="X718" s="31">
        <v>0</v>
      </c>
      <c r="Y718" s="31">
        <v>1</v>
      </c>
      <c r="Z718" s="31">
        <v>1</v>
      </c>
      <c r="AA718" s="31">
        <v>0</v>
      </c>
      <c r="AB718" s="31">
        <v>11</v>
      </c>
    </row>
    <row r="719" spans="1:28" ht="22.5" customHeight="1" x14ac:dyDescent="0.2">
      <c r="A719" s="145"/>
      <c r="B719" s="225"/>
      <c r="C719" s="156" t="s">
        <v>520</v>
      </c>
      <c r="D719" s="158"/>
      <c r="E719" s="165" t="s">
        <v>521</v>
      </c>
      <c r="F719" s="166"/>
      <c r="G719" s="167"/>
      <c r="H719" s="23">
        <v>38</v>
      </c>
      <c r="I719" s="31">
        <v>447</v>
      </c>
      <c r="J719" s="31">
        <v>403</v>
      </c>
      <c r="K719" s="31">
        <v>10</v>
      </c>
      <c r="L719" s="31">
        <v>1</v>
      </c>
      <c r="M719" s="31">
        <v>8</v>
      </c>
      <c r="N719" s="31">
        <v>0</v>
      </c>
      <c r="O719" s="31">
        <v>310</v>
      </c>
      <c r="P719" s="31">
        <v>290</v>
      </c>
      <c r="Q719" s="31">
        <v>2</v>
      </c>
      <c r="R719" s="31">
        <v>13</v>
      </c>
      <c r="S719" s="31">
        <v>5</v>
      </c>
      <c r="T719" s="31">
        <v>0</v>
      </c>
      <c r="U719" s="31">
        <v>91</v>
      </c>
      <c r="V719" s="31">
        <v>26</v>
      </c>
      <c r="W719" s="31">
        <v>44</v>
      </c>
      <c r="X719" s="31">
        <v>49</v>
      </c>
      <c r="Y719" s="31">
        <v>87</v>
      </c>
      <c r="Z719" s="31">
        <v>87</v>
      </c>
      <c r="AA719" s="31">
        <v>0</v>
      </c>
      <c r="AB719" s="31">
        <v>127</v>
      </c>
    </row>
    <row r="720" spans="1:28" ht="22.5" customHeight="1" x14ac:dyDescent="0.2">
      <c r="A720" s="145"/>
      <c r="B720" s="225"/>
      <c r="C720" s="159"/>
      <c r="D720" s="161"/>
      <c r="E720" s="165" t="s">
        <v>522</v>
      </c>
      <c r="F720" s="166"/>
      <c r="G720" s="167"/>
      <c r="H720" s="23">
        <v>39</v>
      </c>
      <c r="I720" s="31">
        <v>3</v>
      </c>
      <c r="J720" s="31">
        <v>3</v>
      </c>
      <c r="K720" s="31">
        <v>0</v>
      </c>
      <c r="L720" s="31">
        <v>0</v>
      </c>
      <c r="M720" s="31">
        <v>0</v>
      </c>
      <c r="N720" s="31">
        <v>0</v>
      </c>
      <c r="O720" s="31">
        <v>3</v>
      </c>
      <c r="P720" s="31">
        <v>3</v>
      </c>
      <c r="Q720" s="31">
        <v>0</v>
      </c>
      <c r="R720" s="31">
        <v>0</v>
      </c>
      <c r="S720" s="31">
        <v>0</v>
      </c>
      <c r="T720" s="31">
        <v>0</v>
      </c>
      <c r="U720" s="31">
        <v>1</v>
      </c>
      <c r="V720" s="31">
        <v>2</v>
      </c>
      <c r="W720" s="31">
        <v>1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2.5" customHeight="1" x14ac:dyDescent="0.2">
      <c r="A721" s="145"/>
      <c r="B721" s="225"/>
      <c r="C721" s="159"/>
      <c r="D721" s="161"/>
      <c r="E721" s="165" t="s">
        <v>523</v>
      </c>
      <c r="F721" s="166"/>
      <c r="G721" s="167"/>
      <c r="H721" s="23">
        <v>40</v>
      </c>
      <c r="I721" s="31">
        <v>6</v>
      </c>
      <c r="J721" s="31">
        <v>6</v>
      </c>
      <c r="K721" s="31">
        <v>1</v>
      </c>
      <c r="L721" s="31">
        <v>0</v>
      </c>
      <c r="M721" s="31">
        <v>1</v>
      </c>
      <c r="N721" s="31">
        <v>0</v>
      </c>
      <c r="O721" s="31">
        <v>1</v>
      </c>
      <c r="P721" s="31">
        <v>1</v>
      </c>
      <c r="Q721" s="31">
        <v>0</v>
      </c>
      <c r="R721" s="31">
        <v>0</v>
      </c>
      <c r="S721" s="31">
        <v>0</v>
      </c>
      <c r="T721" s="31">
        <v>0</v>
      </c>
      <c r="U721" s="31">
        <v>1</v>
      </c>
      <c r="V721" s="31">
        <v>1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4</v>
      </c>
    </row>
    <row r="722" spans="1:28" ht="22.5" customHeight="1" x14ac:dyDescent="0.2">
      <c r="A722" s="145"/>
      <c r="B722" s="225"/>
      <c r="C722" s="162"/>
      <c r="D722" s="164"/>
      <c r="E722" s="165" t="s">
        <v>524</v>
      </c>
      <c r="F722" s="166"/>
      <c r="G722" s="167"/>
      <c r="H722" s="23">
        <v>41</v>
      </c>
      <c r="I722" s="31">
        <v>34</v>
      </c>
      <c r="J722" s="31">
        <v>27</v>
      </c>
      <c r="K722" s="31">
        <v>3</v>
      </c>
      <c r="L722" s="31">
        <v>0</v>
      </c>
      <c r="M722" s="31">
        <v>3</v>
      </c>
      <c r="N722" s="31">
        <v>0</v>
      </c>
      <c r="O722" s="31">
        <v>21</v>
      </c>
      <c r="P722" s="31">
        <v>21</v>
      </c>
      <c r="Q722" s="31">
        <v>0</v>
      </c>
      <c r="R722" s="31">
        <v>0</v>
      </c>
      <c r="S722" s="31">
        <v>0</v>
      </c>
      <c r="T722" s="31">
        <v>0</v>
      </c>
      <c r="U722" s="31">
        <v>5</v>
      </c>
      <c r="V722" s="31">
        <v>1</v>
      </c>
      <c r="W722" s="31">
        <v>1</v>
      </c>
      <c r="X722" s="31">
        <v>0</v>
      </c>
      <c r="Y722" s="31">
        <v>17</v>
      </c>
      <c r="Z722" s="31">
        <v>17</v>
      </c>
      <c r="AA722" s="31">
        <v>0</v>
      </c>
      <c r="AB722" s="31">
        <v>10</v>
      </c>
    </row>
    <row r="723" spans="1:28" ht="15.75" customHeight="1" x14ac:dyDescent="0.2">
      <c r="A723" s="145"/>
      <c r="B723" s="225"/>
      <c r="C723" s="165" t="s">
        <v>525</v>
      </c>
      <c r="D723" s="166"/>
      <c r="E723" s="166"/>
      <c r="F723" s="166"/>
      <c r="G723" s="167"/>
      <c r="H723" s="23">
        <v>42</v>
      </c>
      <c r="I723" s="31">
        <v>343</v>
      </c>
      <c r="J723" s="31">
        <v>302</v>
      </c>
      <c r="K723" s="31">
        <v>12</v>
      </c>
      <c r="L723" s="31">
        <v>0</v>
      </c>
      <c r="M723" s="31">
        <v>11</v>
      </c>
      <c r="N723" s="31">
        <v>0</v>
      </c>
      <c r="O723" s="31">
        <v>229</v>
      </c>
      <c r="P723" s="31">
        <v>216</v>
      </c>
      <c r="Q723" s="31">
        <v>1</v>
      </c>
      <c r="R723" s="31">
        <v>9</v>
      </c>
      <c r="S723" s="31">
        <v>3</v>
      </c>
      <c r="T723" s="31">
        <v>0</v>
      </c>
      <c r="U723" s="31">
        <v>64</v>
      </c>
      <c r="V723" s="31">
        <v>19</v>
      </c>
      <c r="W723" s="31">
        <v>41</v>
      </c>
      <c r="X723" s="31">
        <v>26</v>
      </c>
      <c r="Y723" s="31">
        <v>91</v>
      </c>
      <c r="Z723" s="31">
        <v>91</v>
      </c>
      <c r="AA723" s="31">
        <v>0</v>
      </c>
      <c r="AB723" s="31">
        <v>102</v>
      </c>
    </row>
    <row r="724" spans="1:28" ht="27.2" customHeight="1" x14ac:dyDescent="0.2">
      <c r="A724" s="145"/>
      <c r="B724" s="225"/>
      <c r="C724" s="224" t="s">
        <v>526</v>
      </c>
      <c r="D724" s="165" t="s">
        <v>324</v>
      </c>
      <c r="E724" s="166"/>
      <c r="F724" s="166"/>
      <c r="G724" s="167"/>
      <c r="H724" s="23">
        <v>43</v>
      </c>
      <c r="I724" s="31">
        <v>6</v>
      </c>
      <c r="J724" s="31">
        <v>4</v>
      </c>
      <c r="K724" s="31">
        <v>0</v>
      </c>
      <c r="L724" s="31">
        <v>0</v>
      </c>
      <c r="M724" s="31">
        <v>0</v>
      </c>
      <c r="N724" s="31">
        <v>0</v>
      </c>
      <c r="O724" s="31">
        <v>4</v>
      </c>
      <c r="P724" s="31">
        <v>4</v>
      </c>
      <c r="Q724" s="31">
        <v>0</v>
      </c>
      <c r="R724" s="31">
        <v>0</v>
      </c>
      <c r="S724" s="31">
        <v>0</v>
      </c>
      <c r="T724" s="31">
        <v>0</v>
      </c>
      <c r="U724" s="31">
        <v>2</v>
      </c>
      <c r="V724" s="31">
        <v>0</v>
      </c>
      <c r="W724" s="31">
        <v>1</v>
      </c>
      <c r="X724" s="31">
        <v>0</v>
      </c>
      <c r="Y724" s="31">
        <v>2</v>
      </c>
      <c r="Z724" s="31">
        <v>2</v>
      </c>
      <c r="AA724" s="31">
        <v>0</v>
      </c>
      <c r="AB724" s="31">
        <v>2</v>
      </c>
    </row>
    <row r="725" spans="1:28" ht="27.2" customHeight="1" x14ac:dyDescent="0.2">
      <c r="A725" s="145"/>
      <c r="B725" s="225"/>
      <c r="C725" s="225"/>
      <c r="D725" s="165" t="s">
        <v>325</v>
      </c>
      <c r="E725" s="166"/>
      <c r="F725" s="166"/>
      <c r="G725" s="167"/>
      <c r="H725" s="23">
        <v>44</v>
      </c>
      <c r="I725" s="31">
        <v>328</v>
      </c>
      <c r="J725" s="31">
        <v>293</v>
      </c>
      <c r="K725" s="31">
        <v>12</v>
      </c>
      <c r="L725" s="31">
        <v>0</v>
      </c>
      <c r="M725" s="31">
        <v>11</v>
      </c>
      <c r="N725" s="31">
        <v>0</v>
      </c>
      <c r="O725" s="31">
        <v>222</v>
      </c>
      <c r="P725" s="31">
        <v>209</v>
      </c>
      <c r="Q725" s="31">
        <v>1</v>
      </c>
      <c r="R725" s="31">
        <v>9</v>
      </c>
      <c r="S725" s="31">
        <v>3</v>
      </c>
      <c r="T725" s="31">
        <v>0</v>
      </c>
      <c r="U725" s="31">
        <v>61</v>
      </c>
      <c r="V725" s="31">
        <v>19</v>
      </c>
      <c r="W725" s="31">
        <v>40</v>
      </c>
      <c r="X725" s="31">
        <v>26</v>
      </c>
      <c r="Y725" s="31">
        <v>88</v>
      </c>
      <c r="Z725" s="31">
        <v>88</v>
      </c>
      <c r="AA725" s="31">
        <v>0</v>
      </c>
      <c r="AB725" s="31">
        <v>94</v>
      </c>
    </row>
    <row r="726" spans="1:28" ht="27.2" customHeight="1" x14ac:dyDescent="0.2">
      <c r="A726" s="145"/>
      <c r="B726" s="225"/>
      <c r="C726" s="225"/>
      <c r="D726" s="165" t="s">
        <v>519</v>
      </c>
      <c r="E726" s="166"/>
      <c r="F726" s="166"/>
      <c r="G726" s="167"/>
      <c r="H726" s="23">
        <v>45</v>
      </c>
      <c r="I726" s="31">
        <v>13</v>
      </c>
      <c r="J726" s="31">
        <v>11</v>
      </c>
      <c r="K726" s="31">
        <v>1</v>
      </c>
      <c r="L726" s="31">
        <v>0</v>
      </c>
      <c r="M726" s="31">
        <v>1</v>
      </c>
      <c r="N726" s="31">
        <v>0</v>
      </c>
      <c r="O726" s="31">
        <v>4</v>
      </c>
      <c r="P726" s="31">
        <v>4</v>
      </c>
      <c r="Q726" s="31">
        <v>0</v>
      </c>
      <c r="R726" s="31">
        <v>0</v>
      </c>
      <c r="S726" s="31">
        <v>0</v>
      </c>
      <c r="T726" s="31">
        <v>0</v>
      </c>
      <c r="U726" s="31">
        <v>2</v>
      </c>
      <c r="V726" s="31">
        <v>1</v>
      </c>
      <c r="W726" s="31">
        <v>1</v>
      </c>
      <c r="X726" s="31">
        <v>0</v>
      </c>
      <c r="Y726" s="31">
        <v>1</v>
      </c>
      <c r="Z726" s="31">
        <v>1</v>
      </c>
      <c r="AA726" s="31">
        <v>0</v>
      </c>
      <c r="AB726" s="31">
        <v>8</v>
      </c>
    </row>
    <row r="727" spans="1:28" ht="27.2" customHeight="1" x14ac:dyDescent="0.2">
      <c r="A727" s="145"/>
      <c r="B727" s="225"/>
      <c r="C727" s="225"/>
      <c r="D727" s="224" t="s">
        <v>527</v>
      </c>
      <c r="E727" s="165" t="s">
        <v>521</v>
      </c>
      <c r="F727" s="166"/>
      <c r="G727" s="167"/>
      <c r="H727" s="23">
        <v>46</v>
      </c>
      <c r="I727" s="31">
        <v>259</v>
      </c>
      <c r="J727" s="31">
        <v>232</v>
      </c>
      <c r="K727" s="31">
        <v>6</v>
      </c>
      <c r="L727" s="31">
        <v>0</v>
      </c>
      <c r="M727" s="31">
        <v>5</v>
      </c>
      <c r="N727" s="31">
        <v>0</v>
      </c>
      <c r="O727" s="31">
        <v>183</v>
      </c>
      <c r="P727" s="31">
        <v>170</v>
      </c>
      <c r="Q727" s="31">
        <v>1</v>
      </c>
      <c r="R727" s="31">
        <v>9</v>
      </c>
      <c r="S727" s="31">
        <v>3</v>
      </c>
      <c r="T727" s="31">
        <v>0</v>
      </c>
      <c r="U727" s="31">
        <v>53</v>
      </c>
      <c r="V727" s="31">
        <v>15</v>
      </c>
      <c r="W727" s="31">
        <v>30</v>
      </c>
      <c r="X727" s="31">
        <v>25</v>
      </c>
      <c r="Y727" s="31">
        <v>57</v>
      </c>
      <c r="Z727" s="31">
        <v>57</v>
      </c>
      <c r="AA727" s="31">
        <v>0</v>
      </c>
      <c r="AB727" s="31">
        <v>70</v>
      </c>
    </row>
    <row r="728" spans="1:28" ht="27.2" customHeight="1" x14ac:dyDescent="0.2">
      <c r="A728" s="145"/>
      <c r="B728" s="225"/>
      <c r="C728" s="225"/>
      <c r="D728" s="225"/>
      <c r="E728" s="165" t="s">
        <v>522</v>
      </c>
      <c r="F728" s="166"/>
      <c r="G728" s="167"/>
      <c r="H728" s="23">
        <v>47</v>
      </c>
      <c r="I728" s="31">
        <v>1</v>
      </c>
      <c r="J728" s="31">
        <v>1</v>
      </c>
      <c r="K728" s="31">
        <v>0</v>
      </c>
      <c r="L728" s="31">
        <v>0</v>
      </c>
      <c r="M728" s="31">
        <v>0</v>
      </c>
      <c r="N728" s="31">
        <v>0</v>
      </c>
      <c r="O728" s="31">
        <v>1</v>
      </c>
      <c r="P728" s="31">
        <v>1</v>
      </c>
      <c r="Q728" s="31">
        <v>0</v>
      </c>
      <c r="R728" s="31">
        <v>0</v>
      </c>
      <c r="S728" s="31">
        <v>0</v>
      </c>
      <c r="T728" s="31">
        <v>0</v>
      </c>
      <c r="U728" s="31">
        <v>1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27.2" customHeight="1" x14ac:dyDescent="0.2">
      <c r="A729" s="145"/>
      <c r="B729" s="225"/>
      <c r="C729" s="225"/>
      <c r="D729" s="225"/>
      <c r="E729" s="165" t="s">
        <v>523</v>
      </c>
      <c r="F729" s="166"/>
      <c r="G729" s="167"/>
      <c r="H729" s="23">
        <v>48</v>
      </c>
      <c r="I729" s="31">
        <v>6</v>
      </c>
      <c r="J729" s="31">
        <v>6</v>
      </c>
      <c r="K729" s="31">
        <v>1</v>
      </c>
      <c r="L729" s="31">
        <v>0</v>
      </c>
      <c r="M729" s="31">
        <v>1</v>
      </c>
      <c r="N729" s="31">
        <v>0</v>
      </c>
      <c r="O729" s="31">
        <v>1</v>
      </c>
      <c r="P729" s="31">
        <v>1</v>
      </c>
      <c r="Q729" s="31">
        <v>0</v>
      </c>
      <c r="R729" s="31">
        <v>0</v>
      </c>
      <c r="S729" s="31">
        <v>0</v>
      </c>
      <c r="T729" s="31">
        <v>0</v>
      </c>
      <c r="U729" s="31">
        <v>1</v>
      </c>
      <c r="V729" s="31">
        <v>1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4</v>
      </c>
    </row>
    <row r="730" spans="1:28" ht="27.2" customHeight="1" x14ac:dyDescent="0.2">
      <c r="A730" s="145"/>
      <c r="B730" s="226"/>
      <c r="C730" s="226"/>
      <c r="D730" s="226"/>
      <c r="E730" s="165" t="s">
        <v>524</v>
      </c>
      <c r="F730" s="166"/>
      <c r="G730" s="167"/>
      <c r="H730" s="23">
        <v>49</v>
      </c>
      <c r="I730" s="31">
        <v>26</v>
      </c>
      <c r="J730" s="31">
        <v>22</v>
      </c>
      <c r="K730" s="31">
        <v>3</v>
      </c>
      <c r="L730" s="31">
        <v>0</v>
      </c>
      <c r="M730" s="31">
        <v>3</v>
      </c>
      <c r="N730" s="31">
        <v>0</v>
      </c>
      <c r="O730" s="31">
        <v>16</v>
      </c>
      <c r="P730" s="31">
        <v>16</v>
      </c>
      <c r="Q730" s="31">
        <v>0</v>
      </c>
      <c r="R730" s="31">
        <v>0</v>
      </c>
      <c r="S730" s="31">
        <v>0</v>
      </c>
      <c r="T730" s="31">
        <v>0</v>
      </c>
      <c r="U730" s="31">
        <v>5</v>
      </c>
      <c r="V730" s="31">
        <v>1</v>
      </c>
      <c r="W730" s="31">
        <v>1</v>
      </c>
      <c r="X730" s="31">
        <v>0</v>
      </c>
      <c r="Y730" s="31">
        <v>13</v>
      </c>
      <c r="Z730" s="31">
        <v>13</v>
      </c>
      <c r="AA730" s="31">
        <v>0</v>
      </c>
      <c r="AB730" s="31">
        <v>7</v>
      </c>
    </row>
    <row r="731" spans="1:28" ht="27.2" customHeight="1" x14ac:dyDescent="0.2">
      <c r="A731" s="145"/>
      <c r="B731" s="138" t="s">
        <v>528</v>
      </c>
      <c r="C731" s="139"/>
      <c r="D731" s="139"/>
      <c r="E731" s="139"/>
      <c r="F731" s="139"/>
      <c r="G731" s="140"/>
      <c r="H731" s="23">
        <v>50</v>
      </c>
      <c r="I731" s="31">
        <v>281</v>
      </c>
      <c r="J731" s="31">
        <v>3</v>
      </c>
      <c r="K731" s="31">
        <v>0</v>
      </c>
      <c r="L731" s="31">
        <v>0</v>
      </c>
      <c r="M731" s="31">
        <v>0</v>
      </c>
      <c r="N731" s="31">
        <v>0</v>
      </c>
      <c r="O731" s="31">
        <v>3</v>
      </c>
      <c r="P731" s="31">
        <v>3</v>
      </c>
      <c r="Q731" s="31">
        <v>0</v>
      </c>
      <c r="R731" s="31">
        <v>0</v>
      </c>
      <c r="S731" s="31">
        <v>0</v>
      </c>
      <c r="T731" s="31">
        <v>2</v>
      </c>
      <c r="U731" s="31">
        <v>1</v>
      </c>
      <c r="V731" s="31">
        <v>0</v>
      </c>
      <c r="W731" s="31">
        <v>0</v>
      </c>
      <c r="X731" s="31">
        <v>0</v>
      </c>
      <c r="Y731" s="31">
        <v>120</v>
      </c>
      <c r="Z731" s="31">
        <v>120</v>
      </c>
      <c r="AA731" s="31">
        <v>0</v>
      </c>
      <c r="AB731" s="31">
        <v>276</v>
      </c>
    </row>
    <row r="732" spans="1:28" ht="27" customHeight="1" x14ac:dyDescent="0.2">
      <c r="A732" s="145"/>
      <c r="B732" s="138" t="s">
        <v>529</v>
      </c>
      <c r="C732" s="139"/>
      <c r="D732" s="139"/>
      <c r="E732" s="139"/>
      <c r="F732" s="139"/>
      <c r="G732" s="140"/>
      <c r="H732" s="23">
        <v>51</v>
      </c>
      <c r="I732" s="31">
        <v>88</v>
      </c>
      <c r="J732" s="31">
        <v>13</v>
      </c>
      <c r="K732" s="31">
        <v>0</v>
      </c>
      <c r="L732" s="31">
        <v>0</v>
      </c>
      <c r="M732" s="31">
        <v>0</v>
      </c>
      <c r="N732" s="31">
        <v>0</v>
      </c>
      <c r="O732" s="31">
        <v>13</v>
      </c>
      <c r="P732" s="31">
        <v>11</v>
      </c>
      <c r="Q732" s="31">
        <v>0</v>
      </c>
      <c r="R732" s="31">
        <v>0</v>
      </c>
      <c r="S732" s="31">
        <v>2</v>
      </c>
      <c r="T732" s="31">
        <v>0</v>
      </c>
      <c r="U732" s="31">
        <v>0</v>
      </c>
      <c r="V732" s="31">
        <v>0</v>
      </c>
      <c r="W732" s="31">
        <v>3</v>
      </c>
      <c r="X732" s="31">
        <v>2</v>
      </c>
      <c r="Y732" s="31">
        <v>40</v>
      </c>
      <c r="Z732" s="31">
        <v>40</v>
      </c>
      <c r="AA732" s="31">
        <v>0</v>
      </c>
      <c r="AB732" s="31">
        <v>75</v>
      </c>
    </row>
    <row r="733" spans="1:28" ht="44.25" customHeight="1" x14ac:dyDescent="0.2">
      <c r="A733" s="145"/>
      <c r="B733" s="138" t="s">
        <v>530</v>
      </c>
      <c r="C733" s="139"/>
      <c r="D733" s="139"/>
      <c r="E733" s="139"/>
      <c r="F733" s="139"/>
      <c r="G733" s="140"/>
      <c r="H733" s="23">
        <v>52</v>
      </c>
      <c r="I733" s="31">
        <v>20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4</v>
      </c>
      <c r="Z733" s="31">
        <v>4</v>
      </c>
      <c r="AA733" s="31">
        <v>0</v>
      </c>
      <c r="AB733" s="31">
        <v>20</v>
      </c>
    </row>
    <row r="734" spans="1:28" ht="27.2" customHeight="1" x14ac:dyDescent="0.2">
      <c r="A734" s="146"/>
      <c r="B734" s="138" t="s">
        <v>179</v>
      </c>
      <c r="C734" s="139"/>
      <c r="D734" s="139"/>
      <c r="E734" s="139"/>
      <c r="F734" s="139"/>
      <c r="G734" s="140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8" t="s">
        <v>443</v>
      </c>
      <c r="B735" s="139"/>
      <c r="C735" s="139"/>
      <c r="D735" s="139"/>
      <c r="E735" s="139"/>
      <c r="F735" s="139"/>
      <c r="G735" s="140"/>
      <c r="H735" s="23">
        <v>54</v>
      </c>
      <c r="I735" s="31">
        <f t="shared" ref="I735:AB735" si="13">SUM(I715:I734,I681:I713)</f>
        <v>18429</v>
      </c>
      <c r="J735" s="31">
        <f t="shared" si="13"/>
        <v>9152</v>
      </c>
      <c r="K735" s="31">
        <f t="shared" si="13"/>
        <v>124</v>
      </c>
      <c r="L735" s="31">
        <f t="shared" si="13"/>
        <v>5</v>
      </c>
      <c r="M735" s="31">
        <f t="shared" si="13"/>
        <v>111</v>
      </c>
      <c r="N735" s="31">
        <f t="shared" si="13"/>
        <v>0</v>
      </c>
      <c r="O735" s="31">
        <f t="shared" si="13"/>
        <v>7382</v>
      </c>
      <c r="P735" s="31">
        <f t="shared" si="13"/>
        <v>7003</v>
      </c>
      <c r="Q735" s="31">
        <f t="shared" si="13"/>
        <v>220</v>
      </c>
      <c r="R735" s="31">
        <f t="shared" si="13"/>
        <v>92</v>
      </c>
      <c r="S735" s="31">
        <f t="shared" si="13"/>
        <v>67</v>
      </c>
      <c r="T735" s="31">
        <f t="shared" si="13"/>
        <v>6</v>
      </c>
      <c r="U735" s="31">
        <f t="shared" si="13"/>
        <v>801</v>
      </c>
      <c r="V735" s="31">
        <f t="shared" si="13"/>
        <v>227</v>
      </c>
      <c r="W735" s="31">
        <f t="shared" si="13"/>
        <v>1012</v>
      </c>
      <c r="X735" s="31">
        <f t="shared" si="13"/>
        <v>427</v>
      </c>
      <c r="Y735" s="31">
        <f t="shared" si="13"/>
        <v>6081</v>
      </c>
      <c r="Z735" s="31">
        <f t="shared" si="13"/>
        <v>5806</v>
      </c>
      <c r="AA735" s="31">
        <f t="shared" si="13"/>
        <v>0</v>
      </c>
      <c r="AB735" s="31">
        <f t="shared" si="13"/>
        <v>10642</v>
      </c>
    </row>
    <row r="736" spans="1:28" ht="19.5" customHeight="1" x14ac:dyDescent="0.2"/>
    <row r="737" spans="1:29" ht="29.25" customHeight="1" x14ac:dyDescent="0.25">
      <c r="A737" s="177" t="s">
        <v>531</v>
      </c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</row>
    <row r="738" spans="1:29" ht="28.5" customHeight="1" x14ac:dyDescent="0.2">
      <c r="A738" s="178"/>
      <c r="B738" s="179"/>
      <c r="C738" s="179"/>
      <c r="D738" s="179"/>
      <c r="E738" s="179"/>
      <c r="F738" s="179"/>
      <c r="G738" s="180"/>
      <c r="H738" s="187" t="s">
        <v>15</v>
      </c>
      <c r="I738" s="168" t="s">
        <v>1148</v>
      </c>
      <c r="J738" s="168" t="s">
        <v>16</v>
      </c>
      <c r="K738" s="168" t="s">
        <v>17</v>
      </c>
      <c r="L738" s="171" t="s">
        <v>18</v>
      </c>
      <c r="M738" s="172"/>
      <c r="N738" s="173"/>
      <c r="O738" s="168" t="s">
        <v>19</v>
      </c>
      <c r="P738" s="171" t="s">
        <v>20</v>
      </c>
      <c r="Q738" s="172"/>
      <c r="R738" s="172"/>
      <c r="S738" s="173"/>
      <c r="T738" s="168" t="s">
        <v>21</v>
      </c>
      <c r="U738" s="171" t="s">
        <v>22</v>
      </c>
      <c r="V738" s="172"/>
      <c r="W738" s="172"/>
      <c r="X738" s="173"/>
      <c r="Y738" s="171" t="s">
        <v>23</v>
      </c>
      <c r="Z738" s="172"/>
      <c r="AA738" s="173"/>
      <c r="AB738" s="168" t="s">
        <v>24</v>
      </c>
    </row>
    <row r="739" spans="1:29" ht="25.5" customHeight="1" x14ac:dyDescent="0.2">
      <c r="A739" s="181"/>
      <c r="B739" s="182"/>
      <c r="C739" s="182"/>
      <c r="D739" s="182"/>
      <c r="E739" s="182"/>
      <c r="F739" s="182"/>
      <c r="G739" s="183"/>
      <c r="H739" s="188"/>
      <c r="I739" s="170"/>
      <c r="J739" s="170"/>
      <c r="K739" s="170"/>
      <c r="L739" s="168" t="s">
        <v>25</v>
      </c>
      <c r="M739" s="168" t="s">
        <v>26</v>
      </c>
      <c r="N739" s="168" t="s">
        <v>27</v>
      </c>
      <c r="O739" s="170"/>
      <c r="P739" s="168" t="s">
        <v>28</v>
      </c>
      <c r="Q739" s="168" t="s">
        <v>29</v>
      </c>
      <c r="R739" s="168" t="s">
        <v>30</v>
      </c>
      <c r="S739" s="168" t="s">
        <v>31</v>
      </c>
      <c r="T739" s="170"/>
      <c r="U739" s="171" t="s">
        <v>32</v>
      </c>
      <c r="V739" s="172"/>
      <c r="W739" s="172"/>
      <c r="X739" s="173"/>
      <c r="Y739" s="168" t="s">
        <v>33</v>
      </c>
      <c r="Z739" s="171" t="s">
        <v>34</v>
      </c>
      <c r="AA739" s="173"/>
      <c r="AB739" s="170"/>
    </row>
    <row r="740" spans="1:29" ht="78" customHeight="1" x14ac:dyDescent="0.2">
      <c r="A740" s="184"/>
      <c r="B740" s="185"/>
      <c r="C740" s="185"/>
      <c r="D740" s="185"/>
      <c r="E740" s="185"/>
      <c r="F740" s="185"/>
      <c r="G740" s="186"/>
      <c r="H740" s="18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9" t="s">
        <v>35</v>
      </c>
      <c r="V740" s="16" t="s">
        <v>36</v>
      </c>
      <c r="W740" s="16" t="s">
        <v>37</v>
      </c>
      <c r="X740" s="16" t="s">
        <v>38</v>
      </c>
      <c r="Y740" s="169"/>
      <c r="Z740" s="18" t="s">
        <v>39</v>
      </c>
      <c r="AA740" s="17" t="s">
        <v>40</v>
      </c>
      <c r="AB740" s="169"/>
    </row>
    <row r="741" spans="1:29" ht="14.25" customHeight="1" x14ac:dyDescent="0.25">
      <c r="A741" s="150" t="s">
        <v>41</v>
      </c>
      <c r="B741" s="151"/>
      <c r="C741" s="151"/>
      <c r="D741" s="151"/>
      <c r="E741" s="151"/>
      <c r="F741" s="151"/>
      <c r="G741" s="152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53" t="s">
        <v>43</v>
      </c>
      <c r="B742" s="154"/>
      <c r="C742" s="154"/>
      <c r="D742" s="154"/>
      <c r="E742" s="154"/>
      <c r="F742" s="154"/>
      <c r="G742" s="155"/>
      <c r="H742" s="23">
        <v>1</v>
      </c>
      <c r="I742" s="31">
        <v>4179</v>
      </c>
      <c r="J742" s="31">
        <v>3522</v>
      </c>
      <c r="K742" s="31">
        <v>15</v>
      </c>
      <c r="L742" s="31">
        <v>0</v>
      </c>
      <c r="M742" s="31">
        <v>13</v>
      </c>
      <c r="N742" s="31">
        <v>0</v>
      </c>
      <c r="O742" s="31">
        <v>3101</v>
      </c>
      <c r="P742" s="31">
        <v>3032</v>
      </c>
      <c r="Q742" s="31">
        <v>2</v>
      </c>
      <c r="R742" s="31">
        <v>62</v>
      </c>
      <c r="S742" s="31">
        <v>5</v>
      </c>
      <c r="T742" s="31">
        <v>0</v>
      </c>
      <c r="U742" s="31">
        <v>173</v>
      </c>
      <c r="V742" s="31">
        <v>99</v>
      </c>
      <c r="W742" s="31">
        <v>154</v>
      </c>
      <c r="X742" s="31">
        <v>58</v>
      </c>
      <c r="Y742" s="31">
        <v>560</v>
      </c>
      <c r="Z742" s="31">
        <v>559</v>
      </c>
      <c r="AA742" s="31">
        <v>0</v>
      </c>
      <c r="AB742" s="31">
        <v>1062</v>
      </c>
      <c r="AC742" s="63"/>
    </row>
    <row r="743" spans="1:29" ht="20.25" customHeight="1" x14ac:dyDescent="0.25">
      <c r="A743" s="156" t="s">
        <v>181</v>
      </c>
      <c r="B743" s="158"/>
      <c r="C743" s="165" t="s">
        <v>51</v>
      </c>
      <c r="D743" s="166"/>
      <c r="E743" s="166"/>
      <c r="F743" s="166"/>
      <c r="G743" s="167"/>
      <c r="H743" s="23">
        <v>2</v>
      </c>
      <c r="I743" s="31">
        <v>78</v>
      </c>
      <c r="J743" s="31">
        <v>58</v>
      </c>
      <c r="K743" s="31">
        <v>1</v>
      </c>
      <c r="L743" s="31">
        <v>0</v>
      </c>
      <c r="M743" s="31">
        <v>1</v>
      </c>
      <c r="N743" s="31">
        <v>0</v>
      </c>
      <c r="O743" s="31">
        <v>46</v>
      </c>
      <c r="P743" s="31">
        <v>45</v>
      </c>
      <c r="Q743" s="31">
        <v>0</v>
      </c>
      <c r="R743" s="31">
        <v>0</v>
      </c>
      <c r="S743" s="31">
        <v>1</v>
      </c>
      <c r="T743" s="31">
        <v>0</v>
      </c>
      <c r="U743" s="31">
        <v>5</v>
      </c>
      <c r="V743" s="31">
        <v>0</v>
      </c>
      <c r="W743" s="31">
        <v>3</v>
      </c>
      <c r="X743" s="31">
        <v>4</v>
      </c>
      <c r="Y743" s="31">
        <v>5</v>
      </c>
      <c r="Z743" s="31">
        <v>5</v>
      </c>
      <c r="AA743" s="31">
        <v>0</v>
      </c>
      <c r="AB743" s="31">
        <v>31</v>
      </c>
      <c r="AC743" s="63"/>
    </row>
    <row r="744" spans="1:29" ht="20.25" customHeight="1" x14ac:dyDescent="0.25">
      <c r="A744" s="159"/>
      <c r="B744" s="161"/>
      <c r="C744" s="165" t="s">
        <v>52</v>
      </c>
      <c r="D744" s="166"/>
      <c r="E744" s="166"/>
      <c r="F744" s="166"/>
      <c r="G744" s="167"/>
      <c r="H744" s="23">
        <v>3</v>
      </c>
      <c r="I744" s="31">
        <v>3116</v>
      </c>
      <c r="J744" s="31">
        <v>2870</v>
      </c>
      <c r="K744" s="31">
        <v>6</v>
      </c>
      <c r="L744" s="31">
        <v>0</v>
      </c>
      <c r="M744" s="31">
        <v>4</v>
      </c>
      <c r="N744" s="31">
        <v>0</v>
      </c>
      <c r="O744" s="31">
        <v>2534</v>
      </c>
      <c r="P744" s="31">
        <v>2514</v>
      </c>
      <c r="Q744" s="31">
        <v>0</v>
      </c>
      <c r="R744" s="31">
        <v>20</v>
      </c>
      <c r="S744" s="31">
        <v>0</v>
      </c>
      <c r="T744" s="31">
        <v>0</v>
      </c>
      <c r="U744" s="31">
        <v>102</v>
      </c>
      <c r="V744" s="31">
        <v>44</v>
      </c>
      <c r="W744" s="31">
        <v>44</v>
      </c>
      <c r="X744" s="31">
        <v>27</v>
      </c>
      <c r="Y744" s="31">
        <v>62</v>
      </c>
      <c r="Z744" s="31">
        <v>62</v>
      </c>
      <c r="AA744" s="31">
        <v>0</v>
      </c>
      <c r="AB744" s="31">
        <v>576</v>
      </c>
      <c r="AC744" s="63"/>
    </row>
    <row r="745" spans="1:29" ht="20.25" customHeight="1" x14ac:dyDescent="0.25">
      <c r="A745" s="159"/>
      <c r="B745" s="161"/>
      <c r="C745" s="165" t="s">
        <v>182</v>
      </c>
      <c r="D745" s="166"/>
      <c r="E745" s="166"/>
      <c r="F745" s="166"/>
      <c r="G745" s="167"/>
      <c r="H745" s="23">
        <v>4</v>
      </c>
      <c r="I745" s="31">
        <v>549</v>
      </c>
      <c r="J745" s="31">
        <v>256</v>
      </c>
      <c r="K745" s="31">
        <v>0</v>
      </c>
      <c r="L745" s="31">
        <v>0</v>
      </c>
      <c r="M745" s="31">
        <v>0</v>
      </c>
      <c r="N745" s="31">
        <v>0</v>
      </c>
      <c r="O745" s="31">
        <v>209</v>
      </c>
      <c r="P745" s="31">
        <v>190</v>
      </c>
      <c r="Q745" s="31">
        <v>0</v>
      </c>
      <c r="R745" s="31">
        <v>16</v>
      </c>
      <c r="S745" s="31">
        <v>3</v>
      </c>
      <c r="T745" s="31">
        <v>0</v>
      </c>
      <c r="U745" s="31">
        <v>24</v>
      </c>
      <c r="V745" s="31">
        <v>55</v>
      </c>
      <c r="W745" s="31">
        <v>23</v>
      </c>
      <c r="X745" s="31">
        <v>16</v>
      </c>
      <c r="Y745" s="31">
        <v>200</v>
      </c>
      <c r="Z745" s="31">
        <v>200</v>
      </c>
      <c r="AA745" s="31">
        <v>0</v>
      </c>
      <c r="AB745" s="31">
        <v>340</v>
      </c>
      <c r="AC745" s="63"/>
    </row>
    <row r="746" spans="1:29" ht="20.25" customHeight="1" x14ac:dyDescent="0.25">
      <c r="A746" s="162"/>
      <c r="B746" s="164"/>
      <c r="C746" s="165" t="s">
        <v>49</v>
      </c>
      <c r="D746" s="166"/>
      <c r="E746" s="166"/>
      <c r="F746" s="166"/>
      <c r="G746" s="167"/>
      <c r="H746" s="23">
        <v>5</v>
      </c>
      <c r="I746" s="31">
        <v>436</v>
      </c>
      <c r="J746" s="31">
        <v>338</v>
      </c>
      <c r="K746" s="31">
        <v>8</v>
      </c>
      <c r="L746" s="31">
        <v>0</v>
      </c>
      <c r="M746" s="31">
        <v>8</v>
      </c>
      <c r="N746" s="31">
        <v>0</v>
      </c>
      <c r="O746" s="31">
        <v>312</v>
      </c>
      <c r="P746" s="31">
        <v>283</v>
      </c>
      <c r="Q746" s="31">
        <v>2</v>
      </c>
      <c r="R746" s="31">
        <v>26</v>
      </c>
      <c r="S746" s="31">
        <v>1</v>
      </c>
      <c r="T746" s="31">
        <v>0</v>
      </c>
      <c r="U746" s="31">
        <v>42</v>
      </c>
      <c r="V746" s="31">
        <v>0</v>
      </c>
      <c r="W746" s="31">
        <v>84</v>
      </c>
      <c r="X746" s="31">
        <v>11</v>
      </c>
      <c r="Y746" s="31">
        <v>293</v>
      </c>
      <c r="Z746" s="31">
        <v>292</v>
      </c>
      <c r="AA746" s="31">
        <v>0</v>
      </c>
      <c r="AB746" s="31">
        <v>115</v>
      </c>
      <c r="AC746" s="63"/>
    </row>
    <row r="747" spans="1:29" ht="27.2" customHeight="1" x14ac:dyDescent="0.25">
      <c r="A747" s="144" t="s">
        <v>165</v>
      </c>
      <c r="B747" s="138" t="s">
        <v>532</v>
      </c>
      <c r="C747" s="139"/>
      <c r="D747" s="139"/>
      <c r="E747" s="139"/>
      <c r="F747" s="139"/>
      <c r="G747" s="140"/>
      <c r="H747" s="23">
        <v>6</v>
      </c>
      <c r="I747" s="31">
        <v>0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0</v>
      </c>
      <c r="AC747" s="63"/>
    </row>
    <row r="748" spans="1:29" ht="21.75" customHeight="1" x14ac:dyDescent="0.25">
      <c r="A748" s="145"/>
      <c r="B748" s="138" t="s">
        <v>533</v>
      </c>
      <c r="C748" s="139"/>
      <c r="D748" s="139"/>
      <c r="E748" s="139"/>
      <c r="F748" s="139"/>
      <c r="G748" s="140"/>
      <c r="H748" s="23">
        <v>7</v>
      </c>
      <c r="I748" s="31">
        <v>0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  <c r="AC748" s="63"/>
    </row>
    <row r="749" spans="1:29" ht="32.25" customHeight="1" x14ac:dyDescent="0.25">
      <c r="A749" s="145"/>
      <c r="B749" s="138" t="s">
        <v>534</v>
      </c>
      <c r="C749" s="139"/>
      <c r="D749" s="139"/>
      <c r="E749" s="139"/>
      <c r="F749" s="139"/>
      <c r="G749" s="140"/>
      <c r="H749" s="23">
        <v>8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2</v>
      </c>
      <c r="Z749" s="31">
        <v>2</v>
      </c>
      <c r="AA749" s="31">
        <v>0</v>
      </c>
      <c r="AB749" s="31">
        <v>0</v>
      </c>
      <c r="AC749" s="63"/>
    </row>
    <row r="750" spans="1:29" ht="27.2" customHeight="1" x14ac:dyDescent="0.25">
      <c r="A750" s="145"/>
      <c r="B750" s="138" t="s">
        <v>535</v>
      </c>
      <c r="C750" s="139"/>
      <c r="D750" s="139"/>
      <c r="E750" s="139"/>
      <c r="F750" s="139"/>
      <c r="G750" s="140"/>
      <c r="H750" s="23">
        <v>9</v>
      </c>
      <c r="I750" s="31">
        <v>854</v>
      </c>
      <c r="J750" s="31">
        <v>642</v>
      </c>
      <c r="K750" s="31">
        <v>9</v>
      </c>
      <c r="L750" s="31">
        <v>0</v>
      </c>
      <c r="M750" s="31">
        <v>8</v>
      </c>
      <c r="N750" s="31">
        <v>0</v>
      </c>
      <c r="O750" s="31">
        <v>533</v>
      </c>
      <c r="P750" s="31">
        <v>491</v>
      </c>
      <c r="Q750" s="31">
        <v>2</v>
      </c>
      <c r="R750" s="31">
        <v>39</v>
      </c>
      <c r="S750" s="31">
        <v>1</v>
      </c>
      <c r="T750" s="31">
        <v>0</v>
      </c>
      <c r="U750" s="31">
        <v>83</v>
      </c>
      <c r="V750" s="31">
        <v>48</v>
      </c>
      <c r="W750" s="31">
        <v>144</v>
      </c>
      <c r="X750" s="62">
        <v>26</v>
      </c>
      <c r="Y750" s="31">
        <v>402</v>
      </c>
      <c r="Z750" s="31">
        <v>401</v>
      </c>
      <c r="AA750" s="31">
        <v>0</v>
      </c>
      <c r="AB750" s="31">
        <v>311</v>
      </c>
      <c r="AC750" s="63"/>
    </row>
    <row r="751" spans="1:29" ht="27.2" customHeight="1" x14ac:dyDescent="0.2">
      <c r="A751" s="145"/>
      <c r="B751" s="190" t="s">
        <v>32</v>
      </c>
      <c r="C751" s="138" t="s">
        <v>536</v>
      </c>
      <c r="D751" s="139"/>
      <c r="E751" s="139"/>
      <c r="F751" s="139"/>
      <c r="G751" s="140"/>
      <c r="H751" s="23">
        <v>10</v>
      </c>
      <c r="I751" s="31">
        <v>431</v>
      </c>
      <c r="J751" s="31">
        <v>337</v>
      </c>
      <c r="K751" s="31">
        <v>8</v>
      </c>
      <c r="L751" s="31">
        <v>0</v>
      </c>
      <c r="M751" s="31">
        <v>8</v>
      </c>
      <c r="N751" s="31">
        <v>0</v>
      </c>
      <c r="O751" s="31">
        <v>312</v>
      </c>
      <c r="P751" s="31">
        <v>283</v>
      </c>
      <c r="Q751" s="31">
        <v>2</v>
      </c>
      <c r="R751" s="31">
        <v>26</v>
      </c>
      <c r="S751" s="31">
        <v>1</v>
      </c>
      <c r="T751" s="31">
        <v>0</v>
      </c>
      <c r="U751" s="31">
        <v>42</v>
      </c>
      <c r="V751" s="31">
        <v>0</v>
      </c>
      <c r="W751" s="31">
        <v>84</v>
      </c>
      <c r="X751" s="31">
        <v>11</v>
      </c>
      <c r="Y751" s="31">
        <v>291</v>
      </c>
      <c r="Z751" s="31">
        <v>290</v>
      </c>
      <c r="AA751" s="31">
        <v>0</v>
      </c>
      <c r="AB751" s="31">
        <v>110</v>
      </c>
    </row>
    <row r="752" spans="1:29" ht="26.25" customHeight="1" x14ac:dyDescent="0.2">
      <c r="A752" s="145"/>
      <c r="B752" s="191"/>
      <c r="C752" s="139" t="s">
        <v>537</v>
      </c>
      <c r="D752" s="139"/>
      <c r="E752" s="139"/>
      <c r="F752" s="139"/>
      <c r="G752" s="140"/>
      <c r="H752" s="23">
        <v>11</v>
      </c>
      <c r="I752" s="54">
        <v>423</v>
      </c>
      <c r="J752" s="54">
        <v>305</v>
      </c>
      <c r="K752" s="54">
        <v>1</v>
      </c>
      <c r="L752" s="54">
        <v>0</v>
      </c>
      <c r="M752" s="31">
        <v>0</v>
      </c>
      <c r="N752" s="31">
        <v>0</v>
      </c>
      <c r="O752" s="31">
        <v>221</v>
      </c>
      <c r="P752" s="31">
        <v>208</v>
      </c>
      <c r="Q752" s="31">
        <v>0</v>
      </c>
      <c r="R752" s="31">
        <v>13</v>
      </c>
      <c r="S752" s="31">
        <v>0</v>
      </c>
      <c r="T752" s="31">
        <v>0</v>
      </c>
      <c r="U752" s="31">
        <v>41</v>
      </c>
      <c r="V752" s="31">
        <v>48</v>
      </c>
      <c r="W752" s="31">
        <v>60</v>
      </c>
      <c r="X752" s="31">
        <v>15</v>
      </c>
      <c r="Y752" s="31">
        <v>111</v>
      </c>
      <c r="Z752" s="31">
        <v>111</v>
      </c>
      <c r="AA752" s="31">
        <v>0</v>
      </c>
      <c r="AB752" s="31">
        <v>201</v>
      </c>
    </row>
    <row r="753" spans="1:29" ht="27.2" customHeight="1" x14ac:dyDescent="0.25">
      <c r="A753" s="145"/>
      <c r="B753" s="138" t="s">
        <v>538</v>
      </c>
      <c r="C753" s="139"/>
      <c r="D753" s="139"/>
      <c r="E753" s="139"/>
      <c r="F753" s="139"/>
      <c r="G753" s="140"/>
      <c r="H753" s="23">
        <v>12</v>
      </c>
      <c r="I753" s="31">
        <v>192</v>
      </c>
      <c r="J753" s="31">
        <v>107</v>
      </c>
      <c r="K753" s="31">
        <v>0</v>
      </c>
      <c r="L753" s="31">
        <v>0</v>
      </c>
      <c r="M753" s="31">
        <v>0</v>
      </c>
      <c r="N753" s="31">
        <v>0</v>
      </c>
      <c r="O753" s="31">
        <v>99</v>
      </c>
      <c r="P753" s="31">
        <v>77</v>
      </c>
      <c r="Q753" s="31">
        <v>0</v>
      </c>
      <c r="R753" s="31">
        <v>20</v>
      </c>
      <c r="S753" s="31">
        <v>2</v>
      </c>
      <c r="T753" s="31">
        <v>0</v>
      </c>
      <c r="U753" s="31">
        <v>37</v>
      </c>
      <c r="V753" s="31">
        <v>0</v>
      </c>
      <c r="W753" s="31">
        <v>4</v>
      </c>
      <c r="X753" s="62">
        <v>26</v>
      </c>
      <c r="Y753" s="31">
        <v>38</v>
      </c>
      <c r="Z753" s="31">
        <v>38</v>
      </c>
      <c r="AA753" s="31">
        <v>0</v>
      </c>
      <c r="AB753" s="31">
        <v>93</v>
      </c>
      <c r="AC753" s="63"/>
    </row>
    <row r="754" spans="1:29" ht="27.75" customHeight="1" x14ac:dyDescent="0.25">
      <c r="A754" s="145"/>
      <c r="B754" s="36" t="s">
        <v>32</v>
      </c>
      <c r="C754" s="138" t="s">
        <v>539</v>
      </c>
      <c r="D754" s="139"/>
      <c r="E754" s="139"/>
      <c r="F754" s="139"/>
      <c r="G754" s="140"/>
      <c r="H754" s="23">
        <v>13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0</v>
      </c>
      <c r="AC754" s="63"/>
    </row>
    <row r="755" spans="1:29" ht="42.75" customHeight="1" x14ac:dyDescent="0.25">
      <c r="A755" s="145"/>
      <c r="B755" s="138" t="s">
        <v>540</v>
      </c>
      <c r="C755" s="139"/>
      <c r="D755" s="139"/>
      <c r="E755" s="139"/>
      <c r="F755" s="139"/>
      <c r="G755" s="140"/>
      <c r="H755" s="23">
        <v>14</v>
      </c>
      <c r="I755" s="31">
        <v>36</v>
      </c>
      <c r="J755" s="31">
        <v>2</v>
      </c>
      <c r="K755" s="31">
        <v>0</v>
      </c>
      <c r="L755" s="31">
        <v>0</v>
      </c>
      <c r="M755" s="31">
        <v>0</v>
      </c>
      <c r="N755" s="31">
        <v>0</v>
      </c>
      <c r="O755" s="31">
        <v>1</v>
      </c>
      <c r="P755" s="31">
        <v>1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2</v>
      </c>
      <c r="Z755" s="31">
        <v>2</v>
      </c>
      <c r="AA755" s="31">
        <v>0</v>
      </c>
      <c r="AB755" s="31">
        <v>35</v>
      </c>
      <c r="AC755" s="63"/>
    </row>
    <row r="756" spans="1:29" ht="27.2" customHeight="1" x14ac:dyDescent="0.2">
      <c r="A756" s="145"/>
      <c r="B756" s="190" t="s">
        <v>32</v>
      </c>
      <c r="C756" s="138" t="s">
        <v>541</v>
      </c>
      <c r="D756" s="139"/>
      <c r="E756" s="139"/>
      <c r="F756" s="139"/>
      <c r="G756" s="140"/>
      <c r="H756" s="23">
        <v>15</v>
      </c>
      <c r="I756" s="31">
        <v>4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4</v>
      </c>
    </row>
    <row r="757" spans="1:29" ht="26.25" customHeight="1" x14ac:dyDescent="0.2">
      <c r="A757" s="145"/>
      <c r="B757" s="191"/>
      <c r="C757" s="139" t="s">
        <v>542</v>
      </c>
      <c r="D757" s="139"/>
      <c r="E757" s="139"/>
      <c r="F757" s="139"/>
      <c r="G757" s="140"/>
      <c r="H757" s="23">
        <v>16</v>
      </c>
      <c r="I757" s="54">
        <v>32</v>
      </c>
      <c r="J757" s="54">
        <v>2</v>
      </c>
      <c r="K757" s="54">
        <v>0</v>
      </c>
      <c r="L757" s="54">
        <v>0</v>
      </c>
      <c r="M757" s="31">
        <v>0</v>
      </c>
      <c r="N757" s="31">
        <v>0</v>
      </c>
      <c r="O757" s="31">
        <v>1</v>
      </c>
      <c r="P757" s="31">
        <v>1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2</v>
      </c>
      <c r="Z757" s="31">
        <v>2</v>
      </c>
      <c r="AA757" s="31">
        <v>0</v>
      </c>
      <c r="AB757" s="31">
        <v>31</v>
      </c>
    </row>
    <row r="758" spans="1:29" ht="39.75" customHeight="1" x14ac:dyDescent="0.25">
      <c r="A758" s="145"/>
      <c r="B758" s="138" t="s">
        <v>543</v>
      </c>
      <c r="C758" s="139"/>
      <c r="D758" s="139"/>
      <c r="E758" s="139"/>
      <c r="F758" s="139"/>
      <c r="G758" s="140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45"/>
      <c r="B759" s="190" t="s">
        <v>32</v>
      </c>
      <c r="C759" s="138" t="s">
        <v>544</v>
      </c>
      <c r="D759" s="139"/>
      <c r="E759" s="139"/>
      <c r="F759" s="139"/>
      <c r="G759" s="140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45"/>
      <c r="B760" s="191"/>
      <c r="C760" s="139" t="s">
        <v>545</v>
      </c>
      <c r="D760" s="139"/>
      <c r="E760" s="139"/>
      <c r="F760" s="139"/>
      <c r="G760" s="140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45"/>
      <c r="B761" s="138" t="s">
        <v>546</v>
      </c>
      <c r="C761" s="139"/>
      <c r="D761" s="139"/>
      <c r="E761" s="139"/>
      <c r="F761" s="139"/>
      <c r="G761" s="140"/>
      <c r="H761" s="23">
        <v>20</v>
      </c>
      <c r="I761" s="31">
        <v>511</v>
      </c>
      <c r="J761" s="31">
        <v>417</v>
      </c>
      <c r="K761" s="31">
        <v>1</v>
      </c>
      <c r="L761" s="31">
        <v>0</v>
      </c>
      <c r="M761" s="31">
        <v>0</v>
      </c>
      <c r="N761" s="31">
        <v>0</v>
      </c>
      <c r="O761" s="31">
        <v>413</v>
      </c>
      <c r="P761" s="31">
        <v>411</v>
      </c>
      <c r="Q761" s="31">
        <v>0</v>
      </c>
      <c r="R761" s="31">
        <v>2</v>
      </c>
      <c r="S761" s="31">
        <v>0</v>
      </c>
      <c r="T761" s="31">
        <v>0</v>
      </c>
      <c r="U761" s="31">
        <v>0</v>
      </c>
      <c r="V761" s="31">
        <v>0</v>
      </c>
      <c r="W761" s="31">
        <v>1</v>
      </c>
      <c r="X761" s="62">
        <v>0</v>
      </c>
      <c r="Y761" s="31">
        <v>52</v>
      </c>
      <c r="Z761" s="31">
        <v>52</v>
      </c>
      <c r="AA761" s="31">
        <v>0</v>
      </c>
      <c r="AB761" s="31">
        <v>97</v>
      </c>
      <c r="AC761" s="63"/>
    </row>
    <row r="762" spans="1:29" ht="27.2" customHeight="1" x14ac:dyDescent="0.2">
      <c r="A762" s="145"/>
      <c r="B762" s="190" t="s">
        <v>32</v>
      </c>
      <c r="C762" s="138" t="s">
        <v>547</v>
      </c>
      <c r="D762" s="139"/>
      <c r="E762" s="139"/>
      <c r="F762" s="139"/>
      <c r="G762" s="140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45"/>
      <c r="B763" s="191"/>
      <c r="C763" s="139" t="s">
        <v>548</v>
      </c>
      <c r="D763" s="139"/>
      <c r="E763" s="139"/>
      <c r="F763" s="139"/>
      <c r="G763" s="140"/>
      <c r="H763" s="23">
        <v>22</v>
      </c>
      <c r="I763" s="54">
        <v>511</v>
      </c>
      <c r="J763" s="54">
        <v>417</v>
      </c>
      <c r="K763" s="54">
        <v>1</v>
      </c>
      <c r="L763" s="54">
        <v>0</v>
      </c>
      <c r="M763" s="31">
        <v>0</v>
      </c>
      <c r="N763" s="31">
        <v>0</v>
      </c>
      <c r="O763" s="31">
        <v>413</v>
      </c>
      <c r="P763" s="31">
        <v>411</v>
      </c>
      <c r="Q763" s="31">
        <v>0</v>
      </c>
      <c r="R763" s="31">
        <v>2</v>
      </c>
      <c r="S763" s="31">
        <v>0</v>
      </c>
      <c r="T763" s="31">
        <v>0</v>
      </c>
      <c r="U763" s="31">
        <v>0</v>
      </c>
      <c r="V763" s="31">
        <v>0</v>
      </c>
      <c r="W763" s="31">
        <v>1</v>
      </c>
      <c r="X763" s="31">
        <v>0</v>
      </c>
      <c r="Y763" s="31">
        <v>52</v>
      </c>
      <c r="Z763" s="31">
        <v>52</v>
      </c>
      <c r="AA763" s="31">
        <v>0</v>
      </c>
      <c r="AB763" s="31">
        <v>97</v>
      </c>
    </row>
    <row r="764" spans="1:29" ht="54" customHeight="1" x14ac:dyDescent="0.25">
      <c r="A764" s="145"/>
      <c r="B764" s="138" t="s">
        <v>549</v>
      </c>
      <c r="C764" s="139"/>
      <c r="D764" s="139"/>
      <c r="E764" s="139"/>
      <c r="F764" s="139"/>
      <c r="G764" s="140"/>
      <c r="H764" s="23">
        <v>23</v>
      </c>
      <c r="I764" s="31">
        <v>2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1</v>
      </c>
      <c r="P764" s="31">
        <v>0</v>
      </c>
      <c r="Q764" s="31">
        <v>0</v>
      </c>
      <c r="R764" s="31">
        <v>0</v>
      </c>
      <c r="S764" s="31">
        <v>1</v>
      </c>
      <c r="T764" s="31">
        <v>0</v>
      </c>
      <c r="U764" s="31">
        <v>0</v>
      </c>
      <c r="V764" s="31">
        <v>0</v>
      </c>
      <c r="W764" s="31">
        <v>0</v>
      </c>
      <c r="X764" s="62">
        <v>1</v>
      </c>
      <c r="Y764" s="31">
        <v>6</v>
      </c>
      <c r="Z764" s="31">
        <v>6</v>
      </c>
      <c r="AA764" s="31">
        <v>0</v>
      </c>
      <c r="AB764" s="31">
        <v>1</v>
      </c>
      <c r="AC764" s="63"/>
    </row>
    <row r="765" spans="1:29" ht="33" customHeight="1" x14ac:dyDescent="0.25">
      <c r="A765" s="146"/>
      <c r="B765" s="138" t="s">
        <v>550</v>
      </c>
      <c r="C765" s="139"/>
      <c r="D765" s="139"/>
      <c r="E765" s="139"/>
      <c r="F765" s="139"/>
      <c r="G765" s="140"/>
      <c r="H765" s="23">
        <v>24</v>
      </c>
      <c r="I765" s="31">
        <v>1411</v>
      </c>
      <c r="J765" s="31">
        <v>1350</v>
      </c>
      <c r="K765" s="31">
        <v>0</v>
      </c>
      <c r="L765" s="31">
        <v>0</v>
      </c>
      <c r="M765" s="31">
        <v>0</v>
      </c>
      <c r="N765" s="31">
        <v>0</v>
      </c>
      <c r="O765" s="31">
        <v>1125</v>
      </c>
      <c r="P765" s="31">
        <v>1125</v>
      </c>
      <c r="Q765" s="31">
        <v>0</v>
      </c>
      <c r="R765" s="31">
        <v>0</v>
      </c>
      <c r="S765" s="31">
        <v>0</v>
      </c>
      <c r="T765" s="31">
        <v>0</v>
      </c>
      <c r="U765" s="31">
        <v>45</v>
      </c>
      <c r="V765" s="31">
        <v>18</v>
      </c>
      <c r="W765" s="31">
        <v>1</v>
      </c>
      <c r="X765" s="62">
        <v>0</v>
      </c>
      <c r="Y765" s="31">
        <v>21</v>
      </c>
      <c r="Z765" s="31">
        <v>21</v>
      </c>
      <c r="AA765" s="31">
        <v>0</v>
      </c>
      <c r="AB765" s="31">
        <v>286</v>
      </c>
      <c r="AC765" s="63"/>
    </row>
    <row r="766" spans="1:29" ht="14.25" customHeight="1" x14ac:dyDescent="0.25">
      <c r="A766" s="198" t="s">
        <v>41</v>
      </c>
      <c r="B766" s="199"/>
      <c r="C766" s="199"/>
      <c r="D766" s="199"/>
      <c r="E766" s="199"/>
      <c r="F766" s="199"/>
      <c r="G766" s="200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44" t="s">
        <v>165</v>
      </c>
      <c r="B767" s="138" t="s">
        <v>551</v>
      </c>
      <c r="C767" s="139"/>
      <c r="D767" s="139"/>
      <c r="E767" s="139"/>
      <c r="F767" s="139"/>
      <c r="G767" s="140"/>
      <c r="H767" s="23">
        <v>25</v>
      </c>
      <c r="I767" s="31">
        <v>957</v>
      </c>
      <c r="J767" s="31">
        <v>852</v>
      </c>
      <c r="K767" s="31">
        <v>2</v>
      </c>
      <c r="L767" s="31">
        <v>0</v>
      </c>
      <c r="M767" s="31">
        <v>2</v>
      </c>
      <c r="N767" s="31">
        <v>0</v>
      </c>
      <c r="O767" s="31">
        <v>814</v>
      </c>
      <c r="P767" s="31">
        <v>812</v>
      </c>
      <c r="Q767" s="31">
        <v>0</v>
      </c>
      <c r="R767" s="31">
        <v>1</v>
      </c>
      <c r="S767" s="31">
        <v>1</v>
      </c>
      <c r="T767" s="31">
        <v>0</v>
      </c>
      <c r="U767" s="31">
        <v>6</v>
      </c>
      <c r="V767" s="31">
        <v>0</v>
      </c>
      <c r="W767" s="31">
        <v>4</v>
      </c>
      <c r="X767" s="62">
        <v>5</v>
      </c>
      <c r="Y767" s="31">
        <v>26</v>
      </c>
      <c r="Z767" s="31">
        <v>26</v>
      </c>
      <c r="AA767" s="31">
        <v>0</v>
      </c>
      <c r="AB767" s="31">
        <v>141</v>
      </c>
      <c r="AC767" s="63"/>
    </row>
    <row r="768" spans="1:29" ht="30" customHeight="1" x14ac:dyDescent="0.25">
      <c r="A768" s="145"/>
      <c r="B768" s="138" t="s">
        <v>552</v>
      </c>
      <c r="C768" s="139"/>
      <c r="D768" s="139"/>
      <c r="E768" s="139"/>
      <c r="F768" s="139"/>
      <c r="G768" s="140"/>
      <c r="H768" s="23">
        <v>26</v>
      </c>
      <c r="I768" s="31">
        <v>0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0</v>
      </c>
      <c r="AC768" s="63"/>
    </row>
    <row r="769" spans="1:29" ht="27.2" customHeight="1" x14ac:dyDescent="0.25">
      <c r="A769" s="145"/>
      <c r="B769" s="138" t="s">
        <v>553</v>
      </c>
      <c r="C769" s="139"/>
      <c r="D769" s="139"/>
      <c r="E769" s="139"/>
      <c r="F769" s="139"/>
      <c r="G769" s="140"/>
      <c r="H769" s="23">
        <v>27</v>
      </c>
      <c r="I769" s="31">
        <v>42</v>
      </c>
      <c r="J769" s="31">
        <v>39</v>
      </c>
      <c r="K769" s="31">
        <v>0</v>
      </c>
      <c r="L769" s="31">
        <v>0</v>
      </c>
      <c r="M769" s="31">
        <v>0</v>
      </c>
      <c r="N769" s="31">
        <v>0</v>
      </c>
      <c r="O769" s="31">
        <v>33</v>
      </c>
      <c r="P769" s="31">
        <v>33</v>
      </c>
      <c r="Q769" s="31">
        <v>0</v>
      </c>
      <c r="R769" s="31">
        <v>0</v>
      </c>
      <c r="S769" s="31">
        <v>0</v>
      </c>
      <c r="T769" s="31">
        <v>0</v>
      </c>
      <c r="U769" s="31">
        <v>0</v>
      </c>
      <c r="V769" s="31">
        <v>21</v>
      </c>
      <c r="W769" s="31">
        <v>0</v>
      </c>
      <c r="X769" s="62">
        <v>0</v>
      </c>
      <c r="Y769" s="31">
        <v>3</v>
      </c>
      <c r="Z769" s="31">
        <v>3</v>
      </c>
      <c r="AA769" s="31">
        <v>0</v>
      </c>
      <c r="AB769" s="31">
        <v>9</v>
      </c>
      <c r="AC769" s="63"/>
    </row>
    <row r="770" spans="1:29" ht="27.2" customHeight="1" x14ac:dyDescent="0.2">
      <c r="A770" s="145"/>
      <c r="B770" s="190" t="s">
        <v>32</v>
      </c>
      <c r="C770" s="138" t="s">
        <v>554</v>
      </c>
      <c r="D770" s="139"/>
      <c r="E770" s="139"/>
      <c r="F770" s="139"/>
      <c r="G770" s="140"/>
      <c r="H770" s="23">
        <v>28</v>
      </c>
      <c r="I770" s="31">
        <v>1</v>
      </c>
      <c r="J770" s="31">
        <v>1</v>
      </c>
      <c r="K770" s="31">
        <v>0</v>
      </c>
      <c r="L770" s="31">
        <v>0</v>
      </c>
      <c r="M770" s="31">
        <v>0</v>
      </c>
      <c r="N770" s="31">
        <v>0</v>
      </c>
      <c r="O770" s="31">
        <v>0</v>
      </c>
      <c r="P770" s="31">
        <v>0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1</v>
      </c>
    </row>
    <row r="771" spans="1:29" ht="26.25" customHeight="1" x14ac:dyDescent="0.2">
      <c r="A771" s="145"/>
      <c r="B771" s="191"/>
      <c r="C771" s="138" t="s">
        <v>555</v>
      </c>
      <c r="D771" s="139"/>
      <c r="E771" s="139"/>
      <c r="F771" s="139"/>
      <c r="G771" s="140"/>
      <c r="H771" s="23">
        <v>29</v>
      </c>
      <c r="I771" s="54">
        <v>41</v>
      </c>
      <c r="J771" s="54">
        <v>38</v>
      </c>
      <c r="K771" s="54">
        <v>0</v>
      </c>
      <c r="L771" s="54">
        <v>0</v>
      </c>
      <c r="M771" s="31">
        <v>0</v>
      </c>
      <c r="N771" s="31">
        <v>0</v>
      </c>
      <c r="O771" s="31">
        <v>33</v>
      </c>
      <c r="P771" s="31">
        <v>33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21</v>
      </c>
      <c r="W771" s="31">
        <v>0</v>
      </c>
      <c r="X771" s="31">
        <v>0</v>
      </c>
      <c r="Y771" s="31">
        <v>3</v>
      </c>
      <c r="Z771" s="31">
        <v>3</v>
      </c>
      <c r="AA771" s="31">
        <v>0</v>
      </c>
      <c r="AB771" s="31">
        <v>8</v>
      </c>
    </row>
    <row r="772" spans="1:29" ht="27.2" customHeight="1" x14ac:dyDescent="0.25">
      <c r="A772" s="145"/>
      <c r="B772" s="138" t="s">
        <v>556</v>
      </c>
      <c r="C772" s="139"/>
      <c r="D772" s="139"/>
      <c r="E772" s="139"/>
      <c r="F772" s="139"/>
      <c r="G772" s="140"/>
      <c r="H772" s="23">
        <v>30</v>
      </c>
      <c r="I772" s="31">
        <v>125</v>
      </c>
      <c r="J772" s="31">
        <v>77</v>
      </c>
      <c r="K772" s="31">
        <v>2</v>
      </c>
      <c r="L772" s="31">
        <v>0</v>
      </c>
      <c r="M772" s="31">
        <v>2</v>
      </c>
      <c r="N772" s="31">
        <v>0</v>
      </c>
      <c r="O772" s="31">
        <v>54</v>
      </c>
      <c r="P772" s="31">
        <v>54</v>
      </c>
      <c r="Q772" s="31">
        <v>0</v>
      </c>
      <c r="R772" s="31">
        <v>0</v>
      </c>
      <c r="S772" s="31">
        <v>0</v>
      </c>
      <c r="T772" s="31">
        <v>0</v>
      </c>
      <c r="U772" s="31">
        <v>0</v>
      </c>
      <c r="V772" s="31">
        <v>12</v>
      </c>
      <c r="W772" s="31">
        <v>0</v>
      </c>
      <c r="X772" s="62">
        <v>0</v>
      </c>
      <c r="Y772" s="31">
        <v>2</v>
      </c>
      <c r="Z772" s="31">
        <v>2</v>
      </c>
      <c r="AA772" s="31">
        <v>0</v>
      </c>
      <c r="AB772" s="31">
        <v>69</v>
      </c>
      <c r="AC772" s="63"/>
    </row>
    <row r="773" spans="1:29" ht="27.2" customHeight="1" x14ac:dyDescent="0.25">
      <c r="A773" s="145"/>
      <c r="B773" s="36" t="s">
        <v>32</v>
      </c>
      <c r="C773" s="138" t="s">
        <v>557</v>
      </c>
      <c r="D773" s="139"/>
      <c r="E773" s="139"/>
      <c r="F773" s="139"/>
      <c r="G773" s="140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45"/>
      <c r="B774" s="138" t="s">
        <v>558</v>
      </c>
      <c r="C774" s="139"/>
      <c r="D774" s="139"/>
      <c r="E774" s="139"/>
      <c r="F774" s="139"/>
      <c r="G774" s="140"/>
      <c r="H774" s="23">
        <v>32</v>
      </c>
      <c r="I774" s="31">
        <v>49</v>
      </c>
      <c r="J774" s="31">
        <v>36</v>
      </c>
      <c r="K774" s="31">
        <v>1</v>
      </c>
      <c r="L774" s="31">
        <v>0</v>
      </c>
      <c r="M774" s="31">
        <v>1</v>
      </c>
      <c r="N774" s="31">
        <v>0</v>
      </c>
      <c r="O774" s="31">
        <v>28</v>
      </c>
      <c r="P774" s="31">
        <v>28</v>
      </c>
      <c r="Q774" s="31">
        <v>0</v>
      </c>
      <c r="R774" s="31">
        <v>0</v>
      </c>
      <c r="S774" s="31">
        <v>0</v>
      </c>
      <c r="T774" s="31">
        <v>0</v>
      </c>
      <c r="U774" s="31">
        <v>2</v>
      </c>
      <c r="V774" s="31">
        <v>0</v>
      </c>
      <c r="W774" s="31">
        <v>0</v>
      </c>
      <c r="X774" s="62">
        <v>0</v>
      </c>
      <c r="Y774" s="31">
        <v>6</v>
      </c>
      <c r="Z774" s="31">
        <v>6</v>
      </c>
      <c r="AA774" s="31">
        <v>0</v>
      </c>
      <c r="AB774" s="31">
        <v>20</v>
      </c>
      <c r="AC774" s="63"/>
    </row>
    <row r="775" spans="1:29" ht="27.2" customHeight="1" x14ac:dyDescent="0.25">
      <c r="A775" s="145"/>
      <c r="B775" s="218" t="s">
        <v>32</v>
      </c>
      <c r="C775" s="138" t="s">
        <v>559</v>
      </c>
      <c r="D775" s="139"/>
      <c r="E775" s="139"/>
      <c r="F775" s="139"/>
      <c r="G775" s="140"/>
      <c r="H775" s="23">
        <v>33</v>
      </c>
      <c r="I775" s="31">
        <v>48</v>
      </c>
      <c r="J775" s="31">
        <v>35</v>
      </c>
      <c r="K775" s="31">
        <v>1</v>
      </c>
      <c r="L775" s="31">
        <v>0</v>
      </c>
      <c r="M775" s="31">
        <v>1</v>
      </c>
      <c r="N775" s="31">
        <v>0</v>
      </c>
      <c r="O775" s="31">
        <v>27</v>
      </c>
      <c r="P775" s="31">
        <v>27</v>
      </c>
      <c r="Q775" s="31">
        <v>0</v>
      </c>
      <c r="R775" s="31">
        <v>0</v>
      </c>
      <c r="S775" s="31">
        <v>0</v>
      </c>
      <c r="T775" s="31">
        <v>0</v>
      </c>
      <c r="U775" s="31">
        <v>2</v>
      </c>
      <c r="V775" s="31">
        <v>0</v>
      </c>
      <c r="W775" s="31">
        <v>0</v>
      </c>
      <c r="X775" s="62">
        <v>0</v>
      </c>
      <c r="Y775" s="31">
        <v>3</v>
      </c>
      <c r="Z775" s="31">
        <v>3</v>
      </c>
      <c r="AA775" s="31">
        <v>0</v>
      </c>
      <c r="AB775" s="31">
        <v>20</v>
      </c>
      <c r="AC775" s="63"/>
    </row>
    <row r="776" spans="1:29" ht="27.2" customHeight="1" x14ac:dyDescent="0.25">
      <c r="A776" s="145"/>
      <c r="B776" s="223"/>
      <c r="C776" s="138" t="s">
        <v>560</v>
      </c>
      <c r="D776" s="139"/>
      <c r="E776" s="139"/>
      <c r="F776" s="139"/>
      <c r="G776" s="140"/>
      <c r="H776" s="23">
        <v>34</v>
      </c>
      <c r="I776" s="31">
        <v>0</v>
      </c>
      <c r="J776" s="31">
        <v>0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1</v>
      </c>
      <c r="Z776" s="31">
        <v>1</v>
      </c>
      <c r="AA776" s="31">
        <v>0</v>
      </c>
      <c r="AB776" s="31">
        <v>0</v>
      </c>
      <c r="AC776" s="63"/>
    </row>
    <row r="777" spans="1:29" ht="27.2" customHeight="1" x14ac:dyDescent="0.25">
      <c r="A777" s="145"/>
      <c r="B777" s="223"/>
      <c r="C777" s="138" t="s">
        <v>561</v>
      </c>
      <c r="D777" s="139"/>
      <c r="E777" s="139"/>
      <c r="F777" s="139"/>
      <c r="G777" s="140"/>
      <c r="H777" s="23">
        <v>35</v>
      </c>
      <c r="I777" s="31">
        <v>1</v>
      </c>
      <c r="J777" s="31">
        <v>1</v>
      </c>
      <c r="K777" s="31">
        <v>0</v>
      </c>
      <c r="L777" s="31">
        <v>0</v>
      </c>
      <c r="M777" s="31">
        <v>0</v>
      </c>
      <c r="N777" s="31">
        <v>0</v>
      </c>
      <c r="O777" s="31">
        <v>1</v>
      </c>
      <c r="P777" s="31">
        <v>1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2</v>
      </c>
      <c r="Z777" s="31">
        <v>2</v>
      </c>
      <c r="AA777" s="31">
        <v>0</v>
      </c>
      <c r="AB777" s="31">
        <v>0</v>
      </c>
      <c r="AC777" s="63"/>
    </row>
    <row r="778" spans="1:29" ht="27.2" customHeight="1" x14ac:dyDescent="0.25">
      <c r="A778" s="145"/>
      <c r="B778" s="219"/>
      <c r="C778" s="138" t="s">
        <v>562</v>
      </c>
      <c r="D778" s="139"/>
      <c r="E778" s="139"/>
      <c r="F778" s="139"/>
      <c r="G778" s="140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6"/>
      <c r="B779" s="138" t="s">
        <v>179</v>
      </c>
      <c r="C779" s="139"/>
      <c r="D779" s="139"/>
      <c r="E779" s="139"/>
      <c r="F779" s="139"/>
      <c r="G779" s="140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8" t="s">
        <v>443</v>
      </c>
      <c r="B780" s="139"/>
      <c r="C780" s="139"/>
      <c r="D780" s="139"/>
      <c r="E780" s="139"/>
      <c r="F780" s="139"/>
      <c r="G780" s="140"/>
      <c r="H780" s="23">
        <v>38</v>
      </c>
      <c r="I780" s="31">
        <f t="shared" ref="I780:AB780" si="14">SUM(I767:I779,I742:I765)</f>
        <v>14029</v>
      </c>
      <c r="J780" s="31">
        <f t="shared" si="14"/>
        <v>11702</v>
      </c>
      <c r="K780" s="31">
        <f t="shared" si="14"/>
        <v>56</v>
      </c>
      <c r="L780" s="31">
        <f t="shared" si="14"/>
        <v>0</v>
      </c>
      <c r="M780" s="31">
        <f t="shared" si="14"/>
        <v>48</v>
      </c>
      <c r="N780" s="31">
        <f t="shared" si="14"/>
        <v>0</v>
      </c>
      <c r="O780" s="31">
        <f t="shared" si="14"/>
        <v>10311</v>
      </c>
      <c r="P780" s="31">
        <f t="shared" si="14"/>
        <v>10060</v>
      </c>
      <c r="Q780" s="31">
        <f t="shared" si="14"/>
        <v>8</v>
      </c>
      <c r="R780" s="31">
        <f t="shared" si="14"/>
        <v>227</v>
      </c>
      <c r="S780" s="31">
        <f t="shared" si="14"/>
        <v>16</v>
      </c>
      <c r="T780" s="31">
        <f t="shared" si="14"/>
        <v>0</v>
      </c>
      <c r="U780" s="31">
        <f t="shared" si="14"/>
        <v>604</v>
      </c>
      <c r="V780" s="31">
        <f t="shared" si="14"/>
        <v>366</v>
      </c>
      <c r="W780" s="31">
        <f t="shared" si="14"/>
        <v>607</v>
      </c>
      <c r="X780" s="31">
        <f t="shared" si="14"/>
        <v>200</v>
      </c>
      <c r="Y780" s="31">
        <f t="shared" si="14"/>
        <v>2145</v>
      </c>
      <c r="Z780" s="31">
        <f t="shared" si="14"/>
        <v>2141</v>
      </c>
      <c r="AA780" s="31">
        <f t="shared" si="14"/>
        <v>0</v>
      </c>
      <c r="AB780" s="31">
        <f t="shared" si="14"/>
        <v>3658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78"/>
      <c r="B783" s="179"/>
      <c r="C783" s="179"/>
      <c r="D783" s="179"/>
      <c r="E783" s="179"/>
      <c r="F783" s="179"/>
      <c r="G783" s="180"/>
      <c r="H783" s="187" t="s">
        <v>15</v>
      </c>
      <c r="I783" s="168" t="s">
        <v>1148</v>
      </c>
      <c r="J783" s="168" t="s">
        <v>16</v>
      </c>
      <c r="K783" s="168" t="s">
        <v>17</v>
      </c>
      <c r="L783" s="171" t="s">
        <v>18</v>
      </c>
      <c r="M783" s="172"/>
      <c r="N783" s="173"/>
      <c r="O783" s="168" t="s">
        <v>19</v>
      </c>
      <c r="P783" s="171" t="s">
        <v>20</v>
      </c>
      <c r="Q783" s="172"/>
      <c r="R783" s="172"/>
      <c r="S783" s="173"/>
      <c r="T783" s="168" t="s">
        <v>21</v>
      </c>
      <c r="U783" s="171" t="s">
        <v>22</v>
      </c>
      <c r="V783" s="172"/>
      <c r="W783" s="172"/>
      <c r="X783" s="173"/>
      <c r="Y783" s="171" t="s">
        <v>23</v>
      </c>
      <c r="Z783" s="172"/>
      <c r="AA783" s="173"/>
      <c r="AB783" s="168" t="s">
        <v>24</v>
      </c>
    </row>
    <row r="784" spans="1:29" ht="26.25" customHeight="1" x14ac:dyDescent="0.2">
      <c r="A784" s="181"/>
      <c r="B784" s="182"/>
      <c r="C784" s="182"/>
      <c r="D784" s="182"/>
      <c r="E784" s="182"/>
      <c r="F784" s="182"/>
      <c r="G784" s="183"/>
      <c r="H784" s="188"/>
      <c r="I784" s="170"/>
      <c r="J784" s="170"/>
      <c r="K784" s="170"/>
      <c r="L784" s="168" t="s">
        <v>25</v>
      </c>
      <c r="M784" s="168" t="s">
        <v>26</v>
      </c>
      <c r="N784" s="168" t="s">
        <v>27</v>
      </c>
      <c r="O784" s="170"/>
      <c r="P784" s="168" t="s">
        <v>28</v>
      </c>
      <c r="Q784" s="168" t="s">
        <v>29</v>
      </c>
      <c r="R784" s="168" t="s">
        <v>30</v>
      </c>
      <c r="S784" s="168" t="s">
        <v>31</v>
      </c>
      <c r="T784" s="170"/>
      <c r="U784" s="171" t="s">
        <v>32</v>
      </c>
      <c r="V784" s="172"/>
      <c r="W784" s="172"/>
      <c r="X784" s="173"/>
      <c r="Y784" s="168" t="s">
        <v>33</v>
      </c>
      <c r="Z784" s="171" t="s">
        <v>34</v>
      </c>
      <c r="AA784" s="173"/>
      <c r="AB784" s="170"/>
    </row>
    <row r="785" spans="1:28" ht="78.75" customHeight="1" x14ac:dyDescent="0.2">
      <c r="A785" s="184"/>
      <c r="B785" s="185"/>
      <c r="C785" s="185"/>
      <c r="D785" s="185"/>
      <c r="E785" s="185"/>
      <c r="F785" s="185"/>
      <c r="G785" s="186"/>
      <c r="H785" s="18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9" t="s">
        <v>35</v>
      </c>
      <c r="V785" s="16" t="s">
        <v>36</v>
      </c>
      <c r="W785" s="16" t="s">
        <v>37</v>
      </c>
      <c r="X785" s="16" t="s">
        <v>38</v>
      </c>
      <c r="Y785" s="169"/>
      <c r="Z785" s="18" t="s">
        <v>39</v>
      </c>
      <c r="AA785" s="17" t="s">
        <v>40</v>
      </c>
      <c r="AB785" s="169"/>
    </row>
    <row r="786" spans="1:28" ht="15.75" customHeight="1" x14ac:dyDescent="0.2">
      <c r="A786" s="150" t="s">
        <v>41</v>
      </c>
      <c r="B786" s="151"/>
      <c r="C786" s="151"/>
      <c r="D786" s="151"/>
      <c r="E786" s="151"/>
      <c r="F786" s="151"/>
      <c r="G786" s="152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53" t="s">
        <v>43</v>
      </c>
      <c r="B787" s="154"/>
      <c r="C787" s="154"/>
      <c r="D787" s="154"/>
      <c r="E787" s="154"/>
      <c r="F787" s="154"/>
      <c r="G787" s="155"/>
      <c r="H787" s="23">
        <v>1</v>
      </c>
      <c r="I787" s="31">
        <v>33789</v>
      </c>
      <c r="J787" s="31">
        <v>27089</v>
      </c>
      <c r="K787" s="31">
        <v>147</v>
      </c>
      <c r="L787" s="31">
        <v>2</v>
      </c>
      <c r="M787" s="31">
        <v>130</v>
      </c>
      <c r="N787" s="31">
        <v>0</v>
      </c>
      <c r="O787" s="31">
        <v>23785</v>
      </c>
      <c r="P787" s="31">
        <v>23682</v>
      </c>
      <c r="Q787" s="31">
        <v>11</v>
      </c>
      <c r="R787" s="31">
        <v>78</v>
      </c>
      <c r="S787" s="31">
        <v>14</v>
      </c>
      <c r="T787" s="31">
        <v>0</v>
      </c>
      <c r="U787" s="31">
        <v>4762</v>
      </c>
      <c r="V787" s="31">
        <v>2277</v>
      </c>
      <c r="W787" s="31">
        <v>39</v>
      </c>
      <c r="X787" s="62">
        <v>114</v>
      </c>
      <c r="Y787" s="31">
        <v>8190</v>
      </c>
      <c r="Z787" s="31">
        <v>8024</v>
      </c>
      <c r="AA787" s="31">
        <v>0</v>
      </c>
      <c r="AB787" s="31">
        <v>9691</v>
      </c>
    </row>
    <row r="788" spans="1:28" ht="20.25" customHeight="1" x14ac:dyDescent="0.2">
      <c r="A788" s="156" t="s">
        <v>181</v>
      </c>
      <c r="B788" s="158"/>
      <c r="C788" s="165" t="s">
        <v>51</v>
      </c>
      <c r="D788" s="166"/>
      <c r="E788" s="166"/>
      <c r="F788" s="166"/>
      <c r="G788" s="167"/>
      <c r="H788" s="23">
        <v>2</v>
      </c>
      <c r="I788" s="31">
        <v>2679</v>
      </c>
      <c r="J788" s="31">
        <v>2463</v>
      </c>
      <c r="K788" s="31">
        <v>2</v>
      </c>
      <c r="L788" s="31">
        <v>0</v>
      </c>
      <c r="M788" s="31">
        <v>2</v>
      </c>
      <c r="N788" s="31">
        <v>0</v>
      </c>
      <c r="O788" s="31">
        <v>2051</v>
      </c>
      <c r="P788" s="31">
        <v>2051</v>
      </c>
      <c r="Q788" s="31">
        <v>0</v>
      </c>
      <c r="R788" s="31">
        <v>0</v>
      </c>
      <c r="S788" s="31">
        <v>0</v>
      </c>
      <c r="T788" s="31">
        <v>0</v>
      </c>
      <c r="U788" s="31">
        <v>174</v>
      </c>
      <c r="V788" s="31">
        <v>1195</v>
      </c>
      <c r="W788" s="31">
        <v>0</v>
      </c>
      <c r="X788" s="62">
        <v>29</v>
      </c>
      <c r="Y788" s="31">
        <v>4</v>
      </c>
      <c r="Z788" s="31">
        <v>4</v>
      </c>
      <c r="AA788" s="31">
        <v>0</v>
      </c>
      <c r="AB788" s="31">
        <v>626</v>
      </c>
    </row>
    <row r="789" spans="1:28" ht="20.25" customHeight="1" x14ac:dyDescent="0.2">
      <c r="A789" s="159"/>
      <c r="B789" s="161"/>
      <c r="C789" s="165" t="s">
        <v>52</v>
      </c>
      <c r="D789" s="166"/>
      <c r="E789" s="166"/>
      <c r="F789" s="166"/>
      <c r="G789" s="167"/>
      <c r="H789" s="23">
        <v>3</v>
      </c>
      <c r="I789" s="31">
        <v>17482</v>
      </c>
      <c r="J789" s="31">
        <v>15089</v>
      </c>
      <c r="K789" s="31">
        <v>115</v>
      </c>
      <c r="L789" s="31">
        <v>0</v>
      </c>
      <c r="M789" s="31">
        <v>108</v>
      </c>
      <c r="N789" s="31">
        <v>0</v>
      </c>
      <c r="O789" s="31">
        <v>12679</v>
      </c>
      <c r="P789" s="31">
        <v>12624</v>
      </c>
      <c r="Q789" s="31">
        <v>0</v>
      </c>
      <c r="R789" s="31">
        <v>50</v>
      </c>
      <c r="S789" s="31">
        <v>5</v>
      </c>
      <c r="T789" s="31">
        <v>0</v>
      </c>
      <c r="U789" s="31">
        <v>2885</v>
      </c>
      <c r="V789" s="31">
        <v>868</v>
      </c>
      <c r="W789" s="31">
        <v>6</v>
      </c>
      <c r="X789" s="62">
        <v>61</v>
      </c>
      <c r="Y789" s="31">
        <v>449</v>
      </c>
      <c r="Z789" s="31">
        <v>300</v>
      </c>
      <c r="AA789" s="31">
        <v>0</v>
      </c>
      <c r="AB789" s="31">
        <v>4539</v>
      </c>
    </row>
    <row r="790" spans="1:28" ht="20.25" customHeight="1" x14ac:dyDescent="0.2">
      <c r="A790" s="159"/>
      <c r="B790" s="161"/>
      <c r="C790" s="165" t="s">
        <v>182</v>
      </c>
      <c r="D790" s="166"/>
      <c r="E790" s="166"/>
      <c r="F790" s="166"/>
      <c r="G790" s="167"/>
      <c r="H790" s="23">
        <v>4</v>
      </c>
      <c r="I790" s="31">
        <v>3880</v>
      </c>
      <c r="J790" s="31">
        <v>3244</v>
      </c>
      <c r="K790" s="31">
        <v>17</v>
      </c>
      <c r="L790" s="31">
        <v>1</v>
      </c>
      <c r="M790" s="31">
        <v>13</v>
      </c>
      <c r="N790" s="31">
        <v>0</v>
      </c>
      <c r="O790" s="31">
        <v>2866</v>
      </c>
      <c r="P790" s="31">
        <v>2865</v>
      </c>
      <c r="Q790" s="31">
        <v>0</v>
      </c>
      <c r="R790" s="31">
        <v>1</v>
      </c>
      <c r="S790" s="31">
        <v>0</v>
      </c>
      <c r="T790" s="31">
        <v>0</v>
      </c>
      <c r="U790" s="31">
        <v>775</v>
      </c>
      <c r="V790" s="31">
        <v>210</v>
      </c>
      <c r="W790" s="31">
        <v>3</v>
      </c>
      <c r="X790" s="62">
        <v>4</v>
      </c>
      <c r="Y790" s="31">
        <v>486</v>
      </c>
      <c r="Z790" s="31">
        <v>482</v>
      </c>
      <c r="AA790" s="31">
        <v>0</v>
      </c>
      <c r="AB790" s="31">
        <v>993</v>
      </c>
    </row>
    <row r="791" spans="1:28" ht="20.25" customHeight="1" x14ac:dyDescent="0.2">
      <c r="A791" s="162"/>
      <c r="B791" s="164"/>
      <c r="C791" s="165" t="s">
        <v>49</v>
      </c>
      <c r="D791" s="166"/>
      <c r="E791" s="166"/>
      <c r="F791" s="166"/>
      <c r="G791" s="167"/>
      <c r="H791" s="23">
        <v>5</v>
      </c>
      <c r="I791" s="31">
        <v>9748</v>
      </c>
      <c r="J791" s="31">
        <v>6293</v>
      </c>
      <c r="K791" s="31">
        <v>13</v>
      </c>
      <c r="L791" s="31">
        <v>1</v>
      </c>
      <c r="M791" s="31">
        <v>7</v>
      </c>
      <c r="N791" s="31">
        <v>0</v>
      </c>
      <c r="O791" s="31">
        <v>6189</v>
      </c>
      <c r="P791" s="31">
        <v>6142</v>
      </c>
      <c r="Q791" s="31">
        <v>11</v>
      </c>
      <c r="R791" s="31">
        <v>27</v>
      </c>
      <c r="S791" s="31">
        <v>9</v>
      </c>
      <c r="T791" s="31">
        <v>0</v>
      </c>
      <c r="U791" s="31">
        <v>928</v>
      </c>
      <c r="V791" s="31">
        <v>4</v>
      </c>
      <c r="W791" s="31">
        <v>30</v>
      </c>
      <c r="X791" s="62">
        <v>20</v>
      </c>
      <c r="Y791" s="31">
        <v>7251</v>
      </c>
      <c r="Z791" s="31">
        <v>7238</v>
      </c>
      <c r="AA791" s="31">
        <v>0</v>
      </c>
      <c r="AB791" s="31">
        <v>3533</v>
      </c>
    </row>
    <row r="792" spans="1:28" ht="53.25" customHeight="1" x14ac:dyDescent="0.2">
      <c r="A792" s="144" t="s">
        <v>165</v>
      </c>
      <c r="B792" s="138" t="s">
        <v>564</v>
      </c>
      <c r="C792" s="139"/>
      <c r="D792" s="139"/>
      <c r="E792" s="139"/>
      <c r="F792" s="139"/>
      <c r="G792" s="140"/>
      <c r="H792" s="23">
        <v>6</v>
      </c>
      <c r="I792" s="31">
        <v>112</v>
      </c>
      <c r="J792" s="31">
        <v>64</v>
      </c>
      <c r="K792" s="31">
        <v>2</v>
      </c>
      <c r="L792" s="31">
        <v>0</v>
      </c>
      <c r="M792" s="31">
        <v>2</v>
      </c>
      <c r="N792" s="31">
        <v>0</v>
      </c>
      <c r="O792" s="31">
        <v>42</v>
      </c>
      <c r="P792" s="31">
        <v>42</v>
      </c>
      <c r="Q792" s="31">
        <v>0</v>
      </c>
      <c r="R792" s="31">
        <v>0</v>
      </c>
      <c r="S792" s="31">
        <v>0</v>
      </c>
      <c r="T792" s="31">
        <v>0</v>
      </c>
      <c r="U792" s="31">
        <v>3</v>
      </c>
      <c r="V792" s="31">
        <v>23</v>
      </c>
      <c r="W792" s="31">
        <v>0</v>
      </c>
      <c r="X792" s="62">
        <v>0</v>
      </c>
      <c r="Y792" s="31">
        <v>0</v>
      </c>
      <c r="Z792" s="31">
        <v>0</v>
      </c>
      <c r="AA792" s="31">
        <v>0</v>
      </c>
      <c r="AB792" s="31">
        <v>68</v>
      </c>
    </row>
    <row r="793" spans="1:28" ht="64.5" customHeight="1" x14ac:dyDescent="0.2">
      <c r="A793" s="145"/>
      <c r="B793" s="138" t="s">
        <v>565</v>
      </c>
      <c r="C793" s="139"/>
      <c r="D793" s="139"/>
      <c r="E793" s="139"/>
      <c r="F793" s="139"/>
      <c r="G793" s="140"/>
      <c r="H793" s="23">
        <v>7</v>
      </c>
      <c r="I793" s="31">
        <v>45</v>
      </c>
      <c r="J793" s="31">
        <v>44</v>
      </c>
      <c r="K793" s="31">
        <v>0</v>
      </c>
      <c r="L793" s="31">
        <v>0</v>
      </c>
      <c r="M793" s="31">
        <v>0</v>
      </c>
      <c r="N793" s="31">
        <v>0</v>
      </c>
      <c r="O793" s="31">
        <v>40</v>
      </c>
      <c r="P793" s="31">
        <v>40</v>
      </c>
      <c r="Q793" s="31">
        <v>0</v>
      </c>
      <c r="R793" s="31">
        <v>0</v>
      </c>
      <c r="S793" s="31">
        <v>0</v>
      </c>
      <c r="T793" s="31">
        <v>0</v>
      </c>
      <c r="U793" s="31">
        <v>12</v>
      </c>
      <c r="V793" s="31">
        <v>13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5</v>
      </c>
    </row>
    <row r="794" spans="1:28" ht="52.5" customHeight="1" x14ac:dyDescent="0.2">
      <c r="A794" s="145"/>
      <c r="B794" s="138" t="s">
        <v>566</v>
      </c>
      <c r="C794" s="139"/>
      <c r="D794" s="139"/>
      <c r="E794" s="139"/>
      <c r="F794" s="139"/>
      <c r="G794" s="140"/>
      <c r="H794" s="23">
        <v>8</v>
      </c>
      <c r="I794" s="31">
        <v>11401</v>
      </c>
      <c r="J794" s="31">
        <v>9194</v>
      </c>
      <c r="K794" s="31">
        <v>105</v>
      </c>
      <c r="L794" s="31">
        <v>0</v>
      </c>
      <c r="M794" s="31">
        <v>98</v>
      </c>
      <c r="N794" s="31">
        <v>0</v>
      </c>
      <c r="O794" s="31">
        <v>7198</v>
      </c>
      <c r="P794" s="31">
        <v>7187</v>
      </c>
      <c r="Q794" s="31">
        <v>0</v>
      </c>
      <c r="R794" s="31">
        <v>7</v>
      </c>
      <c r="S794" s="31">
        <v>4</v>
      </c>
      <c r="T794" s="31">
        <v>0</v>
      </c>
      <c r="U794" s="31">
        <v>1291</v>
      </c>
      <c r="V794" s="31">
        <v>1678</v>
      </c>
      <c r="W794" s="31">
        <v>5</v>
      </c>
      <c r="X794" s="62">
        <v>86</v>
      </c>
      <c r="Y794" s="31">
        <v>274</v>
      </c>
      <c r="Z794" s="31">
        <v>260</v>
      </c>
      <c r="AA794" s="31">
        <v>0</v>
      </c>
      <c r="AB794" s="31">
        <v>4084</v>
      </c>
    </row>
    <row r="795" spans="1:28" ht="26.25" customHeight="1" x14ac:dyDescent="0.2">
      <c r="A795" s="145"/>
      <c r="B795" s="220" t="s">
        <v>32</v>
      </c>
      <c r="C795" s="138" t="s">
        <v>567</v>
      </c>
      <c r="D795" s="139"/>
      <c r="E795" s="139"/>
      <c r="F795" s="139"/>
      <c r="G795" s="140"/>
      <c r="H795" s="23">
        <v>9</v>
      </c>
      <c r="I795" s="31">
        <v>1733</v>
      </c>
      <c r="J795" s="31">
        <v>1132</v>
      </c>
      <c r="K795" s="31">
        <v>1</v>
      </c>
      <c r="L795" s="31">
        <v>0</v>
      </c>
      <c r="M795" s="31">
        <v>1</v>
      </c>
      <c r="N795" s="31">
        <v>0</v>
      </c>
      <c r="O795" s="31">
        <v>854</v>
      </c>
      <c r="P795" s="31">
        <v>854</v>
      </c>
      <c r="Q795" s="31">
        <v>0</v>
      </c>
      <c r="R795" s="31">
        <v>0</v>
      </c>
      <c r="S795" s="31">
        <v>0</v>
      </c>
      <c r="T795" s="31">
        <v>0</v>
      </c>
      <c r="U795" s="31">
        <v>153</v>
      </c>
      <c r="V795" s="31">
        <v>367</v>
      </c>
      <c r="W795" s="31">
        <v>0</v>
      </c>
      <c r="X795" s="62">
        <v>0</v>
      </c>
      <c r="Y795" s="31">
        <v>89</v>
      </c>
      <c r="Z795" s="31">
        <v>89</v>
      </c>
      <c r="AA795" s="31">
        <v>0</v>
      </c>
      <c r="AB795" s="31">
        <v>878</v>
      </c>
    </row>
    <row r="796" spans="1:28" ht="24.75" customHeight="1" x14ac:dyDescent="0.2">
      <c r="A796" s="145"/>
      <c r="B796" s="221"/>
      <c r="C796" s="138" t="s">
        <v>568</v>
      </c>
      <c r="D796" s="139"/>
      <c r="E796" s="139"/>
      <c r="F796" s="139"/>
      <c r="G796" s="140"/>
      <c r="H796" s="23">
        <v>10</v>
      </c>
      <c r="I796" s="31">
        <v>9344</v>
      </c>
      <c r="J796" s="31">
        <v>7854</v>
      </c>
      <c r="K796" s="31">
        <v>60</v>
      </c>
      <c r="L796" s="31">
        <v>0</v>
      </c>
      <c r="M796" s="31">
        <v>57</v>
      </c>
      <c r="N796" s="31">
        <v>0</v>
      </c>
      <c r="O796" s="31">
        <v>6335</v>
      </c>
      <c r="P796" s="31">
        <v>6327</v>
      </c>
      <c r="Q796" s="31">
        <v>0</v>
      </c>
      <c r="R796" s="31">
        <v>6</v>
      </c>
      <c r="S796" s="31">
        <v>2</v>
      </c>
      <c r="T796" s="31">
        <v>0</v>
      </c>
      <c r="U796" s="31">
        <v>1124</v>
      </c>
      <c r="V796" s="31">
        <v>1252</v>
      </c>
      <c r="W796" s="31">
        <v>5</v>
      </c>
      <c r="X796" s="62">
        <v>79</v>
      </c>
      <c r="Y796" s="31">
        <v>200</v>
      </c>
      <c r="Z796" s="31">
        <v>189</v>
      </c>
      <c r="AA796" s="31">
        <v>0</v>
      </c>
      <c r="AB796" s="31">
        <v>2938</v>
      </c>
    </row>
    <row r="797" spans="1:28" ht="27.2" customHeight="1" x14ac:dyDescent="0.2">
      <c r="A797" s="145"/>
      <c r="B797" s="221"/>
      <c r="C797" s="138" t="s">
        <v>569</v>
      </c>
      <c r="D797" s="139"/>
      <c r="E797" s="139"/>
      <c r="F797" s="139"/>
      <c r="G797" s="140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45"/>
      <c r="B798" s="222"/>
      <c r="C798" s="138" t="s">
        <v>570</v>
      </c>
      <c r="D798" s="139"/>
      <c r="E798" s="139"/>
      <c r="F798" s="139"/>
      <c r="G798" s="140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45"/>
      <c r="B799" s="138" t="s">
        <v>571</v>
      </c>
      <c r="C799" s="139"/>
      <c r="D799" s="139"/>
      <c r="E799" s="139"/>
      <c r="F799" s="139"/>
      <c r="G799" s="140"/>
      <c r="H799" s="23">
        <v>13</v>
      </c>
      <c r="I799" s="31">
        <v>7236</v>
      </c>
      <c r="J799" s="31">
        <v>7059</v>
      </c>
      <c r="K799" s="31">
        <v>10</v>
      </c>
      <c r="L799" s="31">
        <v>0</v>
      </c>
      <c r="M799" s="31">
        <v>10</v>
      </c>
      <c r="N799" s="31">
        <v>0</v>
      </c>
      <c r="O799" s="31">
        <v>6455</v>
      </c>
      <c r="P799" s="31">
        <v>6413</v>
      </c>
      <c r="Q799" s="31">
        <v>0</v>
      </c>
      <c r="R799" s="31">
        <v>42</v>
      </c>
      <c r="S799" s="31">
        <v>0</v>
      </c>
      <c r="T799" s="31">
        <v>0</v>
      </c>
      <c r="U799" s="31">
        <v>1451</v>
      </c>
      <c r="V799" s="31">
        <v>104</v>
      </c>
      <c r="W799" s="31">
        <v>0</v>
      </c>
      <c r="X799" s="62">
        <v>0</v>
      </c>
      <c r="Y799" s="31">
        <v>159</v>
      </c>
      <c r="Z799" s="31">
        <v>24</v>
      </c>
      <c r="AA799" s="31">
        <v>0</v>
      </c>
      <c r="AB799" s="31">
        <v>636</v>
      </c>
    </row>
    <row r="800" spans="1:28" ht="55.5" customHeight="1" x14ac:dyDescent="0.2">
      <c r="A800" s="145"/>
      <c r="B800" s="138" t="s">
        <v>572</v>
      </c>
      <c r="C800" s="139"/>
      <c r="D800" s="139"/>
      <c r="E800" s="139"/>
      <c r="F800" s="139"/>
      <c r="G800" s="140"/>
      <c r="H800" s="23">
        <v>14</v>
      </c>
      <c r="I800" s="31">
        <v>11597</v>
      </c>
      <c r="J800" s="31">
        <v>7736</v>
      </c>
      <c r="K800" s="31">
        <v>18</v>
      </c>
      <c r="L800" s="31">
        <v>2</v>
      </c>
      <c r="M800" s="31">
        <v>9</v>
      </c>
      <c r="N800" s="31">
        <v>0</v>
      </c>
      <c r="O800" s="31">
        <v>7548</v>
      </c>
      <c r="P800" s="31">
        <v>7499</v>
      </c>
      <c r="Q800" s="31">
        <v>11</v>
      </c>
      <c r="R800" s="31">
        <v>28</v>
      </c>
      <c r="S800" s="31">
        <v>10</v>
      </c>
      <c r="T800" s="31">
        <v>0</v>
      </c>
      <c r="U800" s="31">
        <v>1486</v>
      </c>
      <c r="V800" s="31">
        <v>10</v>
      </c>
      <c r="W800" s="31">
        <v>32</v>
      </c>
      <c r="X800" s="62">
        <v>26</v>
      </c>
      <c r="Y800" s="31">
        <v>7629</v>
      </c>
      <c r="Z800" s="31">
        <v>7614</v>
      </c>
      <c r="AA800" s="31">
        <v>0</v>
      </c>
      <c r="AB800" s="31">
        <v>4016</v>
      </c>
    </row>
    <row r="801" spans="1:28" ht="27.2" customHeight="1" x14ac:dyDescent="0.2">
      <c r="A801" s="145"/>
      <c r="B801" s="190" t="s">
        <v>32</v>
      </c>
      <c r="C801" s="138" t="s">
        <v>573</v>
      </c>
      <c r="D801" s="139"/>
      <c r="E801" s="139"/>
      <c r="F801" s="139"/>
      <c r="G801" s="140"/>
      <c r="H801" s="23">
        <v>15</v>
      </c>
      <c r="I801" s="31">
        <v>9528</v>
      </c>
      <c r="J801" s="31">
        <v>6221</v>
      </c>
      <c r="K801" s="31">
        <v>13</v>
      </c>
      <c r="L801" s="31">
        <v>1</v>
      </c>
      <c r="M801" s="31">
        <v>7</v>
      </c>
      <c r="N801" s="31">
        <v>0</v>
      </c>
      <c r="O801" s="31">
        <v>6130</v>
      </c>
      <c r="P801" s="31">
        <v>6083</v>
      </c>
      <c r="Q801" s="31">
        <v>11</v>
      </c>
      <c r="R801" s="31">
        <v>27</v>
      </c>
      <c r="S801" s="31">
        <v>9</v>
      </c>
      <c r="T801" s="31">
        <v>0</v>
      </c>
      <c r="U801" s="31">
        <v>916</v>
      </c>
      <c r="V801" s="31">
        <v>4</v>
      </c>
      <c r="W801" s="31">
        <v>30</v>
      </c>
      <c r="X801" s="31">
        <v>20</v>
      </c>
      <c r="Y801" s="31">
        <v>7185</v>
      </c>
      <c r="Z801" s="31">
        <v>7173</v>
      </c>
      <c r="AA801" s="31">
        <v>0</v>
      </c>
      <c r="AB801" s="31">
        <v>3373</v>
      </c>
    </row>
    <row r="802" spans="1:28" ht="26.25" customHeight="1" x14ac:dyDescent="0.2">
      <c r="A802" s="145"/>
      <c r="B802" s="191"/>
      <c r="C802" s="139" t="s">
        <v>574</v>
      </c>
      <c r="D802" s="139"/>
      <c r="E802" s="139"/>
      <c r="F802" s="139"/>
      <c r="G802" s="140"/>
      <c r="H802" s="23">
        <v>16</v>
      </c>
      <c r="I802" s="54">
        <v>2069</v>
      </c>
      <c r="J802" s="54">
        <v>1515</v>
      </c>
      <c r="K802" s="54">
        <v>5</v>
      </c>
      <c r="L802" s="54">
        <v>1</v>
      </c>
      <c r="M802" s="31">
        <v>2</v>
      </c>
      <c r="N802" s="31">
        <v>0</v>
      </c>
      <c r="O802" s="31">
        <v>1418</v>
      </c>
      <c r="P802" s="31">
        <v>1416</v>
      </c>
      <c r="Q802" s="31">
        <v>0</v>
      </c>
      <c r="R802" s="31">
        <v>1</v>
      </c>
      <c r="S802" s="31">
        <v>1</v>
      </c>
      <c r="T802" s="31">
        <v>0</v>
      </c>
      <c r="U802" s="31">
        <v>570</v>
      </c>
      <c r="V802" s="31">
        <v>6</v>
      </c>
      <c r="W802" s="31">
        <v>2</v>
      </c>
      <c r="X802" s="31">
        <v>6</v>
      </c>
      <c r="Y802" s="31">
        <v>444</v>
      </c>
      <c r="Z802" s="31">
        <v>441</v>
      </c>
      <c r="AA802" s="31">
        <v>0</v>
      </c>
      <c r="AB802" s="31">
        <v>643</v>
      </c>
    </row>
    <row r="803" spans="1:28" ht="31.5" customHeight="1" x14ac:dyDescent="0.2">
      <c r="A803" s="145"/>
      <c r="B803" s="138" t="s">
        <v>575</v>
      </c>
      <c r="C803" s="139"/>
      <c r="D803" s="139"/>
      <c r="E803" s="139"/>
      <c r="F803" s="139"/>
      <c r="G803" s="140"/>
      <c r="H803" s="23">
        <v>17</v>
      </c>
      <c r="I803" s="31">
        <v>310</v>
      </c>
      <c r="J803" s="31">
        <v>114</v>
      </c>
      <c r="K803" s="31">
        <v>0</v>
      </c>
      <c r="L803" s="31">
        <v>0</v>
      </c>
      <c r="M803" s="31">
        <v>0</v>
      </c>
      <c r="N803" s="31">
        <v>0</v>
      </c>
      <c r="O803" s="31">
        <v>81</v>
      </c>
      <c r="P803" s="31">
        <v>80</v>
      </c>
      <c r="Q803" s="31">
        <v>0</v>
      </c>
      <c r="R803" s="31">
        <v>1</v>
      </c>
      <c r="S803" s="31">
        <v>0</v>
      </c>
      <c r="T803" s="31">
        <v>0</v>
      </c>
      <c r="U803" s="31">
        <v>10</v>
      </c>
      <c r="V803" s="31">
        <v>8</v>
      </c>
      <c r="W803" s="31">
        <v>0</v>
      </c>
      <c r="X803" s="62">
        <v>0</v>
      </c>
      <c r="Y803" s="31">
        <v>64</v>
      </c>
      <c r="Z803" s="31">
        <v>64</v>
      </c>
      <c r="AA803" s="31">
        <v>0</v>
      </c>
      <c r="AB803" s="31">
        <v>229</v>
      </c>
    </row>
    <row r="804" spans="1:28" ht="27.2" customHeight="1" x14ac:dyDescent="0.2">
      <c r="A804" s="145"/>
      <c r="B804" s="190" t="s">
        <v>32</v>
      </c>
      <c r="C804" s="138" t="s">
        <v>576</v>
      </c>
      <c r="D804" s="139"/>
      <c r="E804" s="139"/>
      <c r="F804" s="139"/>
      <c r="G804" s="140"/>
      <c r="H804" s="23">
        <v>18</v>
      </c>
      <c r="I804" s="31">
        <v>204</v>
      </c>
      <c r="J804" s="31">
        <v>63</v>
      </c>
      <c r="K804" s="31">
        <v>0</v>
      </c>
      <c r="L804" s="31">
        <v>0</v>
      </c>
      <c r="M804" s="31">
        <v>0</v>
      </c>
      <c r="N804" s="31">
        <v>0</v>
      </c>
      <c r="O804" s="31">
        <v>52</v>
      </c>
      <c r="P804" s="31">
        <v>52</v>
      </c>
      <c r="Q804" s="31">
        <v>0</v>
      </c>
      <c r="R804" s="31">
        <v>0</v>
      </c>
      <c r="S804" s="31">
        <v>0</v>
      </c>
      <c r="T804" s="31">
        <v>0</v>
      </c>
      <c r="U804" s="31">
        <v>9</v>
      </c>
      <c r="V804" s="31">
        <v>0</v>
      </c>
      <c r="W804" s="31">
        <v>0</v>
      </c>
      <c r="X804" s="31">
        <v>0</v>
      </c>
      <c r="Y804" s="31">
        <v>54</v>
      </c>
      <c r="Z804" s="31">
        <v>54</v>
      </c>
      <c r="AA804" s="31">
        <v>0</v>
      </c>
      <c r="AB804" s="31">
        <v>152</v>
      </c>
    </row>
    <row r="805" spans="1:28" ht="26.25" customHeight="1" x14ac:dyDescent="0.2">
      <c r="A805" s="145"/>
      <c r="B805" s="191"/>
      <c r="C805" s="139" t="s">
        <v>577</v>
      </c>
      <c r="D805" s="139"/>
      <c r="E805" s="139"/>
      <c r="F805" s="139"/>
      <c r="G805" s="140"/>
      <c r="H805" s="23">
        <v>19</v>
      </c>
      <c r="I805" s="54">
        <v>106</v>
      </c>
      <c r="J805" s="54">
        <v>51</v>
      </c>
      <c r="K805" s="54">
        <v>0</v>
      </c>
      <c r="L805" s="54">
        <v>0</v>
      </c>
      <c r="M805" s="31">
        <v>0</v>
      </c>
      <c r="N805" s="31">
        <v>0</v>
      </c>
      <c r="O805" s="31">
        <v>29</v>
      </c>
      <c r="P805" s="31">
        <v>28</v>
      </c>
      <c r="Q805" s="31">
        <v>0</v>
      </c>
      <c r="R805" s="31">
        <v>1</v>
      </c>
      <c r="S805" s="31">
        <v>0</v>
      </c>
      <c r="T805" s="31">
        <v>0</v>
      </c>
      <c r="U805" s="31">
        <v>1</v>
      </c>
      <c r="V805" s="31">
        <v>8</v>
      </c>
      <c r="W805" s="31">
        <v>0</v>
      </c>
      <c r="X805" s="31">
        <v>0</v>
      </c>
      <c r="Y805" s="31">
        <v>10</v>
      </c>
      <c r="Z805" s="31">
        <v>10</v>
      </c>
      <c r="AA805" s="31">
        <v>0</v>
      </c>
      <c r="AB805" s="31">
        <v>77</v>
      </c>
    </row>
    <row r="806" spans="1:28" ht="40.5" customHeight="1" x14ac:dyDescent="0.2">
      <c r="A806" s="145"/>
      <c r="B806" s="138" t="s">
        <v>578</v>
      </c>
      <c r="C806" s="139"/>
      <c r="D806" s="139"/>
      <c r="E806" s="139"/>
      <c r="F806" s="139"/>
      <c r="G806" s="140"/>
      <c r="H806" s="23">
        <v>20</v>
      </c>
      <c r="I806" s="31">
        <v>251</v>
      </c>
      <c r="J806" s="31">
        <v>172</v>
      </c>
      <c r="K806" s="31">
        <v>0</v>
      </c>
      <c r="L806" s="31">
        <v>0</v>
      </c>
      <c r="M806" s="31">
        <v>0</v>
      </c>
      <c r="N806" s="31">
        <v>0</v>
      </c>
      <c r="O806" s="31">
        <v>110</v>
      </c>
      <c r="P806" s="31">
        <v>110</v>
      </c>
      <c r="Q806" s="31">
        <v>0</v>
      </c>
      <c r="R806" s="31">
        <v>0</v>
      </c>
      <c r="S806" s="31">
        <v>0</v>
      </c>
      <c r="T806" s="31">
        <v>0</v>
      </c>
      <c r="U806" s="31">
        <v>29</v>
      </c>
      <c r="V806" s="31">
        <v>53</v>
      </c>
      <c r="W806" s="31">
        <v>0</v>
      </c>
      <c r="X806" s="62">
        <v>1</v>
      </c>
      <c r="Y806" s="31">
        <v>14</v>
      </c>
      <c r="Z806" s="31">
        <v>13</v>
      </c>
      <c r="AA806" s="31">
        <v>0</v>
      </c>
      <c r="AB806" s="31">
        <v>140</v>
      </c>
    </row>
    <row r="807" spans="1:28" ht="27.2" customHeight="1" x14ac:dyDescent="0.2">
      <c r="A807" s="145"/>
      <c r="B807" s="190" t="s">
        <v>32</v>
      </c>
      <c r="C807" s="138" t="s">
        <v>579</v>
      </c>
      <c r="D807" s="139"/>
      <c r="E807" s="139"/>
      <c r="F807" s="139"/>
      <c r="G807" s="140"/>
      <c r="H807" s="23">
        <v>21</v>
      </c>
      <c r="I807" s="31">
        <v>14</v>
      </c>
      <c r="J807" s="31">
        <v>9</v>
      </c>
      <c r="K807" s="31">
        <v>0</v>
      </c>
      <c r="L807" s="31">
        <v>0</v>
      </c>
      <c r="M807" s="31">
        <v>0</v>
      </c>
      <c r="N807" s="31">
        <v>0</v>
      </c>
      <c r="O807" s="31">
        <v>7</v>
      </c>
      <c r="P807" s="31">
        <v>7</v>
      </c>
      <c r="Q807" s="31">
        <v>0</v>
      </c>
      <c r="R807" s="31">
        <v>0</v>
      </c>
      <c r="S807" s="31">
        <v>0</v>
      </c>
      <c r="T807" s="31">
        <v>0</v>
      </c>
      <c r="U807" s="31">
        <v>3</v>
      </c>
      <c r="V807" s="31">
        <v>0</v>
      </c>
      <c r="W807" s="31">
        <v>0</v>
      </c>
      <c r="X807" s="31">
        <v>0</v>
      </c>
      <c r="Y807" s="31">
        <v>12</v>
      </c>
      <c r="Z807" s="31">
        <v>11</v>
      </c>
      <c r="AA807" s="31">
        <v>0</v>
      </c>
      <c r="AB807" s="31">
        <v>6</v>
      </c>
    </row>
    <row r="808" spans="1:28" ht="26.25" customHeight="1" x14ac:dyDescent="0.2">
      <c r="A808" s="145"/>
      <c r="B808" s="191"/>
      <c r="C808" s="139" t="s">
        <v>580</v>
      </c>
      <c r="D808" s="139"/>
      <c r="E808" s="139"/>
      <c r="F808" s="139"/>
      <c r="G808" s="140"/>
      <c r="H808" s="23">
        <v>22</v>
      </c>
      <c r="I808" s="54">
        <v>237</v>
      </c>
      <c r="J808" s="54">
        <v>163</v>
      </c>
      <c r="K808" s="54">
        <v>0</v>
      </c>
      <c r="L808" s="54">
        <v>0</v>
      </c>
      <c r="M808" s="31">
        <v>0</v>
      </c>
      <c r="N808" s="31">
        <v>0</v>
      </c>
      <c r="O808" s="31">
        <v>103</v>
      </c>
      <c r="P808" s="31">
        <v>103</v>
      </c>
      <c r="Q808" s="31">
        <v>0</v>
      </c>
      <c r="R808" s="31">
        <v>0</v>
      </c>
      <c r="S808" s="31">
        <v>0</v>
      </c>
      <c r="T808" s="31">
        <v>0</v>
      </c>
      <c r="U808" s="31">
        <v>26</v>
      </c>
      <c r="V808" s="31">
        <v>53</v>
      </c>
      <c r="W808" s="31">
        <v>0</v>
      </c>
      <c r="X808" s="31">
        <v>1</v>
      </c>
      <c r="Y808" s="31">
        <v>2</v>
      </c>
      <c r="Z808" s="31">
        <v>2</v>
      </c>
      <c r="AA808" s="31">
        <v>0</v>
      </c>
      <c r="AB808" s="31">
        <v>134</v>
      </c>
    </row>
    <row r="809" spans="1:28" ht="54" customHeight="1" x14ac:dyDescent="0.2">
      <c r="A809" s="145"/>
      <c r="B809" s="138" t="s">
        <v>581</v>
      </c>
      <c r="C809" s="139"/>
      <c r="D809" s="139"/>
      <c r="E809" s="139"/>
      <c r="F809" s="139"/>
      <c r="G809" s="140"/>
      <c r="H809" s="23">
        <v>23</v>
      </c>
      <c r="I809" s="31">
        <v>3</v>
      </c>
      <c r="J809" s="31">
        <v>3</v>
      </c>
      <c r="K809" s="31">
        <v>0</v>
      </c>
      <c r="L809" s="31">
        <v>0</v>
      </c>
      <c r="M809" s="31">
        <v>0</v>
      </c>
      <c r="N809" s="31">
        <v>0</v>
      </c>
      <c r="O809" s="31">
        <v>3</v>
      </c>
      <c r="P809" s="31">
        <v>3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6"/>
      <c r="B810" s="138" t="s">
        <v>582</v>
      </c>
      <c r="C810" s="139"/>
      <c r="D810" s="139"/>
      <c r="E810" s="139"/>
      <c r="F810" s="139"/>
      <c r="G810" s="140"/>
      <c r="H810" s="23">
        <v>24</v>
      </c>
      <c r="I810" s="31">
        <v>51</v>
      </c>
      <c r="J810" s="31">
        <v>44</v>
      </c>
      <c r="K810" s="31">
        <v>0</v>
      </c>
      <c r="L810" s="31">
        <v>0</v>
      </c>
      <c r="M810" s="31">
        <v>0</v>
      </c>
      <c r="N810" s="31">
        <v>0</v>
      </c>
      <c r="O810" s="31">
        <v>39</v>
      </c>
      <c r="P810" s="31">
        <v>39</v>
      </c>
      <c r="Q810" s="31">
        <v>0</v>
      </c>
      <c r="R810" s="31">
        <v>0</v>
      </c>
      <c r="S810" s="31">
        <v>0</v>
      </c>
      <c r="T810" s="31">
        <v>0</v>
      </c>
      <c r="U810" s="31">
        <v>11</v>
      </c>
      <c r="V810" s="31">
        <v>16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12</v>
      </c>
    </row>
    <row r="811" spans="1:28" ht="12.75" customHeight="1" x14ac:dyDescent="0.2">
      <c r="A811" s="150" t="s">
        <v>41</v>
      </c>
      <c r="B811" s="151"/>
      <c r="C811" s="151"/>
      <c r="D811" s="151"/>
      <c r="E811" s="151"/>
      <c r="F811" s="151"/>
      <c r="G811" s="152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44" t="s">
        <v>165</v>
      </c>
      <c r="B812" s="138" t="s">
        <v>583</v>
      </c>
      <c r="C812" s="139"/>
      <c r="D812" s="139"/>
      <c r="E812" s="139"/>
      <c r="F812" s="139"/>
      <c r="G812" s="140"/>
      <c r="H812" s="23">
        <v>25</v>
      </c>
      <c r="I812" s="31">
        <v>1</v>
      </c>
      <c r="J812" s="31">
        <v>1</v>
      </c>
      <c r="K812" s="31">
        <v>0</v>
      </c>
      <c r="L812" s="31">
        <v>0</v>
      </c>
      <c r="M812" s="31">
        <v>0</v>
      </c>
      <c r="N812" s="31">
        <v>0</v>
      </c>
      <c r="O812" s="31">
        <v>1</v>
      </c>
      <c r="P812" s="31">
        <v>1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0</v>
      </c>
    </row>
    <row r="813" spans="1:28" ht="27.2" customHeight="1" x14ac:dyDescent="0.2">
      <c r="A813" s="145"/>
      <c r="B813" s="138" t="s">
        <v>584</v>
      </c>
      <c r="C813" s="139"/>
      <c r="D813" s="139"/>
      <c r="E813" s="139"/>
      <c r="F813" s="139"/>
      <c r="G813" s="140"/>
      <c r="H813" s="23">
        <v>26</v>
      </c>
      <c r="I813" s="31">
        <v>12</v>
      </c>
      <c r="J813" s="31">
        <v>10</v>
      </c>
      <c r="K813" s="31">
        <v>0</v>
      </c>
      <c r="L813" s="31">
        <v>0</v>
      </c>
      <c r="M813" s="31">
        <v>0</v>
      </c>
      <c r="N813" s="31">
        <v>0</v>
      </c>
      <c r="O813" s="31">
        <v>10</v>
      </c>
      <c r="P813" s="31">
        <v>10</v>
      </c>
      <c r="Q813" s="31">
        <v>0</v>
      </c>
      <c r="R813" s="31">
        <v>0</v>
      </c>
      <c r="S813" s="31">
        <v>0</v>
      </c>
      <c r="T813" s="31">
        <v>0</v>
      </c>
      <c r="U813" s="31">
        <v>2</v>
      </c>
      <c r="V813" s="31">
        <v>0</v>
      </c>
      <c r="W813" s="31">
        <v>0</v>
      </c>
      <c r="X813" s="62">
        <v>0</v>
      </c>
      <c r="Y813" s="31">
        <v>1</v>
      </c>
      <c r="Z813" s="31">
        <v>1</v>
      </c>
      <c r="AA813" s="31">
        <v>0</v>
      </c>
      <c r="AB813" s="31">
        <v>2</v>
      </c>
    </row>
    <row r="814" spans="1:28" ht="27.2" customHeight="1" x14ac:dyDescent="0.2">
      <c r="A814" s="145"/>
      <c r="B814" s="39" t="s">
        <v>32</v>
      </c>
      <c r="C814" s="138" t="s">
        <v>585</v>
      </c>
      <c r="D814" s="139"/>
      <c r="E814" s="139"/>
      <c r="F814" s="139"/>
      <c r="G814" s="140"/>
      <c r="H814" s="23">
        <v>27</v>
      </c>
      <c r="I814" s="31">
        <v>1</v>
      </c>
      <c r="J814" s="31">
        <v>1</v>
      </c>
      <c r="K814" s="31">
        <v>0</v>
      </c>
      <c r="L814" s="31">
        <v>0</v>
      </c>
      <c r="M814" s="31">
        <v>0</v>
      </c>
      <c r="N814" s="31">
        <v>0</v>
      </c>
      <c r="O814" s="31">
        <v>1</v>
      </c>
      <c r="P814" s="31">
        <v>1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0</v>
      </c>
      <c r="Z814" s="31">
        <v>0</v>
      </c>
      <c r="AA814" s="31">
        <v>0</v>
      </c>
      <c r="AB814" s="31">
        <v>0</v>
      </c>
    </row>
    <row r="815" spans="1:28" ht="33" customHeight="1" x14ac:dyDescent="0.2">
      <c r="A815" s="145"/>
      <c r="B815" s="138" t="s">
        <v>586</v>
      </c>
      <c r="C815" s="139"/>
      <c r="D815" s="139"/>
      <c r="E815" s="139"/>
      <c r="F815" s="139"/>
      <c r="G815" s="140"/>
      <c r="H815" s="23">
        <v>28</v>
      </c>
      <c r="I815" s="31">
        <v>1</v>
      </c>
      <c r="J815" s="31">
        <v>1</v>
      </c>
      <c r="K815" s="31">
        <v>0</v>
      </c>
      <c r="L815" s="31">
        <v>0</v>
      </c>
      <c r="M815" s="31">
        <v>0</v>
      </c>
      <c r="N815" s="31">
        <v>0</v>
      </c>
      <c r="O815" s="31">
        <v>1</v>
      </c>
      <c r="P815" s="31">
        <v>1</v>
      </c>
      <c r="Q815" s="31">
        <v>0</v>
      </c>
      <c r="R815" s="31">
        <v>0</v>
      </c>
      <c r="S815" s="31">
        <v>0</v>
      </c>
      <c r="T815" s="31">
        <v>0</v>
      </c>
      <c r="U815" s="31">
        <v>0</v>
      </c>
      <c r="V815" s="31">
        <v>0</v>
      </c>
      <c r="W815" s="31">
        <v>0</v>
      </c>
      <c r="X815" s="62">
        <v>0</v>
      </c>
      <c r="Y815" s="31">
        <v>0</v>
      </c>
      <c r="Z815" s="31">
        <v>0</v>
      </c>
      <c r="AA815" s="31">
        <v>0</v>
      </c>
      <c r="AB815" s="31">
        <v>0</v>
      </c>
    </row>
    <row r="816" spans="1:28" ht="49.5" customHeight="1" x14ac:dyDescent="0.2">
      <c r="A816" s="145"/>
      <c r="B816" s="138" t="s">
        <v>587</v>
      </c>
      <c r="C816" s="139"/>
      <c r="D816" s="139"/>
      <c r="E816" s="139"/>
      <c r="F816" s="139"/>
      <c r="G816" s="140"/>
      <c r="H816" s="23">
        <v>29</v>
      </c>
      <c r="I816" s="31">
        <v>1072</v>
      </c>
      <c r="J816" s="31">
        <v>1030</v>
      </c>
      <c r="K816" s="31">
        <v>1</v>
      </c>
      <c r="L816" s="31">
        <v>0</v>
      </c>
      <c r="M816" s="31">
        <v>0</v>
      </c>
      <c r="N816" s="31">
        <v>0</v>
      </c>
      <c r="O816" s="31">
        <v>887</v>
      </c>
      <c r="P816" s="31">
        <v>887</v>
      </c>
      <c r="Q816" s="31">
        <v>0</v>
      </c>
      <c r="R816" s="31">
        <v>0</v>
      </c>
      <c r="S816" s="31">
        <v>0</v>
      </c>
      <c r="T816" s="31">
        <v>0</v>
      </c>
      <c r="U816" s="31">
        <v>295</v>
      </c>
      <c r="V816" s="31">
        <v>168</v>
      </c>
      <c r="W816" s="31">
        <v>2</v>
      </c>
      <c r="X816" s="62">
        <v>0</v>
      </c>
      <c r="Y816" s="31">
        <v>41</v>
      </c>
      <c r="Z816" s="31">
        <v>40</v>
      </c>
      <c r="AA816" s="31">
        <v>0</v>
      </c>
      <c r="AB816" s="31">
        <v>183</v>
      </c>
    </row>
    <row r="817" spans="1:28" ht="29.25" customHeight="1" x14ac:dyDescent="0.2">
      <c r="A817" s="145"/>
      <c r="B817" s="39" t="s">
        <v>32</v>
      </c>
      <c r="C817" s="138" t="s">
        <v>588</v>
      </c>
      <c r="D817" s="139"/>
      <c r="E817" s="139"/>
      <c r="F817" s="139"/>
      <c r="G817" s="140"/>
      <c r="H817" s="23">
        <v>30</v>
      </c>
      <c r="I817" s="31">
        <v>69</v>
      </c>
      <c r="J817" s="31">
        <v>65</v>
      </c>
      <c r="K817" s="31">
        <v>0</v>
      </c>
      <c r="L817" s="31">
        <v>0</v>
      </c>
      <c r="M817" s="31">
        <v>0</v>
      </c>
      <c r="N817" s="31">
        <v>0</v>
      </c>
      <c r="O817" s="31">
        <v>55</v>
      </c>
      <c r="P817" s="31">
        <v>55</v>
      </c>
      <c r="Q817" s="31">
        <v>0</v>
      </c>
      <c r="R817" s="31">
        <v>0</v>
      </c>
      <c r="S817" s="31">
        <v>0</v>
      </c>
      <c r="T817" s="31">
        <v>0</v>
      </c>
      <c r="U817" s="31">
        <v>26</v>
      </c>
      <c r="V817" s="31">
        <v>16</v>
      </c>
      <c r="W817" s="31">
        <v>0</v>
      </c>
      <c r="X817" s="62">
        <v>0</v>
      </c>
      <c r="Y817" s="31">
        <v>4</v>
      </c>
      <c r="Z817" s="31">
        <v>4</v>
      </c>
      <c r="AA817" s="31">
        <v>0</v>
      </c>
      <c r="AB817" s="31">
        <v>14</v>
      </c>
    </row>
    <row r="818" spans="1:28" ht="49.5" customHeight="1" x14ac:dyDescent="0.2">
      <c r="A818" s="145"/>
      <c r="B818" s="138" t="s">
        <v>589</v>
      </c>
      <c r="C818" s="139"/>
      <c r="D818" s="139"/>
      <c r="E818" s="139"/>
      <c r="F818" s="139"/>
      <c r="G818" s="140"/>
      <c r="H818" s="23">
        <v>31</v>
      </c>
      <c r="I818" s="31">
        <v>1140</v>
      </c>
      <c r="J818" s="31">
        <v>1140</v>
      </c>
      <c r="K818" s="31">
        <v>11</v>
      </c>
      <c r="L818" s="31">
        <v>0</v>
      </c>
      <c r="M818" s="31">
        <v>11</v>
      </c>
      <c r="N818" s="31">
        <v>0</v>
      </c>
      <c r="O818" s="31">
        <v>1033</v>
      </c>
      <c r="P818" s="31">
        <v>1033</v>
      </c>
      <c r="Q818" s="31">
        <v>0</v>
      </c>
      <c r="R818" s="31">
        <v>0</v>
      </c>
      <c r="S818" s="31">
        <v>0</v>
      </c>
      <c r="T818" s="31">
        <v>0</v>
      </c>
      <c r="U818" s="31">
        <v>57</v>
      </c>
      <c r="V818" s="31">
        <v>162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96</v>
      </c>
    </row>
    <row r="819" spans="1:28" ht="26.25" customHeight="1" x14ac:dyDescent="0.2">
      <c r="A819" s="145"/>
      <c r="B819" s="39" t="s">
        <v>32</v>
      </c>
      <c r="C819" s="138" t="s">
        <v>568</v>
      </c>
      <c r="D819" s="139"/>
      <c r="E819" s="139"/>
      <c r="F819" s="139"/>
      <c r="G819" s="140"/>
      <c r="H819" s="23">
        <v>32</v>
      </c>
      <c r="I819" s="31">
        <v>161</v>
      </c>
      <c r="J819" s="31">
        <v>161</v>
      </c>
      <c r="K819" s="31">
        <v>0</v>
      </c>
      <c r="L819" s="31">
        <v>0</v>
      </c>
      <c r="M819" s="31">
        <v>0</v>
      </c>
      <c r="N819" s="31">
        <v>0</v>
      </c>
      <c r="O819" s="31">
        <v>161</v>
      </c>
      <c r="P819" s="31">
        <v>161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161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45"/>
      <c r="B820" s="138" t="s">
        <v>590</v>
      </c>
      <c r="C820" s="139"/>
      <c r="D820" s="139"/>
      <c r="E820" s="139"/>
      <c r="F820" s="139"/>
      <c r="G820" s="140"/>
      <c r="H820" s="23">
        <v>33</v>
      </c>
      <c r="I820" s="31">
        <v>3</v>
      </c>
      <c r="J820" s="31">
        <v>1</v>
      </c>
      <c r="K820" s="31">
        <v>0</v>
      </c>
      <c r="L820" s="31">
        <v>0</v>
      </c>
      <c r="M820" s="31">
        <v>0</v>
      </c>
      <c r="N820" s="31">
        <v>0</v>
      </c>
      <c r="O820" s="31">
        <v>1</v>
      </c>
      <c r="P820" s="31">
        <v>1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2</v>
      </c>
    </row>
    <row r="821" spans="1:28" ht="27.2" customHeight="1" x14ac:dyDescent="0.2">
      <c r="A821" s="145"/>
      <c r="B821" s="190" t="s">
        <v>32</v>
      </c>
      <c r="C821" s="138" t="s">
        <v>591</v>
      </c>
      <c r="D821" s="139"/>
      <c r="E821" s="139"/>
      <c r="F821" s="139"/>
      <c r="G821" s="140"/>
      <c r="H821" s="23">
        <v>34</v>
      </c>
      <c r="I821" s="31">
        <v>2</v>
      </c>
      <c r="J821" s="31">
        <v>0</v>
      </c>
      <c r="K821" s="31">
        <v>0</v>
      </c>
      <c r="L821" s="31">
        <v>0</v>
      </c>
      <c r="M821" s="31">
        <v>0</v>
      </c>
      <c r="N821" s="31">
        <v>0</v>
      </c>
      <c r="O821" s="31">
        <v>0</v>
      </c>
      <c r="P821" s="31">
        <v>0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2</v>
      </c>
    </row>
    <row r="822" spans="1:28" ht="26.25" customHeight="1" x14ac:dyDescent="0.2">
      <c r="A822" s="145"/>
      <c r="B822" s="191"/>
      <c r="C822" s="139" t="s">
        <v>592</v>
      </c>
      <c r="D822" s="139"/>
      <c r="E822" s="139"/>
      <c r="F822" s="139"/>
      <c r="G822" s="140"/>
      <c r="H822" s="23">
        <v>35</v>
      </c>
      <c r="I822" s="54">
        <v>1</v>
      </c>
      <c r="J822" s="54">
        <v>1</v>
      </c>
      <c r="K822" s="54">
        <v>0</v>
      </c>
      <c r="L822" s="54">
        <v>0</v>
      </c>
      <c r="M822" s="31">
        <v>0</v>
      </c>
      <c r="N822" s="31">
        <v>0</v>
      </c>
      <c r="O822" s="31">
        <v>1</v>
      </c>
      <c r="P822" s="31">
        <v>1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0</v>
      </c>
    </row>
    <row r="823" spans="1:28" ht="39.75" customHeight="1" x14ac:dyDescent="0.2">
      <c r="A823" s="145"/>
      <c r="B823" s="138" t="s">
        <v>593</v>
      </c>
      <c r="C823" s="139"/>
      <c r="D823" s="139"/>
      <c r="E823" s="139"/>
      <c r="F823" s="139"/>
      <c r="G823" s="140"/>
      <c r="H823" s="23">
        <v>36</v>
      </c>
      <c r="I823" s="31">
        <v>164</v>
      </c>
      <c r="J823" s="31">
        <v>139</v>
      </c>
      <c r="K823" s="31">
        <v>0</v>
      </c>
      <c r="L823" s="31">
        <v>0</v>
      </c>
      <c r="M823" s="31">
        <v>0</v>
      </c>
      <c r="N823" s="31">
        <v>0</v>
      </c>
      <c r="O823" s="31">
        <v>20</v>
      </c>
      <c r="P823" s="31">
        <v>20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5</v>
      </c>
      <c r="W823" s="31">
        <v>0</v>
      </c>
      <c r="X823" s="62">
        <v>0</v>
      </c>
      <c r="Y823" s="31">
        <v>3</v>
      </c>
      <c r="Z823" s="31">
        <v>3</v>
      </c>
      <c r="AA823" s="31">
        <v>0</v>
      </c>
      <c r="AB823" s="31">
        <v>144</v>
      </c>
    </row>
    <row r="824" spans="1:28" ht="54" customHeight="1" x14ac:dyDescent="0.2">
      <c r="A824" s="145"/>
      <c r="B824" s="138" t="s">
        <v>594</v>
      </c>
      <c r="C824" s="139"/>
      <c r="D824" s="139"/>
      <c r="E824" s="139"/>
      <c r="F824" s="139"/>
      <c r="G824" s="140"/>
      <c r="H824" s="23">
        <v>37</v>
      </c>
      <c r="I824" s="31">
        <v>359</v>
      </c>
      <c r="J824" s="31">
        <v>327</v>
      </c>
      <c r="K824" s="31">
        <v>0</v>
      </c>
      <c r="L824" s="31">
        <v>0</v>
      </c>
      <c r="M824" s="31">
        <v>0</v>
      </c>
      <c r="N824" s="31">
        <v>0</v>
      </c>
      <c r="O824" s="31">
        <v>313</v>
      </c>
      <c r="P824" s="31">
        <v>313</v>
      </c>
      <c r="Q824" s="31">
        <v>0</v>
      </c>
      <c r="R824" s="31">
        <v>0</v>
      </c>
      <c r="S824" s="31">
        <v>0</v>
      </c>
      <c r="T824" s="31">
        <v>0</v>
      </c>
      <c r="U824" s="31">
        <v>115</v>
      </c>
      <c r="V824" s="31">
        <v>37</v>
      </c>
      <c r="W824" s="31">
        <v>0</v>
      </c>
      <c r="X824" s="31">
        <v>1</v>
      </c>
      <c r="Y824" s="31">
        <v>4</v>
      </c>
      <c r="Z824" s="31">
        <v>4</v>
      </c>
      <c r="AA824" s="31">
        <v>0</v>
      </c>
      <c r="AB824" s="31">
        <v>46</v>
      </c>
    </row>
    <row r="825" spans="1:28" ht="26.25" customHeight="1" x14ac:dyDescent="0.2">
      <c r="A825" s="145"/>
      <c r="B825" s="218" t="s">
        <v>32</v>
      </c>
      <c r="C825" s="138" t="s">
        <v>567</v>
      </c>
      <c r="D825" s="139"/>
      <c r="E825" s="139"/>
      <c r="F825" s="139"/>
      <c r="G825" s="140"/>
      <c r="H825" s="23">
        <v>38</v>
      </c>
      <c r="I825" s="31">
        <v>12</v>
      </c>
      <c r="J825" s="31">
        <v>5</v>
      </c>
      <c r="K825" s="31">
        <v>0</v>
      </c>
      <c r="L825" s="31">
        <v>0</v>
      </c>
      <c r="M825" s="31">
        <v>0</v>
      </c>
      <c r="N825" s="31">
        <v>0</v>
      </c>
      <c r="O825" s="31">
        <v>4</v>
      </c>
      <c r="P825" s="31">
        <v>4</v>
      </c>
      <c r="Q825" s="31">
        <v>0</v>
      </c>
      <c r="R825" s="31">
        <v>0</v>
      </c>
      <c r="S825" s="31">
        <v>0</v>
      </c>
      <c r="T825" s="31">
        <v>0</v>
      </c>
      <c r="U825" s="31">
        <v>1</v>
      </c>
      <c r="V825" s="31">
        <v>3</v>
      </c>
      <c r="W825" s="31">
        <v>0</v>
      </c>
      <c r="X825" s="31">
        <v>0</v>
      </c>
      <c r="Y825" s="31">
        <v>1</v>
      </c>
      <c r="Z825" s="31">
        <v>1</v>
      </c>
      <c r="AA825" s="31">
        <v>0</v>
      </c>
      <c r="AB825" s="31">
        <v>8</v>
      </c>
    </row>
    <row r="826" spans="1:28" ht="23.25" customHeight="1" x14ac:dyDescent="0.2">
      <c r="A826" s="145"/>
      <c r="B826" s="219"/>
      <c r="C826" s="138" t="s">
        <v>568</v>
      </c>
      <c r="D826" s="139"/>
      <c r="E826" s="139"/>
      <c r="F826" s="139"/>
      <c r="G826" s="140"/>
      <c r="H826" s="23">
        <v>39</v>
      </c>
      <c r="I826" s="31">
        <v>175</v>
      </c>
      <c r="J826" s="31">
        <v>165</v>
      </c>
      <c r="K826" s="31">
        <v>0</v>
      </c>
      <c r="L826" s="31">
        <v>0</v>
      </c>
      <c r="M826" s="31">
        <v>0</v>
      </c>
      <c r="N826" s="31">
        <v>0</v>
      </c>
      <c r="O826" s="31">
        <v>155</v>
      </c>
      <c r="P826" s="31">
        <v>155</v>
      </c>
      <c r="Q826" s="31">
        <v>0</v>
      </c>
      <c r="R826" s="31">
        <v>0</v>
      </c>
      <c r="S826" s="31">
        <v>0</v>
      </c>
      <c r="T826" s="31">
        <v>0</v>
      </c>
      <c r="U826" s="31">
        <v>115</v>
      </c>
      <c r="V826" s="31">
        <v>15</v>
      </c>
      <c r="W826" s="31">
        <v>0</v>
      </c>
      <c r="X826" s="31">
        <v>1</v>
      </c>
      <c r="Y826" s="31">
        <v>1</v>
      </c>
      <c r="Z826" s="31">
        <v>1</v>
      </c>
      <c r="AA826" s="31">
        <v>0</v>
      </c>
      <c r="AB826" s="31">
        <v>20</v>
      </c>
    </row>
    <row r="827" spans="1:28" ht="37.5" customHeight="1" x14ac:dyDescent="0.2">
      <c r="A827" s="145"/>
      <c r="B827" s="138" t="s">
        <v>595</v>
      </c>
      <c r="C827" s="139"/>
      <c r="D827" s="139"/>
      <c r="E827" s="139"/>
      <c r="F827" s="139"/>
      <c r="G827" s="140"/>
      <c r="H827" s="23">
        <v>40</v>
      </c>
      <c r="I827" s="31">
        <v>13</v>
      </c>
      <c r="J827" s="31">
        <v>7</v>
      </c>
      <c r="K827" s="31">
        <v>0</v>
      </c>
      <c r="L827" s="31">
        <v>0</v>
      </c>
      <c r="M827" s="31">
        <v>0</v>
      </c>
      <c r="N827" s="31">
        <v>0</v>
      </c>
      <c r="O827" s="31">
        <v>1</v>
      </c>
      <c r="P827" s="31">
        <v>1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12</v>
      </c>
    </row>
    <row r="828" spans="1:28" ht="39.75" customHeight="1" x14ac:dyDescent="0.2">
      <c r="A828" s="145"/>
      <c r="B828" s="138" t="s">
        <v>596</v>
      </c>
      <c r="C828" s="139"/>
      <c r="D828" s="139"/>
      <c r="E828" s="139"/>
      <c r="F828" s="139"/>
      <c r="G828" s="140"/>
      <c r="H828" s="23">
        <v>41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0</v>
      </c>
    </row>
    <row r="829" spans="1:28" ht="27.2" customHeight="1" x14ac:dyDescent="0.2">
      <c r="A829" s="145"/>
      <c r="B829" s="138" t="s">
        <v>597</v>
      </c>
      <c r="C829" s="139"/>
      <c r="D829" s="139"/>
      <c r="E829" s="139"/>
      <c r="F829" s="139"/>
      <c r="G829" s="140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45"/>
      <c r="B830" s="138" t="s">
        <v>598</v>
      </c>
      <c r="C830" s="139"/>
      <c r="D830" s="139"/>
      <c r="E830" s="139"/>
      <c r="F830" s="139"/>
      <c r="G830" s="140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45"/>
      <c r="B831" s="190" t="s">
        <v>32</v>
      </c>
      <c r="C831" s="138" t="s">
        <v>599</v>
      </c>
      <c r="D831" s="139"/>
      <c r="E831" s="139"/>
      <c r="F831" s="139"/>
      <c r="G831" s="140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45"/>
      <c r="B832" s="191"/>
      <c r="C832" s="139" t="s">
        <v>600</v>
      </c>
      <c r="D832" s="139"/>
      <c r="E832" s="139"/>
      <c r="F832" s="139"/>
      <c r="G832" s="140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45"/>
      <c r="B833" s="138" t="s">
        <v>601</v>
      </c>
      <c r="C833" s="139"/>
      <c r="D833" s="139"/>
      <c r="E833" s="139"/>
      <c r="F833" s="139"/>
      <c r="G833" s="140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45"/>
      <c r="B834" s="138" t="s">
        <v>602</v>
      </c>
      <c r="C834" s="139"/>
      <c r="D834" s="139"/>
      <c r="E834" s="139"/>
      <c r="F834" s="139"/>
      <c r="G834" s="140"/>
      <c r="H834" s="23">
        <v>47</v>
      </c>
      <c r="I834" s="31">
        <v>18</v>
      </c>
      <c r="J834" s="31">
        <v>3</v>
      </c>
      <c r="K834" s="31">
        <v>0</v>
      </c>
      <c r="L834" s="31">
        <v>0</v>
      </c>
      <c r="M834" s="31">
        <v>0</v>
      </c>
      <c r="N834" s="31">
        <v>0</v>
      </c>
      <c r="O834" s="31">
        <v>2</v>
      </c>
      <c r="P834" s="31">
        <v>2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1</v>
      </c>
      <c r="Z834" s="31">
        <v>1</v>
      </c>
      <c r="AA834" s="31">
        <v>0</v>
      </c>
      <c r="AB834" s="66">
        <v>16</v>
      </c>
    </row>
    <row r="835" spans="1:28" ht="40.5" customHeight="1" x14ac:dyDescent="0.2">
      <c r="A835" s="145"/>
      <c r="B835" s="138" t="s">
        <v>603</v>
      </c>
      <c r="C835" s="139"/>
      <c r="D835" s="139"/>
      <c r="E835" s="139"/>
      <c r="F835" s="139"/>
      <c r="G835" s="140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45"/>
      <c r="B836" s="138" t="s">
        <v>604</v>
      </c>
      <c r="C836" s="139"/>
      <c r="D836" s="139"/>
      <c r="E836" s="139"/>
      <c r="F836" s="139"/>
      <c r="G836" s="140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6"/>
      <c r="B837" s="138" t="s">
        <v>179</v>
      </c>
      <c r="C837" s="139"/>
      <c r="D837" s="139"/>
      <c r="E837" s="139"/>
      <c r="F837" s="139"/>
      <c r="G837" s="140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8" t="s">
        <v>115</v>
      </c>
      <c r="B838" s="139"/>
      <c r="C838" s="139"/>
      <c r="D838" s="139"/>
      <c r="E838" s="139"/>
      <c r="F838" s="139"/>
      <c r="G838" s="140"/>
      <c r="H838" s="23">
        <v>51</v>
      </c>
      <c r="I838" s="31">
        <f t="shared" ref="I838:AB838" si="15">SUM(I787:I810,I812:I837)</f>
        <v>125023</v>
      </c>
      <c r="J838" s="31">
        <f t="shared" si="15"/>
        <v>98673</v>
      </c>
      <c r="K838" s="31">
        <f t="shared" si="15"/>
        <v>520</v>
      </c>
      <c r="L838" s="31">
        <f t="shared" si="15"/>
        <v>8</v>
      </c>
      <c r="M838" s="31">
        <f t="shared" si="15"/>
        <v>457</v>
      </c>
      <c r="N838" s="31">
        <f t="shared" si="15"/>
        <v>0</v>
      </c>
      <c r="O838" s="31">
        <f t="shared" si="15"/>
        <v>86660</v>
      </c>
      <c r="P838" s="31">
        <f t="shared" si="15"/>
        <v>86293</v>
      </c>
      <c r="Q838" s="31">
        <f t="shared" si="15"/>
        <v>44</v>
      </c>
      <c r="R838" s="31">
        <f t="shared" si="15"/>
        <v>269</v>
      </c>
      <c r="S838" s="31">
        <f t="shared" si="15"/>
        <v>54</v>
      </c>
      <c r="T838" s="31">
        <f t="shared" si="15"/>
        <v>0</v>
      </c>
      <c r="U838" s="31">
        <f t="shared" si="15"/>
        <v>17230</v>
      </c>
      <c r="V838" s="31">
        <f t="shared" si="15"/>
        <v>8716</v>
      </c>
      <c r="W838" s="31">
        <f t="shared" si="15"/>
        <v>154</v>
      </c>
      <c r="X838" s="31">
        <f t="shared" si="15"/>
        <v>449</v>
      </c>
      <c r="Y838" s="31">
        <f t="shared" si="15"/>
        <v>32572</v>
      </c>
      <c r="Z838" s="31">
        <f t="shared" si="15"/>
        <v>32047</v>
      </c>
      <c r="AA838" s="31">
        <f t="shared" si="15"/>
        <v>0</v>
      </c>
      <c r="AB838" s="31">
        <f t="shared" si="15"/>
        <v>37318</v>
      </c>
    </row>
    <row r="839" spans="1:28" ht="5.25" customHeight="1" x14ac:dyDescent="0.2"/>
    <row r="840" spans="1:28" ht="24" customHeight="1" x14ac:dyDescent="0.2">
      <c r="A840" s="215" t="s">
        <v>605</v>
      </c>
      <c r="B840" s="215"/>
      <c r="C840" s="215"/>
      <c r="D840" s="215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  <c r="AA840" s="215"/>
    </row>
    <row r="841" spans="1:28" ht="28.5" customHeight="1" x14ac:dyDescent="0.2">
      <c r="A841" s="178"/>
      <c r="B841" s="179"/>
      <c r="C841" s="179"/>
      <c r="D841" s="179"/>
      <c r="E841" s="179"/>
      <c r="F841" s="179"/>
      <c r="G841" s="180"/>
      <c r="H841" s="187" t="s">
        <v>15</v>
      </c>
      <c r="I841" s="168" t="s">
        <v>1148</v>
      </c>
      <c r="J841" s="168" t="s">
        <v>16</v>
      </c>
      <c r="K841" s="168" t="s">
        <v>17</v>
      </c>
      <c r="L841" s="171" t="s">
        <v>18</v>
      </c>
      <c r="M841" s="172"/>
      <c r="N841" s="173"/>
      <c r="O841" s="168" t="s">
        <v>19</v>
      </c>
      <c r="P841" s="171" t="s">
        <v>20</v>
      </c>
      <c r="Q841" s="172"/>
      <c r="R841" s="172"/>
      <c r="S841" s="173"/>
      <c r="T841" s="168" t="s">
        <v>21</v>
      </c>
      <c r="U841" s="171" t="s">
        <v>22</v>
      </c>
      <c r="V841" s="172"/>
      <c r="W841" s="172"/>
      <c r="X841" s="173"/>
      <c r="Y841" s="171" t="s">
        <v>23</v>
      </c>
      <c r="Z841" s="172"/>
      <c r="AA841" s="173"/>
      <c r="AB841" s="168" t="s">
        <v>24</v>
      </c>
    </row>
    <row r="842" spans="1:28" ht="27.75" customHeight="1" x14ac:dyDescent="0.2">
      <c r="A842" s="181"/>
      <c r="B842" s="182"/>
      <c r="C842" s="182"/>
      <c r="D842" s="182"/>
      <c r="E842" s="182"/>
      <c r="F842" s="182"/>
      <c r="G842" s="183"/>
      <c r="H842" s="188"/>
      <c r="I842" s="170"/>
      <c r="J842" s="170"/>
      <c r="K842" s="170"/>
      <c r="L842" s="168" t="s">
        <v>25</v>
      </c>
      <c r="M842" s="168" t="s">
        <v>26</v>
      </c>
      <c r="N842" s="168" t="s">
        <v>27</v>
      </c>
      <c r="O842" s="170"/>
      <c r="P842" s="168" t="s">
        <v>28</v>
      </c>
      <c r="Q842" s="168" t="s">
        <v>29</v>
      </c>
      <c r="R842" s="168" t="s">
        <v>30</v>
      </c>
      <c r="S842" s="168" t="s">
        <v>31</v>
      </c>
      <c r="T842" s="170"/>
      <c r="U842" s="171" t="s">
        <v>32</v>
      </c>
      <c r="V842" s="172"/>
      <c r="W842" s="172"/>
      <c r="X842" s="173"/>
      <c r="Y842" s="168" t="s">
        <v>33</v>
      </c>
      <c r="Z842" s="171" t="s">
        <v>34</v>
      </c>
      <c r="AA842" s="173"/>
      <c r="AB842" s="170"/>
    </row>
    <row r="843" spans="1:28" ht="74.25" customHeight="1" x14ac:dyDescent="0.2">
      <c r="A843" s="184"/>
      <c r="B843" s="185"/>
      <c r="C843" s="185"/>
      <c r="D843" s="185"/>
      <c r="E843" s="185"/>
      <c r="F843" s="185"/>
      <c r="G843" s="186"/>
      <c r="H843" s="18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9" t="s">
        <v>35</v>
      </c>
      <c r="V843" s="16" t="s">
        <v>36</v>
      </c>
      <c r="W843" s="16" t="s">
        <v>37</v>
      </c>
      <c r="X843" s="16" t="s">
        <v>38</v>
      </c>
      <c r="Y843" s="169"/>
      <c r="Z843" s="18" t="s">
        <v>39</v>
      </c>
      <c r="AA843" s="17" t="s">
        <v>40</v>
      </c>
      <c r="AB843" s="169"/>
    </row>
    <row r="844" spans="1:28" ht="14.25" customHeight="1" x14ac:dyDescent="0.2">
      <c r="A844" s="150" t="s">
        <v>41</v>
      </c>
      <c r="B844" s="151"/>
      <c r="C844" s="151"/>
      <c r="D844" s="151"/>
      <c r="E844" s="151"/>
      <c r="F844" s="151"/>
      <c r="G844" s="152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53" t="s">
        <v>43</v>
      </c>
      <c r="B845" s="154"/>
      <c r="C845" s="154"/>
      <c r="D845" s="154"/>
      <c r="E845" s="154"/>
      <c r="F845" s="154"/>
      <c r="G845" s="155"/>
      <c r="H845" s="23">
        <v>1</v>
      </c>
      <c r="I845" s="31">
        <v>4008</v>
      </c>
      <c r="J845" s="31">
        <v>2040</v>
      </c>
      <c r="K845" s="31">
        <v>78</v>
      </c>
      <c r="L845" s="31">
        <v>0</v>
      </c>
      <c r="M845" s="31">
        <v>77</v>
      </c>
      <c r="N845" s="31">
        <v>0</v>
      </c>
      <c r="O845" s="31">
        <v>1499</v>
      </c>
      <c r="P845" s="31">
        <v>1496</v>
      </c>
      <c r="Q845" s="31">
        <v>1</v>
      </c>
      <c r="R845" s="31">
        <v>0</v>
      </c>
      <c r="S845" s="31">
        <v>2</v>
      </c>
      <c r="T845" s="31">
        <v>0</v>
      </c>
      <c r="U845" s="31">
        <v>351</v>
      </c>
      <c r="V845" s="31">
        <v>98</v>
      </c>
      <c r="W845" s="31">
        <v>0</v>
      </c>
      <c r="X845" s="31">
        <v>12</v>
      </c>
      <c r="Y845" s="31">
        <v>568</v>
      </c>
      <c r="Z845" s="31">
        <v>568</v>
      </c>
      <c r="AA845" s="31">
        <v>0</v>
      </c>
      <c r="AB845" s="31">
        <v>2431</v>
      </c>
    </row>
    <row r="846" spans="1:28" ht="20.25" customHeight="1" x14ac:dyDescent="0.2">
      <c r="A846" s="156" t="s">
        <v>181</v>
      </c>
      <c r="B846" s="158"/>
      <c r="C846" s="165" t="s">
        <v>51</v>
      </c>
      <c r="D846" s="166"/>
      <c r="E846" s="166"/>
      <c r="F846" s="166"/>
      <c r="G846" s="167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9"/>
      <c r="B847" s="161"/>
      <c r="C847" s="165" t="s">
        <v>52</v>
      </c>
      <c r="D847" s="166"/>
      <c r="E847" s="166"/>
      <c r="F847" s="166"/>
      <c r="G847" s="167"/>
      <c r="H847" s="23">
        <v>3</v>
      </c>
      <c r="I847" s="31">
        <v>1833</v>
      </c>
      <c r="J847" s="31">
        <v>1079</v>
      </c>
      <c r="K847" s="31">
        <v>60</v>
      </c>
      <c r="L847" s="31">
        <v>0</v>
      </c>
      <c r="M847" s="31">
        <v>59</v>
      </c>
      <c r="N847" s="31">
        <v>0</v>
      </c>
      <c r="O847" s="31">
        <v>635</v>
      </c>
      <c r="P847" s="31">
        <v>633</v>
      </c>
      <c r="Q847" s="31">
        <v>0</v>
      </c>
      <c r="R847" s="31">
        <v>0</v>
      </c>
      <c r="S847" s="31">
        <v>2</v>
      </c>
      <c r="T847" s="31">
        <v>0</v>
      </c>
      <c r="U847" s="31">
        <v>259</v>
      </c>
      <c r="V847" s="31">
        <v>94</v>
      </c>
      <c r="W847" s="31">
        <v>0</v>
      </c>
      <c r="X847" s="31">
        <v>12</v>
      </c>
      <c r="Y847" s="31">
        <v>23</v>
      </c>
      <c r="Z847" s="31">
        <v>23</v>
      </c>
      <c r="AA847" s="31">
        <v>0</v>
      </c>
      <c r="AB847" s="31">
        <v>1138</v>
      </c>
    </row>
    <row r="848" spans="1:28" ht="20.25" customHeight="1" x14ac:dyDescent="0.2">
      <c r="A848" s="159"/>
      <c r="B848" s="161"/>
      <c r="C848" s="165" t="s">
        <v>182</v>
      </c>
      <c r="D848" s="166"/>
      <c r="E848" s="166"/>
      <c r="F848" s="166"/>
      <c r="G848" s="167"/>
      <c r="H848" s="23">
        <v>4</v>
      </c>
      <c r="I848" s="31">
        <v>1864</v>
      </c>
      <c r="J848" s="31">
        <v>703</v>
      </c>
      <c r="K848" s="31">
        <v>18</v>
      </c>
      <c r="L848" s="31">
        <v>0</v>
      </c>
      <c r="M848" s="31">
        <v>18</v>
      </c>
      <c r="N848" s="31">
        <v>0</v>
      </c>
      <c r="O848" s="31">
        <v>606</v>
      </c>
      <c r="P848" s="31">
        <v>605</v>
      </c>
      <c r="Q848" s="31">
        <v>1</v>
      </c>
      <c r="R848" s="31">
        <v>0</v>
      </c>
      <c r="S848" s="31">
        <v>0</v>
      </c>
      <c r="T848" s="31">
        <v>0</v>
      </c>
      <c r="U848" s="31">
        <v>51</v>
      </c>
      <c r="V848" s="31">
        <v>4</v>
      </c>
      <c r="W848" s="31">
        <v>0</v>
      </c>
      <c r="X848" s="31">
        <v>0</v>
      </c>
      <c r="Y848" s="31">
        <v>476</v>
      </c>
      <c r="Z848" s="31">
        <v>476</v>
      </c>
      <c r="AA848" s="31">
        <v>0</v>
      </c>
      <c r="AB848" s="31">
        <v>1240</v>
      </c>
    </row>
    <row r="849" spans="1:28" ht="20.25" customHeight="1" x14ac:dyDescent="0.2">
      <c r="A849" s="162"/>
      <c r="B849" s="164"/>
      <c r="C849" s="165" t="s">
        <v>49</v>
      </c>
      <c r="D849" s="166"/>
      <c r="E849" s="166"/>
      <c r="F849" s="166"/>
      <c r="G849" s="167"/>
      <c r="H849" s="23">
        <v>5</v>
      </c>
      <c r="I849" s="31">
        <v>311</v>
      </c>
      <c r="J849" s="31">
        <v>258</v>
      </c>
      <c r="K849" s="31">
        <v>0</v>
      </c>
      <c r="L849" s="31">
        <v>0</v>
      </c>
      <c r="M849" s="31">
        <v>0</v>
      </c>
      <c r="N849" s="31">
        <v>0</v>
      </c>
      <c r="O849" s="31">
        <v>258</v>
      </c>
      <c r="P849" s="31">
        <v>258</v>
      </c>
      <c r="Q849" s="31">
        <v>0</v>
      </c>
      <c r="R849" s="31">
        <v>0</v>
      </c>
      <c r="S849" s="31">
        <v>0</v>
      </c>
      <c r="T849" s="31">
        <v>0</v>
      </c>
      <c r="U849" s="31">
        <v>41</v>
      </c>
      <c r="V849" s="31">
        <v>0</v>
      </c>
      <c r="W849" s="31">
        <v>0</v>
      </c>
      <c r="X849" s="31">
        <v>0</v>
      </c>
      <c r="Y849" s="31">
        <v>69</v>
      </c>
      <c r="Z849" s="31">
        <v>69</v>
      </c>
      <c r="AA849" s="31">
        <v>0</v>
      </c>
      <c r="AB849" s="31">
        <v>53</v>
      </c>
    </row>
    <row r="850" spans="1:28" ht="27.2" customHeight="1" x14ac:dyDescent="0.2">
      <c r="A850" s="144" t="s">
        <v>165</v>
      </c>
      <c r="B850" s="138" t="s">
        <v>606</v>
      </c>
      <c r="C850" s="139"/>
      <c r="D850" s="139"/>
      <c r="E850" s="139"/>
      <c r="F850" s="139"/>
      <c r="G850" s="140"/>
      <c r="H850" s="23">
        <v>6</v>
      </c>
      <c r="I850" s="31">
        <v>11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1</v>
      </c>
      <c r="P850" s="31">
        <v>1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10</v>
      </c>
    </row>
    <row r="851" spans="1:28" ht="35.25" customHeight="1" x14ac:dyDescent="0.2">
      <c r="A851" s="145"/>
      <c r="B851" s="138" t="s">
        <v>607</v>
      </c>
      <c r="C851" s="139"/>
      <c r="D851" s="139"/>
      <c r="E851" s="139"/>
      <c r="F851" s="139"/>
      <c r="G851" s="140"/>
      <c r="H851" s="23">
        <v>7</v>
      </c>
      <c r="I851" s="31">
        <v>1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1</v>
      </c>
    </row>
    <row r="852" spans="1:28" ht="53.25" customHeight="1" x14ac:dyDescent="0.2">
      <c r="A852" s="145"/>
      <c r="B852" s="138" t="s">
        <v>608</v>
      </c>
      <c r="C852" s="139"/>
      <c r="D852" s="139"/>
      <c r="E852" s="139"/>
      <c r="F852" s="139"/>
      <c r="G852" s="140"/>
      <c r="H852" s="23">
        <v>8</v>
      </c>
      <c r="I852" s="31">
        <v>1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1</v>
      </c>
    </row>
    <row r="853" spans="1:28" ht="27.2" customHeight="1" x14ac:dyDescent="0.2">
      <c r="A853" s="145"/>
      <c r="B853" s="138" t="s">
        <v>609</v>
      </c>
      <c r="C853" s="139"/>
      <c r="D853" s="139"/>
      <c r="E853" s="139"/>
      <c r="F853" s="139"/>
      <c r="G853" s="140"/>
      <c r="H853" s="23">
        <v>9</v>
      </c>
      <c r="I853" s="31">
        <v>1873</v>
      </c>
      <c r="J853" s="31">
        <v>1111</v>
      </c>
      <c r="K853" s="31">
        <v>61</v>
      </c>
      <c r="L853" s="31">
        <v>0</v>
      </c>
      <c r="M853" s="31">
        <v>60</v>
      </c>
      <c r="N853" s="31">
        <v>0</v>
      </c>
      <c r="O853" s="31">
        <v>661</v>
      </c>
      <c r="P853" s="31">
        <v>659</v>
      </c>
      <c r="Q853" s="31">
        <v>0</v>
      </c>
      <c r="R853" s="31">
        <v>0</v>
      </c>
      <c r="S853" s="31">
        <v>2</v>
      </c>
      <c r="T853" s="31">
        <v>0</v>
      </c>
      <c r="U853" s="31">
        <v>260</v>
      </c>
      <c r="V853" s="31">
        <v>95</v>
      </c>
      <c r="W853" s="31">
        <v>0</v>
      </c>
      <c r="X853" s="31">
        <v>12</v>
      </c>
      <c r="Y853" s="31">
        <v>23</v>
      </c>
      <c r="Z853" s="31">
        <v>23</v>
      </c>
      <c r="AA853" s="31">
        <v>0</v>
      </c>
      <c r="AB853" s="31">
        <v>1151</v>
      </c>
    </row>
    <row r="854" spans="1:28" ht="28.5" customHeight="1" x14ac:dyDescent="0.2">
      <c r="A854" s="145"/>
      <c r="B854" s="138" t="s">
        <v>610</v>
      </c>
      <c r="C854" s="139"/>
      <c r="D854" s="139"/>
      <c r="E854" s="139"/>
      <c r="F854" s="139"/>
      <c r="G854" s="140"/>
      <c r="H854" s="23">
        <v>10</v>
      </c>
      <c r="I854" s="31">
        <v>3</v>
      </c>
      <c r="J854" s="31">
        <v>2</v>
      </c>
      <c r="K854" s="31">
        <v>1</v>
      </c>
      <c r="L854" s="31">
        <v>0</v>
      </c>
      <c r="M854" s="31">
        <v>1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2</v>
      </c>
    </row>
    <row r="855" spans="1:28" ht="30" customHeight="1" x14ac:dyDescent="0.2">
      <c r="A855" s="145"/>
      <c r="B855" s="138" t="s">
        <v>611</v>
      </c>
      <c r="C855" s="139"/>
      <c r="D855" s="139"/>
      <c r="E855" s="139"/>
      <c r="F855" s="139"/>
      <c r="G855" s="140"/>
      <c r="H855" s="23">
        <v>11</v>
      </c>
      <c r="I855" s="31">
        <v>11</v>
      </c>
      <c r="J855" s="31">
        <v>6</v>
      </c>
      <c r="K855" s="31">
        <v>0</v>
      </c>
      <c r="L855" s="31">
        <v>0</v>
      </c>
      <c r="M855" s="31">
        <v>0</v>
      </c>
      <c r="N855" s="31">
        <v>0</v>
      </c>
      <c r="O855" s="31">
        <v>4</v>
      </c>
      <c r="P855" s="31">
        <v>4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7</v>
      </c>
    </row>
    <row r="856" spans="1:28" ht="39.75" customHeight="1" x14ac:dyDescent="0.2">
      <c r="A856" s="145"/>
      <c r="B856" s="138" t="s">
        <v>612</v>
      </c>
      <c r="C856" s="139"/>
      <c r="D856" s="139"/>
      <c r="E856" s="139"/>
      <c r="F856" s="139"/>
      <c r="G856" s="140"/>
      <c r="H856" s="23">
        <v>12</v>
      </c>
      <c r="I856" s="31">
        <v>33</v>
      </c>
      <c r="J856" s="31">
        <v>5</v>
      </c>
      <c r="K856" s="31">
        <v>0</v>
      </c>
      <c r="L856" s="31">
        <v>0</v>
      </c>
      <c r="M856" s="31">
        <v>0</v>
      </c>
      <c r="N856" s="31">
        <v>0</v>
      </c>
      <c r="O856" s="31">
        <v>3</v>
      </c>
      <c r="P856" s="31">
        <v>3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30</v>
      </c>
    </row>
    <row r="857" spans="1:28" ht="27.75" customHeight="1" x14ac:dyDescent="0.2">
      <c r="A857" s="146"/>
      <c r="B857" s="138" t="s">
        <v>613</v>
      </c>
      <c r="C857" s="139"/>
      <c r="D857" s="139"/>
      <c r="E857" s="139"/>
      <c r="F857" s="139"/>
      <c r="G857" s="140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50" t="s">
        <v>41</v>
      </c>
      <c r="B858" s="151"/>
      <c r="C858" s="151"/>
      <c r="D858" s="151"/>
      <c r="E858" s="151"/>
      <c r="F858" s="151"/>
      <c r="G858" s="152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44" t="s">
        <v>364</v>
      </c>
      <c r="B859" s="138" t="s">
        <v>614</v>
      </c>
      <c r="C859" s="139"/>
      <c r="D859" s="139"/>
      <c r="E859" s="139"/>
      <c r="F859" s="139"/>
      <c r="G859" s="140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0</v>
      </c>
    </row>
    <row r="860" spans="1:28" ht="26.25" customHeight="1" x14ac:dyDescent="0.2">
      <c r="A860" s="145"/>
      <c r="B860" s="138" t="s">
        <v>615</v>
      </c>
      <c r="C860" s="139"/>
      <c r="D860" s="139"/>
      <c r="E860" s="139"/>
      <c r="F860" s="139"/>
      <c r="G860" s="140"/>
      <c r="H860" s="23">
        <v>15</v>
      </c>
      <c r="I860" s="31">
        <v>1747</v>
      </c>
      <c r="J860" s="31">
        <v>655</v>
      </c>
      <c r="K860" s="31">
        <v>16</v>
      </c>
      <c r="L860" s="31">
        <v>0</v>
      </c>
      <c r="M860" s="31">
        <v>16</v>
      </c>
      <c r="N860" s="31">
        <v>0</v>
      </c>
      <c r="O860" s="31">
        <v>571</v>
      </c>
      <c r="P860" s="31">
        <v>570</v>
      </c>
      <c r="Q860" s="31">
        <v>1</v>
      </c>
      <c r="R860" s="31">
        <v>0</v>
      </c>
      <c r="S860" s="31">
        <v>0</v>
      </c>
      <c r="T860" s="31">
        <v>0</v>
      </c>
      <c r="U860" s="31">
        <v>50</v>
      </c>
      <c r="V860" s="31">
        <v>3</v>
      </c>
      <c r="W860" s="31">
        <v>0</v>
      </c>
      <c r="X860" s="31">
        <v>0</v>
      </c>
      <c r="Y860" s="31">
        <v>476</v>
      </c>
      <c r="Z860" s="31">
        <v>476</v>
      </c>
      <c r="AA860" s="31">
        <v>0</v>
      </c>
      <c r="AB860" s="31">
        <v>1160</v>
      </c>
    </row>
    <row r="861" spans="1:28" ht="42.75" customHeight="1" x14ac:dyDescent="0.2">
      <c r="A861" s="145"/>
      <c r="B861" s="138" t="s">
        <v>616</v>
      </c>
      <c r="C861" s="139"/>
      <c r="D861" s="139"/>
      <c r="E861" s="139"/>
      <c r="F861" s="139"/>
      <c r="G861" s="140"/>
      <c r="H861" s="23">
        <v>16</v>
      </c>
      <c r="I861" s="31">
        <v>9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9</v>
      </c>
    </row>
    <row r="862" spans="1:28" ht="30.75" customHeight="1" x14ac:dyDescent="0.2">
      <c r="A862" s="145"/>
      <c r="B862" s="138" t="s">
        <v>617</v>
      </c>
      <c r="C862" s="139"/>
      <c r="D862" s="139"/>
      <c r="E862" s="139"/>
      <c r="F862" s="139"/>
      <c r="G862" s="140"/>
      <c r="H862" s="23">
        <v>17</v>
      </c>
      <c r="I862" s="31">
        <v>311</v>
      </c>
      <c r="J862" s="31">
        <v>258</v>
      </c>
      <c r="K862" s="31">
        <v>0</v>
      </c>
      <c r="L862" s="31">
        <v>0</v>
      </c>
      <c r="M862" s="31">
        <v>0</v>
      </c>
      <c r="N862" s="31">
        <v>0</v>
      </c>
      <c r="O862" s="31">
        <v>258</v>
      </c>
      <c r="P862" s="31">
        <v>258</v>
      </c>
      <c r="Q862" s="31">
        <v>0</v>
      </c>
      <c r="R862" s="31">
        <v>0</v>
      </c>
      <c r="S862" s="31">
        <v>0</v>
      </c>
      <c r="T862" s="31">
        <v>0</v>
      </c>
      <c r="U862" s="31">
        <v>41</v>
      </c>
      <c r="V862" s="31">
        <v>0</v>
      </c>
      <c r="W862" s="31">
        <v>0</v>
      </c>
      <c r="X862" s="31">
        <v>0</v>
      </c>
      <c r="Y862" s="31">
        <v>69</v>
      </c>
      <c r="Z862" s="31">
        <v>69</v>
      </c>
      <c r="AA862" s="31">
        <v>0</v>
      </c>
      <c r="AB862" s="31">
        <v>53</v>
      </c>
    </row>
    <row r="863" spans="1:28" ht="31.5" customHeight="1" x14ac:dyDescent="0.2">
      <c r="A863" s="146"/>
      <c r="B863" s="138" t="s">
        <v>179</v>
      </c>
      <c r="C863" s="139"/>
      <c r="D863" s="139"/>
      <c r="E863" s="139"/>
      <c r="F863" s="139"/>
      <c r="G863" s="140"/>
      <c r="H863" s="23">
        <v>18</v>
      </c>
      <c r="I863" s="31">
        <v>8</v>
      </c>
      <c r="J863" s="31">
        <v>2</v>
      </c>
      <c r="K863" s="31">
        <v>0</v>
      </c>
      <c r="L863" s="31">
        <v>0</v>
      </c>
      <c r="M863" s="31">
        <v>0</v>
      </c>
      <c r="N863" s="31">
        <v>0</v>
      </c>
      <c r="O863" s="31">
        <v>1</v>
      </c>
      <c r="P863" s="31">
        <v>1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7</v>
      </c>
    </row>
    <row r="864" spans="1:28" ht="23.25" customHeight="1" x14ac:dyDescent="0.2">
      <c r="A864" s="138" t="s">
        <v>443</v>
      </c>
      <c r="B864" s="139"/>
      <c r="C864" s="139"/>
      <c r="D864" s="139"/>
      <c r="E864" s="139"/>
      <c r="F864" s="139"/>
      <c r="G864" s="140"/>
      <c r="H864" s="23">
        <v>19</v>
      </c>
      <c r="I864" s="31">
        <f t="shared" ref="I864:AB864" si="16">SUM(I845:I857,I859:I863)</f>
        <v>12024</v>
      </c>
      <c r="J864" s="31">
        <f t="shared" si="16"/>
        <v>6120</v>
      </c>
      <c r="K864" s="31">
        <f t="shared" si="16"/>
        <v>234</v>
      </c>
      <c r="L864" s="31">
        <f t="shared" si="16"/>
        <v>0</v>
      </c>
      <c r="M864" s="31">
        <f t="shared" si="16"/>
        <v>231</v>
      </c>
      <c r="N864" s="31">
        <f t="shared" si="16"/>
        <v>0</v>
      </c>
      <c r="O864" s="31">
        <f t="shared" si="16"/>
        <v>4497</v>
      </c>
      <c r="P864" s="31">
        <f t="shared" si="16"/>
        <v>4488</v>
      </c>
      <c r="Q864" s="31">
        <f t="shared" si="16"/>
        <v>3</v>
      </c>
      <c r="R864" s="31">
        <f t="shared" si="16"/>
        <v>0</v>
      </c>
      <c r="S864" s="31">
        <f t="shared" si="16"/>
        <v>6</v>
      </c>
      <c r="T864" s="31">
        <f t="shared" si="16"/>
        <v>0</v>
      </c>
      <c r="U864" s="31">
        <f t="shared" si="16"/>
        <v>1053</v>
      </c>
      <c r="V864" s="31">
        <f t="shared" si="16"/>
        <v>294</v>
      </c>
      <c r="W864" s="31">
        <f t="shared" si="16"/>
        <v>0</v>
      </c>
      <c r="X864" s="31">
        <f t="shared" si="16"/>
        <v>36</v>
      </c>
      <c r="Y864" s="31">
        <f t="shared" si="16"/>
        <v>1704</v>
      </c>
      <c r="Z864" s="31">
        <f t="shared" si="16"/>
        <v>1704</v>
      </c>
      <c r="AA864" s="31">
        <f t="shared" si="16"/>
        <v>0</v>
      </c>
      <c r="AB864" s="31">
        <f t="shared" si="16"/>
        <v>7293</v>
      </c>
    </row>
    <row r="865" spans="1:28" ht="13.5" customHeight="1" x14ac:dyDescent="0.2"/>
    <row r="866" spans="1:28" ht="18.75" customHeight="1" x14ac:dyDescent="0.25">
      <c r="A866" s="177" t="s">
        <v>618</v>
      </c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</row>
    <row r="867" spans="1:28" ht="28.5" customHeight="1" x14ac:dyDescent="0.2">
      <c r="A867" s="178"/>
      <c r="B867" s="179"/>
      <c r="C867" s="179"/>
      <c r="D867" s="179"/>
      <c r="E867" s="179"/>
      <c r="F867" s="179"/>
      <c r="G867" s="180"/>
      <c r="H867" s="187" t="s">
        <v>15</v>
      </c>
      <c r="I867" s="168" t="s">
        <v>1148</v>
      </c>
      <c r="J867" s="168" t="s">
        <v>16</v>
      </c>
      <c r="K867" s="168" t="s">
        <v>17</v>
      </c>
      <c r="L867" s="171" t="s">
        <v>18</v>
      </c>
      <c r="M867" s="172"/>
      <c r="N867" s="173"/>
      <c r="O867" s="168" t="s">
        <v>19</v>
      </c>
      <c r="P867" s="171" t="s">
        <v>20</v>
      </c>
      <c r="Q867" s="172"/>
      <c r="R867" s="172"/>
      <c r="S867" s="173"/>
      <c r="T867" s="168" t="s">
        <v>21</v>
      </c>
      <c r="U867" s="171" t="s">
        <v>22</v>
      </c>
      <c r="V867" s="172"/>
      <c r="W867" s="172"/>
      <c r="X867" s="173"/>
      <c r="Y867" s="171" t="s">
        <v>23</v>
      </c>
      <c r="Z867" s="172"/>
      <c r="AA867" s="173"/>
      <c r="AB867" s="168" t="s">
        <v>24</v>
      </c>
    </row>
    <row r="868" spans="1:28" ht="29.25" customHeight="1" x14ac:dyDescent="0.2">
      <c r="A868" s="181"/>
      <c r="B868" s="182"/>
      <c r="C868" s="182"/>
      <c r="D868" s="182"/>
      <c r="E868" s="182"/>
      <c r="F868" s="182"/>
      <c r="G868" s="183"/>
      <c r="H868" s="188"/>
      <c r="I868" s="170"/>
      <c r="J868" s="170"/>
      <c r="K868" s="170"/>
      <c r="L868" s="168" t="s">
        <v>25</v>
      </c>
      <c r="M868" s="168" t="s">
        <v>26</v>
      </c>
      <c r="N868" s="168" t="s">
        <v>27</v>
      </c>
      <c r="O868" s="170"/>
      <c r="P868" s="168" t="s">
        <v>28</v>
      </c>
      <c r="Q868" s="168" t="s">
        <v>29</v>
      </c>
      <c r="R868" s="168" t="s">
        <v>30</v>
      </c>
      <c r="S868" s="168" t="s">
        <v>31</v>
      </c>
      <c r="T868" s="170"/>
      <c r="U868" s="171" t="s">
        <v>32</v>
      </c>
      <c r="V868" s="172"/>
      <c r="W868" s="172"/>
      <c r="X868" s="173"/>
      <c r="Y868" s="168" t="s">
        <v>33</v>
      </c>
      <c r="Z868" s="171" t="s">
        <v>34</v>
      </c>
      <c r="AA868" s="173"/>
      <c r="AB868" s="170"/>
    </row>
    <row r="869" spans="1:28" ht="73.5" customHeight="1" x14ac:dyDescent="0.2">
      <c r="A869" s="184"/>
      <c r="B869" s="185"/>
      <c r="C869" s="185"/>
      <c r="D869" s="185"/>
      <c r="E869" s="185"/>
      <c r="F869" s="185"/>
      <c r="G869" s="186"/>
      <c r="H869" s="18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9" t="s">
        <v>35</v>
      </c>
      <c r="V869" s="16" t="s">
        <v>36</v>
      </c>
      <c r="W869" s="16" t="s">
        <v>37</v>
      </c>
      <c r="X869" s="16" t="s">
        <v>38</v>
      </c>
      <c r="Y869" s="169"/>
      <c r="Z869" s="18" t="s">
        <v>39</v>
      </c>
      <c r="AA869" s="17" t="s">
        <v>40</v>
      </c>
      <c r="AB869" s="169"/>
    </row>
    <row r="870" spans="1:28" ht="14.25" customHeight="1" x14ac:dyDescent="0.2">
      <c r="A870" s="150" t="s">
        <v>41</v>
      </c>
      <c r="B870" s="151"/>
      <c r="C870" s="151"/>
      <c r="D870" s="151"/>
      <c r="E870" s="151"/>
      <c r="F870" s="151"/>
      <c r="G870" s="152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53" t="s">
        <v>43</v>
      </c>
      <c r="B871" s="154"/>
      <c r="C871" s="154"/>
      <c r="D871" s="154"/>
      <c r="E871" s="154"/>
      <c r="F871" s="154"/>
      <c r="G871" s="155"/>
      <c r="H871" s="23">
        <v>1</v>
      </c>
      <c r="I871" s="67">
        <v>14866</v>
      </c>
      <c r="J871" s="31">
        <v>10121</v>
      </c>
      <c r="K871" s="31">
        <v>137</v>
      </c>
      <c r="L871" s="31">
        <v>1</v>
      </c>
      <c r="M871" s="31">
        <v>125</v>
      </c>
      <c r="N871" s="31">
        <v>0</v>
      </c>
      <c r="O871" s="31">
        <v>8108</v>
      </c>
      <c r="P871" s="31">
        <v>8022</v>
      </c>
      <c r="Q871" s="31">
        <v>53</v>
      </c>
      <c r="R871" s="31">
        <v>28</v>
      </c>
      <c r="S871" s="31">
        <v>5</v>
      </c>
      <c r="T871" s="31">
        <v>29</v>
      </c>
      <c r="U871" s="31">
        <v>755</v>
      </c>
      <c r="V871" s="31">
        <v>613</v>
      </c>
      <c r="W871" s="31">
        <v>163</v>
      </c>
      <c r="X871" s="31">
        <v>30</v>
      </c>
      <c r="Y871" s="31">
        <v>1617</v>
      </c>
      <c r="Z871" s="31">
        <v>1613</v>
      </c>
      <c r="AA871" s="31">
        <v>0</v>
      </c>
      <c r="AB871" s="31">
        <v>6588</v>
      </c>
    </row>
    <row r="872" spans="1:28" ht="20.25" customHeight="1" x14ac:dyDescent="0.2">
      <c r="A872" s="156" t="s">
        <v>181</v>
      </c>
      <c r="B872" s="158"/>
      <c r="C872" s="165" t="s">
        <v>51</v>
      </c>
      <c r="D872" s="166"/>
      <c r="E872" s="166"/>
      <c r="F872" s="166"/>
      <c r="G872" s="167"/>
      <c r="H872" s="23">
        <v>2</v>
      </c>
      <c r="I872" s="31">
        <v>23</v>
      </c>
      <c r="J872" s="31">
        <v>10</v>
      </c>
      <c r="K872" s="31">
        <v>0</v>
      </c>
      <c r="L872" s="31">
        <v>0</v>
      </c>
      <c r="M872" s="31">
        <v>0</v>
      </c>
      <c r="N872" s="31">
        <v>0</v>
      </c>
      <c r="O872" s="31">
        <v>5</v>
      </c>
      <c r="P872" s="31">
        <v>5</v>
      </c>
      <c r="Q872" s="31">
        <v>0</v>
      </c>
      <c r="R872" s="31">
        <v>0</v>
      </c>
      <c r="S872" s="31">
        <v>0</v>
      </c>
      <c r="T872" s="31">
        <v>0</v>
      </c>
      <c r="U872" s="31">
        <v>2</v>
      </c>
      <c r="V872" s="31">
        <v>0</v>
      </c>
      <c r="W872" s="31">
        <v>3</v>
      </c>
      <c r="X872" s="31">
        <v>0</v>
      </c>
      <c r="Y872" s="31">
        <v>1</v>
      </c>
      <c r="Z872" s="31">
        <v>1</v>
      </c>
      <c r="AA872" s="31">
        <v>0</v>
      </c>
      <c r="AB872" s="31">
        <v>18</v>
      </c>
    </row>
    <row r="873" spans="1:28" ht="20.25" customHeight="1" x14ac:dyDescent="0.2">
      <c r="A873" s="159"/>
      <c r="B873" s="161"/>
      <c r="C873" s="165" t="s">
        <v>52</v>
      </c>
      <c r="D873" s="166"/>
      <c r="E873" s="166"/>
      <c r="F873" s="166"/>
      <c r="G873" s="167"/>
      <c r="H873" s="23">
        <v>3</v>
      </c>
      <c r="I873" s="31">
        <v>25</v>
      </c>
      <c r="J873" s="31">
        <v>0</v>
      </c>
      <c r="K873" s="31">
        <v>0</v>
      </c>
      <c r="L873" s="31">
        <v>0</v>
      </c>
      <c r="M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25</v>
      </c>
    </row>
    <row r="874" spans="1:28" ht="20.25" customHeight="1" x14ac:dyDescent="0.2">
      <c r="A874" s="159"/>
      <c r="B874" s="161"/>
      <c r="C874" s="165" t="s">
        <v>182</v>
      </c>
      <c r="D874" s="166"/>
      <c r="E874" s="166"/>
      <c r="F874" s="166"/>
      <c r="G874" s="167"/>
      <c r="H874" s="23">
        <v>4</v>
      </c>
      <c r="I874" s="31">
        <v>4453</v>
      </c>
      <c r="J874" s="31">
        <v>3354</v>
      </c>
      <c r="K874" s="31">
        <v>65</v>
      </c>
      <c r="L874" s="31">
        <v>0</v>
      </c>
      <c r="M874" s="31">
        <v>59</v>
      </c>
      <c r="N874" s="31">
        <v>0</v>
      </c>
      <c r="O874" s="31">
        <v>2374</v>
      </c>
      <c r="P874" s="31">
        <v>2346</v>
      </c>
      <c r="Q874" s="31">
        <v>15</v>
      </c>
      <c r="R874" s="31">
        <v>13</v>
      </c>
      <c r="S874" s="31">
        <v>0</v>
      </c>
      <c r="T874" s="31">
        <v>2</v>
      </c>
      <c r="U874" s="31">
        <v>178</v>
      </c>
      <c r="V874" s="31">
        <v>301</v>
      </c>
      <c r="W874" s="31">
        <v>112</v>
      </c>
      <c r="X874" s="31">
        <v>8</v>
      </c>
      <c r="Y874" s="31">
        <v>199</v>
      </c>
      <c r="Z874" s="31">
        <v>198</v>
      </c>
      <c r="AA874" s="31">
        <v>0</v>
      </c>
      <c r="AB874" s="31">
        <v>2011</v>
      </c>
    </row>
    <row r="875" spans="1:28" ht="20.25" customHeight="1" x14ac:dyDescent="0.2">
      <c r="A875" s="162"/>
      <c r="B875" s="164"/>
      <c r="C875" s="165" t="s">
        <v>49</v>
      </c>
      <c r="D875" s="166"/>
      <c r="E875" s="166"/>
      <c r="F875" s="166"/>
      <c r="G875" s="167"/>
      <c r="H875" s="23">
        <v>5</v>
      </c>
      <c r="I875" s="31">
        <v>10260</v>
      </c>
      <c r="J875" s="31">
        <v>6668</v>
      </c>
      <c r="K875" s="31">
        <v>72</v>
      </c>
      <c r="L875" s="31">
        <v>1</v>
      </c>
      <c r="M875" s="31">
        <v>66</v>
      </c>
      <c r="N875" s="31">
        <v>0</v>
      </c>
      <c r="O875" s="31">
        <v>5708</v>
      </c>
      <c r="P875" s="31">
        <v>5650</v>
      </c>
      <c r="Q875" s="31">
        <v>38</v>
      </c>
      <c r="R875" s="31">
        <v>15</v>
      </c>
      <c r="S875" s="31">
        <v>5</v>
      </c>
      <c r="T875" s="31">
        <v>27</v>
      </c>
      <c r="U875" s="31">
        <v>574</v>
      </c>
      <c r="V875" s="31">
        <v>305</v>
      </c>
      <c r="W875" s="31">
        <v>48</v>
      </c>
      <c r="X875" s="31">
        <v>22</v>
      </c>
      <c r="Y875" s="31">
        <v>1413</v>
      </c>
      <c r="Z875" s="31">
        <v>1410</v>
      </c>
      <c r="AA875" s="31">
        <v>0</v>
      </c>
      <c r="AB875" s="31">
        <v>4450</v>
      </c>
    </row>
    <row r="876" spans="1:28" ht="27.2" customHeight="1" x14ac:dyDescent="0.2">
      <c r="A876" s="144" t="s">
        <v>165</v>
      </c>
      <c r="B876" s="138" t="s">
        <v>619</v>
      </c>
      <c r="C876" s="139"/>
      <c r="D876" s="139"/>
      <c r="E876" s="139"/>
      <c r="F876" s="139"/>
      <c r="G876" s="140"/>
      <c r="H876" s="23">
        <v>6</v>
      </c>
      <c r="I876" s="31">
        <v>14</v>
      </c>
      <c r="J876" s="31">
        <v>8</v>
      </c>
      <c r="K876" s="31">
        <v>0</v>
      </c>
      <c r="L876" s="31">
        <v>0</v>
      </c>
      <c r="M876" s="31">
        <v>0</v>
      </c>
      <c r="N876" s="31">
        <v>0</v>
      </c>
      <c r="O876" s="31">
        <v>7</v>
      </c>
      <c r="P876" s="31">
        <v>7</v>
      </c>
      <c r="Q876" s="31">
        <v>0</v>
      </c>
      <c r="R876" s="31">
        <v>0</v>
      </c>
      <c r="S876" s="31">
        <v>0</v>
      </c>
      <c r="T876" s="31">
        <v>0</v>
      </c>
      <c r="U876" s="31">
        <v>1</v>
      </c>
      <c r="V876" s="31">
        <v>1</v>
      </c>
      <c r="W876" s="31">
        <v>1</v>
      </c>
      <c r="X876" s="31">
        <v>1</v>
      </c>
      <c r="Y876" s="31">
        <v>3</v>
      </c>
      <c r="Z876" s="31">
        <v>3</v>
      </c>
      <c r="AA876" s="31">
        <v>0</v>
      </c>
      <c r="AB876" s="31">
        <v>7</v>
      </c>
    </row>
    <row r="877" spans="1:28" ht="27.2" customHeight="1" x14ac:dyDescent="0.2">
      <c r="A877" s="145"/>
      <c r="B877" s="138" t="s">
        <v>620</v>
      </c>
      <c r="C877" s="139"/>
      <c r="D877" s="139"/>
      <c r="E877" s="139"/>
      <c r="F877" s="139"/>
      <c r="G877" s="140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45"/>
      <c r="B878" s="138" t="s">
        <v>621</v>
      </c>
      <c r="C878" s="139"/>
      <c r="D878" s="139"/>
      <c r="E878" s="139"/>
      <c r="F878" s="139"/>
      <c r="G878" s="140"/>
      <c r="H878" s="23">
        <v>8</v>
      </c>
      <c r="I878" s="31">
        <v>1</v>
      </c>
      <c r="J878" s="31">
        <v>0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1</v>
      </c>
    </row>
    <row r="879" spans="1:28" ht="31.5" customHeight="1" x14ac:dyDescent="0.2">
      <c r="A879" s="145"/>
      <c r="B879" s="138" t="s">
        <v>622</v>
      </c>
      <c r="C879" s="139"/>
      <c r="D879" s="139"/>
      <c r="E879" s="139"/>
      <c r="F879" s="139"/>
      <c r="G879" s="140"/>
      <c r="H879" s="23">
        <v>9</v>
      </c>
      <c r="I879" s="31">
        <v>33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1</v>
      </c>
      <c r="Z879" s="31">
        <v>1</v>
      </c>
      <c r="AA879" s="31">
        <v>0</v>
      </c>
      <c r="AB879" s="31">
        <v>33</v>
      </c>
    </row>
    <row r="880" spans="1:28" ht="90.75" customHeight="1" x14ac:dyDescent="0.2">
      <c r="A880" s="145"/>
      <c r="B880" s="138" t="s">
        <v>623</v>
      </c>
      <c r="C880" s="139"/>
      <c r="D880" s="139"/>
      <c r="E880" s="139"/>
      <c r="F880" s="139"/>
      <c r="G880" s="140"/>
      <c r="H880" s="23">
        <v>10</v>
      </c>
      <c r="I880" s="31">
        <v>109</v>
      </c>
      <c r="J880" s="31">
        <v>68</v>
      </c>
      <c r="K880" s="31">
        <v>3</v>
      </c>
      <c r="L880" s="31">
        <v>0</v>
      </c>
      <c r="M880" s="31">
        <v>3</v>
      </c>
      <c r="N880" s="31">
        <v>0</v>
      </c>
      <c r="O880" s="31">
        <v>57</v>
      </c>
      <c r="P880" s="31">
        <v>57</v>
      </c>
      <c r="Q880" s="31">
        <v>0</v>
      </c>
      <c r="R880" s="31">
        <v>0</v>
      </c>
      <c r="S880" s="31">
        <v>0</v>
      </c>
      <c r="T880" s="31">
        <v>0</v>
      </c>
      <c r="U880" s="31">
        <v>2</v>
      </c>
      <c r="V880" s="31">
        <v>1</v>
      </c>
      <c r="W880" s="31">
        <v>17</v>
      </c>
      <c r="X880" s="31">
        <v>0</v>
      </c>
      <c r="Y880" s="31">
        <v>30</v>
      </c>
      <c r="Z880" s="31">
        <v>30</v>
      </c>
      <c r="AA880" s="31">
        <v>0</v>
      </c>
      <c r="AB880" s="31">
        <v>49</v>
      </c>
    </row>
    <row r="881" spans="1:28" ht="27.2" customHeight="1" x14ac:dyDescent="0.2">
      <c r="A881" s="145"/>
      <c r="B881" s="190" t="s">
        <v>32</v>
      </c>
      <c r="C881" s="138" t="s">
        <v>624</v>
      </c>
      <c r="D881" s="139"/>
      <c r="E881" s="139"/>
      <c r="F881" s="139"/>
      <c r="G881" s="140"/>
      <c r="H881" s="23">
        <v>11</v>
      </c>
      <c r="I881" s="31">
        <v>0</v>
      </c>
      <c r="J881" s="31">
        <v>0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1</v>
      </c>
      <c r="Z881" s="31">
        <v>1</v>
      </c>
      <c r="AA881" s="31">
        <v>0</v>
      </c>
      <c r="AB881" s="31">
        <v>0</v>
      </c>
    </row>
    <row r="882" spans="1:28" ht="26.25" customHeight="1" x14ac:dyDescent="0.2">
      <c r="A882" s="145"/>
      <c r="B882" s="191"/>
      <c r="C882" s="139" t="s">
        <v>625</v>
      </c>
      <c r="D882" s="139"/>
      <c r="E882" s="139"/>
      <c r="F882" s="139"/>
      <c r="G882" s="140"/>
      <c r="H882" s="23">
        <v>12</v>
      </c>
      <c r="I882" s="54">
        <v>109</v>
      </c>
      <c r="J882" s="54">
        <v>68</v>
      </c>
      <c r="K882" s="54">
        <v>3</v>
      </c>
      <c r="L882" s="54">
        <v>0</v>
      </c>
      <c r="M882" s="31">
        <v>3</v>
      </c>
      <c r="N882" s="31">
        <v>0</v>
      </c>
      <c r="O882" s="31">
        <v>57</v>
      </c>
      <c r="P882" s="31">
        <v>57</v>
      </c>
      <c r="Q882" s="31">
        <v>0</v>
      </c>
      <c r="R882" s="31">
        <v>0</v>
      </c>
      <c r="S882" s="31">
        <v>0</v>
      </c>
      <c r="T882" s="31">
        <v>0</v>
      </c>
      <c r="U882" s="31">
        <v>2</v>
      </c>
      <c r="V882" s="31">
        <v>1</v>
      </c>
      <c r="W882" s="31">
        <v>17</v>
      </c>
      <c r="X882" s="31">
        <v>0</v>
      </c>
      <c r="Y882" s="31">
        <v>29</v>
      </c>
      <c r="Z882" s="31">
        <v>29</v>
      </c>
      <c r="AA882" s="31">
        <v>0</v>
      </c>
      <c r="AB882" s="31">
        <v>49</v>
      </c>
    </row>
    <row r="883" spans="1:28" ht="45" customHeight="1" x14ac:dyDescent="0.2">
      <c r="A883" s="145"/>
      <c r="B883" s="138" t="s">
        <v>626</v>
      </c>
      <c r="C883" s="139"/>
      <c r="D883" s="139"/>
      <c r="E883" s="139"/>
      <c r="F883" s="139"/>
      <c r="G883" s="140"/>
      <c r="H883" s="23">
        <v>13</v>
      </c>
      <c r="I883" s="31">
        <v>19</v>
      </c>
      <c r="J883" s="31">
        <v>8</v>
      </c>
      <c r="K883" s="31">
        <v>0</v>
      </c>
      <c r="L883" s="31">
        <v>0</v>
      </c>
      <c r="M883" s="31">
        <v>0</v>
      </c>
      <c r="N883" s="31">
        <v>0</v>
      </c>
      <c r="O883" s="31">
        <v>6</v>
      </c>
      <c r="P883" s="31">
        <v>6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2</v>
      </c>
      <c r="X883" s="31">
        <v>0</v>
      </c>
      <c r="Y883" s="31">
        <v>5</v>
      </c>
      <c r="Z883" s="31">
        <v>5</v>
      </c>
      <c r="AA883" s="31">
        <v>0</v>
      </c>
      <c r="AB883" s="31">
        <v>13</v>
      </c>
    </row>
    <row r="884" spans="1:28" ht="19.5" customHeight="1" x14ac:dyDescent="0.2">
      <c r="A884" s="145"/>
      <c r="B884" s="138" t="s">
        <v>627</v>
      </c>
      <c r="C884" s="139"/>
      <c r="D884" s="139"/>
      <c r="E884" s="139"/>
      <c r="F884" s="139"/>
      <c r="G884" s="140"/>
      <c r="H884" s="23">
        <v>14</v>
      </c>
      <c r="I884" s="31">
        <v>5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5</v>
      </c>
    </row>
    <row r="885" spans="1:28" ht="27.2" customHeight="1" x14ac:dyDescent="0.2">
      <c r="A885" s="145"/>
      <c r="B885" s="138" t="s">
        <v>628</v>
      </c>
      <c r="C885" s="139"/>
      <c r="D885" s="139"/>
      <c r="E885" s="139"/>
      <c r="F885" s="139"/>
      <c r="G885" s="140"/>
      <c r="H885" s="23">
        <v>15</v>
      </c>
      <c r="I885" s="31">
        <v>407</v>
      </c>
      <c r="J885" s="31">
        <v>354</v>
      </c>
      <c r="K885" s="31">
        <v>7</v>
      </c>
      <c r="L885" s="31">
        <v>0</v>
      </c>
      <c r="M885" s="31">
        <v>7</v>
      </c>
      <c r="N885" s="31">
        <v>0</v>
      </c>
      <c r="O885" s="31">
        <v>279</v>
      </c>
      <c r="P885" s="31">
        <v>266</v>
      </c>
      <c r="Q885" s="31">
        <v>0</v>
      </c>
      <c r="R885" s="31">
        <v>13</v>
      </c>
      <c r="S885" s="31">
        <v>0</v>
      </c>
      <c r="T885" s="31">
        <v>0</v>
      </c>
      <c r="U885" s="31">
        <v>47</v>
      </c>
      <c r="V885" s="31">
        <v>11</v>
      </c>
      <c r="W885" s="31">
        <v>91</v>
      </c>
      <c r="X885" s="31">
        <v>4</v>
      </c>
      <c r="Y885" s="31">
        <v>27</v>
      </c>
      <c r="Z885" s="31">
        <v>27</v>
      </c>
      <c r="AA885" s="31">
        <v>0</v>
      </c>
      <c r="AB885" s="31">
        <v>121</v>
      </c>
    </row>
    <row r="886" spans="1:28" ht="21.75" customHeight="1" x14ac:dyDescent="0.2">
      <c r="A886" s="145"/>
      <c r="B886" s="138" t="s">
        <v>629</v>
      </c>
      <c r="C886" s="139"/>
      <c r="D886" s="139"/>
      <c r="E886" s="139"/>
      <c r="F886" s="139"/>
      <c r="G886" s="140"/>
      <c r="H886" s="23">
        <v>16</v>
      </c>
      <c r="I886" s="31">
        <v>5</v>
      </c>
      <c r="J886" s="31">
        <v>0</v>
      </c>
      <c r="K886" s="31">
        <v>0</v>
      </c>
      <c r="L886" s="31">
        <v>0</v>
      </c>
      <c r="M886" s="31">
        <v>0</v>
      </c>
      <c r="N886" s="31">
        <v>0</v>
      </c>
      <c r="O886" s="31">
        <v>0</v>
      </c>
      <c r="P886" s="31">
        <v>0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2</v>
      </c>
      <c r="Z886" s="31">
        <v>2</v>
      </c>
      <c r="AA886" s="31">
        <v>0</v>
      </c>
      <c r="AB886" s="31">
        <v>5</v>
      </c>
    </row>
    <row r="887" spans="1:28" ht="27.75" customHeight="1" x14ac:dyDescent="0.2">
      <c r="A887" s="145"/>
      <c r="B887" s="138" t="s">
        <v>630</v>
      </c>
      <c r="C887" s="139"/>
      <c r="D887" s="139"/>
      <c r="E887" s="139"/>
      <c r="F887" s="139"/>
      <c r="G887" s="140"/>
      <c r="H887" s="23">
        <v>17</v>
      </c>
      <c r="I887" s="31">
        <v>4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4</v>
      </c>
    </row>
    <row r="888" spans="1:28" ht="48.75" customHeight="1" x14ac:dyDescent="0.2">
      <c r="A888" s="145"/>
      <c r="B888" s="138" t="s">
        <v>631</v>
      </c>
      <c r="C888" s="139"/>
      <c r="D888" s="139"/>
      <c r="E888" s="139"/>
      <c r="F888" s="139"/>
      <c r="G888" s="140"/>
      <c r="H888" s="23">
        <v>18</v>
      </c>
      <c r="I888" s="31">
        <v>10</v>
      </c>
      <c r="J888" s="31">
        <v>7</v>
      </c>
      <c r="K888" s="31">
        <v>0</v>
      </c>
      <c r="L888" s="31">
        <v>0</v>
      </c>
      <c r="M888" s="31">
        <v>0</v>
      </c>
      <c r="N888" s="31">
        <v>0</v>
      </c>
      <c r="O888" s="31">
        <v>5</v>
      </c>
      <c r="P888" s="31">
        <v>5</v>
      </c>
      <c r="Q888" s="31">
        <v>0</v>
      </c>
      <c r="R888" s="31">
        <v>0</v>
      </c>
      <c r="S888" s="31">
        <v>0</v>
      </c>
      <c r="T888" s="31">
        <v>0</v>
      </c>
      <c r="U888" s="31">
        <v>1</v>
      </c>
      <c r="V888" s="31">
        <v>0</v>
      </c>
      <c r="W888" s="31">
        <v>2</v>
      </c>
      <c r="X888" s="31">
        <v>0</v>
      </c>
      <c r="Y888" s="31">
        <v>1</v>
      </c>
      <c r="Z888" s="31">
        <v>1</v>
      </c>
      <c r="AA888" s="31">
        <v>0</v>
      </c>
      <c r="AB888" s="31">
        <v>5</v>
      </c>
    </row>
    <row r="889" spans="1:28" ht="29.25" customHeight="1" x14ac:dyDescent="0.2">
      <c r="A889" s="145"/>
      <c r="B889" s="138" t="s">
        <v>632</v>
      </c>
      <c r="C889" s="139"/>
      <c r="D889" s="139"/>
      <c r="E889" s="139"/>
      <c r="F889" s="139"/>
      <c r="G889" s="140"/>
      <c r="H889" s="23">
        <v>19</v>
      </c>
      <c r="I889" s="31">
        <v>1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1</v>
      </c>
    </row>
    <row r="890" spans="1:28" ht="51.75" customHeight="1" x14ac:dyDescent="0.2">
      <c r="A890" s="145"/>
      <c r="B890" s="138" t="s">
        <v>633</v>
      </c>
      <c r="C890" s="139"/>
      <c r="D890" s="139"/>
      <c r="E890" s="139"/>
      <c r="F890" s="139"/>
      <c r="G890" s="140"/>
      <c r="H890" s="23">
        <v>20</v>
      </c>
      <c r="I890" s="31">
        <v>17</v>
      </c>
      <c r="J890" s="31">
        <v>8</v>
      </c>
      <c r="K890" s="31">
        <v>0</v>
      </c>
      <c r="L890" s="31">
        <v>0</v>
      </c>
      <c r="M890" s="31">
        <v>0</v>
      </c>
      <c r="N890" s="31">
        <v>0</v>
      </c>
      <c r="O890" s="31">
        <v>4</v>
      </c>
      <c r="P890" s="31">
        <v>4</v>
      </c>
      <c r="Q890" s="31">
        <v>0</v>
      </c>
      <c r="R890" s="31">
        <v>0</v>
      </c>
      <c r="S890" s="31">
        <v>0</v>
      </c>
      <c r="T890" s="31">
        <v>0</v>
      </c>
      <c r="U890" s="31">
        <v>2</v>
      </c>
      <c r="V890" s="31">
        <v>0</v>
      </c>
      <c r="W890" s="31">
        <v>3</v>
      </c>
      <c r="X890" s="31">
        <v>0</v>
      </c>
      <c r="Y890" s="31">
        <v>0</v>
      </c>
      <c r="Z890" s="31">
        <v>0</v>
      </c>
      <c r="AA890" s="31">
        <v>0</v>
      </c>
      <c r="AB890" s="31">
        <v>13</v>
      </c>
    </row>
    <row r="891" spans="1:28" ht="22.5" customHeight="1" x14ac:dyDescent="0.2">
      <c r="A891" s="145"/>
      <c r="B891" s="138" t="s">
        <v>634</v>
      </c>
      <c r="C891" s="139"/>
      <c r="D891" s="139"/>
      <c r="E891" s="139"/>
      <c r="F891" s="139"/>
      <c r="G891" s="140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45"/>
      <c r="B892" s="138" t="s">
        <v>635</v>
      </c>
      <c r="C892" s="139"/>
      <c r="D892" s="139"/>
      <c r="E892" s="139"/>
      <c r="F892" s="139"/>
      <c r="G892" s="140"/>
      <c r="H892" s="23">
        <v>22</v>
      </c>
      <c r="I892" s="31">
        <v>1</v>
      </c>
      <c r="J892" s="31">
        <v>1</v>
      </c>
      <c r="K892" s="31">
        <v>0</v>
      </c>
      <c r="L892" s="31">
        <v>0</v>
      </c>
      <c r="M892" s="31">
        <v>0</v>
      </c>
      <c r="N892" s="31">
        <v>0</v>
      </c>
      <c r="O892" s="31">
        <v>1</v>
      </c>
      <c r="P892" s="31">
        <v>1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45"/>
      <c r="B893" s="138" t="s">
        <v>636</v>
      </c>
      <c r="C893" s="139"/>
      <c r="D893" s="139"/>
      <c r="E893" s="139"/>
      <c r="F893" s="139"/>
      <c r="G893" s="140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45"/>
      <c r="B894" s="138" t="s">
        <v>637</v>
      </c>
      <c r="C894" s="139"/>
      <c r="D894" s="139"/>
      <c r="E894" s="139"/>
      <c r="F894" s="139"/>
      <c r="G894" s="140"/>
      <c r="H894" s="23">
        <v>24</v>
      </c>
      <c r="I894" s="31">
        <v>62</v>
      </c>
      <c r="J894" s="31">
        <v>40</v>
      </c>
      <c r="K894" s="31">
        <v>0</v>
      </c>
      <c r="L894" s="31">
        <v>0</v>
      </c>
      <c r="M894" s="31">
        <v>0</v>
      </c>
      <c r="N894" s="31">
        <v>0</v>
      </c>
      <c r="O894" s="31">
        <v>28</v>
      </c>
      <c r="P894" s="31">
        <v>28</v>
      </c>
      <c r="Q894" s="31">
        <v>0</v>
      </c>
      <c r="R894" s="31">
        <v>0</v>
      </c>
      <c r="S894" s="31">
        <v>0</v>
      </c>
      <c r="T894" s="31">
        <v>0</v>
      </c>
      <c r="U894" s="31">
        <v>3</v>
      </c>
      <c r="V894" s="31">
        <v>1</v>
      </c>
      <c r="W894" s="31">
        <v>2</v>
      </c>
      <c r="X894" s="31">
        <v>0</v>
      </c>
      <c r="Y894" s="31">
        <v>8</v>
      </c>
      <c r="Z894" s="31">
        <v>8</v>
      </c>
      <c r="AA894" s="31">
        <v>0</v>
      </c>
      <c r="AB894" s="31">
        <v>34</v>
      </c>
    </row>
    <row r="895" spans="1:28" ht="27.2" customHeight="1" x14ac:dyDescent="0.2">
      <c r="A895" s="145"/>
      <c r="B895" s="190" t="s">
        <v>32</v>
      </c>
      <c r="C895" s="138" t="s">
        <v>638</v>
      </c>
      <c r="D895" s="139"/>
      <c r="E895" s="139"/>
      <c r="F895" s="139"/>
      <c r="G895" s="140"/>
      <c r="H895" s="23">
        <v>25</v>
      </c>
      <c r="I895" s="31">
        <v>10</v>
      </c>
      <c r="J895" s="31">
        <v>2</v>
      </c>
      <c r="K895" s="31">
        <v>0</v>
      </c>
      <c r="L895" s="31">
        <v>0</v>
      </c>
      <c r="M895" s="31">
        <v>0</v>
      </c>
      <c r="N895" s="31">
        <v>0</v>
      </c>
      <c r="O895" s="31">
        <v>2</v>
      </c>
      <c r="P895" s="31">
        <v>2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1</v>
      </c>
      <c r="W895" s="31">
        <v>1</v>
      </c>
      <c r="X895" s="31">
        <v>0</v>
      </c>
      <c r="Y895" s="31">
        <v>4</v>
      </c>
      <c r="Z895" s="31">
        <v>4</v>
      </c>
      <c r="AA895" s="31">
        <v>0</v>
      </c>
      <c r="AB895" s="31">
        <v>8</v>
      </c>
    </row>
    <row r="896" spans="1:28" ht="26.25" customHeight="1" x14ac:dyDescent="0.2">
      <c r="A896" s="145"/>
      <c r="B896" s="191"/>
      <c r="C896" s="139" t="s">
        <v>639</v>
      </c>
      <c r="D896" s="139"/>
      <c r="E896" s="139"/>
      <c r="F896" s="139"/>
      <c r="G896" s="140"/>
      <c r="H896" s="23">
        <v>26</v>
      </c>
      <c r="I896" s="54">
        <v>52</v>
      </c>
      <c r="J896" s="54">
        <v>38</v>
      </c>
      <c r="K896" s="54">
        <v>0</v>
      </c>
      <c r="L896" s="54">
        <v>0</v>
      </c>
      <c r="M896" s="31">
        <v>0</v>
      </c>
      <c r="N896" s="31">
        <v>0</v>
      </c>
      <c r="O896" s="31">
        <v>26</v>
      </c>
      <c r="P896" s="31">
        <v>26</v>
      </c>
      <c r="Q896" s="31">
        <v>0</v>
      </c>
      <c r="R896" s="31">
        <v>0</v>
      </c>
      <c r="S896" s="31">
        <v>0</v>
      </c>
      <c r="T896" s="31">
        <v>0</v>
      </c>
      <c r="U896" s="31">
        <v>3</v>
      </c>
      <c r="V896" s="31">
        <v>0</v>
      </c>
      <c r="W896" s="31">
        <v>1</v>
      </c>
      <c r="X896" s="31">
        <v>0</v>
      </c>
      <c r="Y896" s="31">
        <v>4</v>
      </c>
      <c r="Z896" s="31">
        <v>4</v>
      </c>
      <c r="AA896" s="31">
        <v>0</v>
      </c>
      <c r="AB896" s="31">
        <v>26</v>
      </c>
    </row>
    <row r="897" spans="1:28" ht="27.2" customHeight="1" x14ac:dyDescent="0.2">
      <c r="A897" s="145"/>
      <c r="B897" s="138" t="s">
        <v>640</v>
      </c>
      <c r="C897" s="139"/>
      <c r="D897" s="139"/>
      <c r="E897" s="139"/>
      <c r="F897" s="139"/>
      <c r="G897" s="140"/>
      <c r="H897" s="23">
        <v>27</v>
      </c>
      <c r="I897" s="31">
        <v>33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6</v>
      </c>
      <c r="Z897" s="31">
        <v>6</v>
      </c>
      <c r="AA897" s="31">
        <v>0</v>
      </c>
      <c r="AB897" s="31">
        <v>33</v>
      </c>
    </row>
    <row r="898" spans="1:28" ht="36" customHeight="1" x14ac:dyDescent="0.2">
      <c r="A898" s="145"/>
      <c r="B898" s="138" t="s">
        <v>641</v>
      </c>
      <c r="C898" s="139"/>
      <c r="D898" s="139"/>
      <c r="E898" s="139"/>
      <c r="F898" s="139"/>
      <c r="G898" s="140"/>
      <c r="H898" s="23">
        <v>28</v>
      </c>
      <c r="I898" s="31">
        <v>13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8</v>
      </c>
      <c r="Z898" s="31">
        <v>8</v>
      </c>
      <c r="AA898" s="31">
        <v>0</v>
      </c>
      <c r="AB898" s="31">
        <v>13</v>
      </c>
    </row>
    <row r="899" spans="1:28" ht="33.75" customHeight="1" x14ac:dyDescent="0.2">
      <c r="A899" s="145"/>
      <c r="B899" s="195" t="s">
        <v>642</v>
      </c>
      <c r="C899" s="196"/>
      <c r="D899" s="196"/>
      <c r="E899" s="196"/>
      <c r="F899" s="196"/>
      <c r="G899" s="197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45"/>
      <c r="B900" s="138" t="s">
        <v>643</v>
      </c>
      <c r="C900" s="139"/>
      <c r="D900" s="139"/>
      <c r="E900" s="139"/>
      <c r="F900" s="139"/>
      <c r="G900" s="140"/>
      <c r="H900" s="23">
        <v>30</v>
      </c>
      <c r="I900" s="31">
        <v>1</v>
      </c>
      <c r="J900" s="31">
        <v>0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1</v>
      </c>
    </row>
    <row r="901" spans="1:28" ht="27.2" customHeight="1" x14ac:dyDescent="0.2">
      <c r="A901" s="145"/>
      <c r="B901" s="138" t="s">
        <v>644</v>
      </c>
      <c r="C901" s="139"/>
      <c r="D901" s="139"/>
      <c r="E901" s="139"/>
      <c r="F901" s="139"/>
      <c r="G901" s="140"/>
      <c r="H901" s="23">
        <v>31</v>
      </c>
      <c r="I901" s="31">
        <v>29</v>
      </c>
      <c r="J901" s="31">
        <v>11</v>
      </c>
      <c r="K901" s="31">
        <v>0</v>
      </c>
      <c r="L901" s="31">
        <v>0</v>
      </c>
      <c r="M901" s="31">
        <v>0</v>
      </c>
      <c r="N901" s="31">
        <v>0</v>
      </c>
      <c r="O901" s="31">
        <v>9</v>
      </c>
      <c r="P901" s="31">
        <v>9</v>
      </c>
      <c r="Q901" s="31">
        <v>0</v>
      </c>
      <c r="R901" s="31">
        <v>0</v>
      </c>
      <c r="S901" s="31">
        <v>0</v>
      </c>
      <c r="T901" s="31">
        <v>0</v>
      </c>
      <c r="U901" s="31">
        <v>4</v>
      </c>
      <c r="V901" s="31">
        <v>0</v>
      </c>
      <c r="W901" s="31">
        <v>0</v>
      </c>
      <c r="X901" s="31">
        <v>1</v>
      </c>
      <c r="Y901" s="31">
        <v>1</v>
      </c>
      <c r="Z901" s="31">
        <v>1</v>
      </c>
      <c r="AA901" s="31">
        <v>0</v>
      </c>
      <c r="AB901" s="31">
        <v>20</v>
      </c>
    </row>
    <row r="902" spans="1:28" ht="27.2" customHeight="1" x14ac:dyDescent="0.2">
      <c r="A902" s="145"/>
      <c r="B902" s="190" t="s">
        <v>32</v>
      </c>
      <c r="C902" s="138" t="s">
        <v>645</v>
      </c>
      <c r="D902" s="139"/>
      <c r="E902" s="139"/>
      <c r="F902" s="139"/>
      <c r="G902" s="140"/>
      <c r="H902" s="23">
        <v>32</v>
      </c>
      <c r="I902" s="31">
        <v>19</v>
      </c>
      <c r="J902" s="31">
        <v>5</v>
      </c>
      <c r="K902" s="31">
        <v>0</v>
      </c>
      <c r="L902" s="31">
        <v>0</v>
      </c>
      <c r="M902" s="31">
        <v>0</v>
      </c>
      <c r="N902" s="31">
        <v>0</v>
      </c>
      <c r="O902" s="31">
        <v>5</v>
      </c>
      <c r="P902" s="31">
        <v>5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1</v>
      </c>
      <c r="Y902" s="31">
        <v>0</v>
      </c>
      <c r="Z902" s="31">
        <v>0</v>
      </c>
      <c r="AA902" s="31">
        <v>0</v>
      </c>
      <c r="AB902" s="31">
        <v>14</v>
      </c>
    </row>
    <row r="903" spans="1:28" ht="26.25" customHeight="1" x14ac:dyDescent="0.2">
      <c r="A903" s="145"/>
      <c r="B903" s="191"/>
      <c r="C903" s="139" t="s">
        <v>646</v>
      </c>
      <c r="D903" s="139"/>
      <c r="E903" s="139"/>
      <c r="F903" s="139"/>
      <c r="G903" s="140"/>
      <c r="H903" s="23">
        <v>33</v>
      </c>
      <c r="I903" s="54">
        <v>10</v>
      </c>
      <c r="J903" s="54">
        <v>6</v>
      </c>
      <c r="K903" s="54">
        <v>0</v>
      </c>
      <c r="L903" s="54">
        <v>0</v>
      </c>
      <c r="M903" s="31">
        <v>0</v>
      </c>
      <c r="N903" s="31">
        <v>0</v>
      </c>
      <c r="O903" s="31">
        <v>4</v>
      </c>
      <c r="P903" s="31">
        <v>4</v>
      </c>
      <c r="Q903" s="31">
        <v>0</v>
      </c>
      <c r="R903" s="31">
        <v>0</v>
      </c>
      <c r="S903" s="31">
        <v>0</v>
      </c>
      <c r="T903" s="31">
        <v>0</v>
      </c>
      <c r="U903" s="31">
        <v>4</v>
      </c>
      <c r="V903" s="31">
        <v>0</v>
      </c>
      <c r="W903" s="31">
        <v>0</v>
      </c>
      <c r="X903" s="31">
        <v>0</v>
      </c>
      <c r="Y903" s="31">
        <v>1</v>
      </c>
      <c r="Z903" s="31">
        <v>1</v>
      </c>
      <c r="AA903" s="31">
        <v>0</v>
      </c>
      <c r="AB903" s="31">
        <v>6</v>
      </c>
    </row>
    <row r="904" spans="1:28" ht="27.2" customHeight="1" x14ac:dyDescent="0.2">
      <c r="A904" s="146"/>
      <c r="B904" s="138" t="s">
        <v>647</v>
      </c>
      <c r="C904" s="139"/>
      <c r="D904" s="139"/>
      <c r="E904" s="139"/>
      <c r="F904" s="139"/>
      <c r="G904" s="140"/>
      <c r="H904" s="23">
        <v>34</v>
      </c>
      <c r="I904" s="31">
        <v>97</v>
      </c>
      <c r="J904" s="31">
        <v>77</v>
      </c>
      <c r="K904" s="31">
        <v>0</v>
      </c>
      <c r="L904" s="31">
        <v>0</v>
      </c>
      <c r="M904" s="31">
        <v>0</v>
      </c>
      <c r="N904" s="31">
        <v>0</v>
      </c>
      <c r="O904" s="31">
        <v>63</v>
      </c>
      <c r="P904" s="31">
        <v>59</v>
      </c>
      <c r="Q904" s="31">
        <v>4</v>
      </c>
      <c r="R904" s="31">
        <v>0</v>
      </c>
      <c r="S904" s="31">
        <v>0</v>
      </c>
      <c r="T904" s="31">
        <v>0</v>
      </c>
      <c r="U904" s="31">
        <v>1</v>
      </c>
      <c r="V904" s="31">
        <v>32</v>
      </c>
      <c r="W904" s="31">
        <v>0</v>
      </c>
      <c r="X904" s="31">
        <v>0</v>
      </c>
      <c r="Y904" s="31">
        <v>2</v>
      </c>
      <c r="Z904" s="31">
        <v>2</v>
      </c>
      <c r="AA904" s="31">
        <v>0</v>
      </c>
      <c r="AB904" s="31">
        <v>34</v>
      </c>
    </row>
    <row r="905" spans="1:28" ht="12.75" customHeight="1" x14ac:dyDescent="0.2">
      <c r="A905" s="150" t="s">
        <v>41</v>
      </c>
      <c r="B905" s="151"/>
      <c r="C905" s="151"/>
      <c r="D905" s="151"/>
      <c r="E905" s="151"/>
      <c r="F905" s="151"/>
      <c r="G905" s="152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44" t="s">
        <v>165</v>
      </c>
      <c r="B906" s="138" t="s">
        <v>648</v>
      </c>
      <c r="C906" s="139"/>
      <c r="D906" s="139"/>
      <c r="E906" s="139"/>
      <c r="F906" s="139"/>
      <c r="G906" s="140"/>
      <c r="H906" s="23">
        <v>35</v>
      </c>
      <c r="I906" s="31">
        <v>100</v>
      </c>
      <c r="J906" s="31">
        <v>13</v>
      </c>
      <c r="K906" s="31">
        <v>0</v>
      </c>
      <c r="L906" s="31">
        <v>0</v>
      </c>
      <c r="M906" s="31">
        <v>0</v>
      </c>
      <c r="N906" s="31">
        <v>0</v>
      </c>
      <c r="O906" s="31">
        <v>12</v>
      </c>
      <c r="P906" s="31">
        <v>12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2</v>
      </c>
      <c r="W906" s="31">
        <v>0</v>
      </c>
      <c r="X906" s="31">
        <v>0</v>
      </c>
      <c r="Y906" s="31">
        <v>31</v>
      </c>
      <c r="Z906" s="31">
        <v>31</v>
      </c>
      <c r="AA906" s="31">
        <v>0</v>
      </c>
      <c r="AB906" s="31">
        <v>88</v>
      </c>
    </row>
    <row r="907" spans="1:28" ht="27.2" customHeight="1" x14ac:dyDescent="0.2">
      <c r="A907" s="145"/>
      <c r="B907" s="190" t="s">
        <v>32</v>
      </c>
      <c r="C907" s="138" t="s">
        <v>649</v>
      </c>
      <c r="D907" s="139"/>
      <c r="E907" s="139"/>
      <c r="F907" s="139"/>
      <c r="G907" s="140"/>
      <c r="H907" s="23">
        <v>36</v>
      </c>
      <c r="I907" s="31">
        <v>31</v>
      </c>
      <c r="J907" s="31">
        <v>3</v>
      </c>
      <c r="K907" s="31">
        <v>0</v>
      </c>
      <c r="L907" s="31">
        <v>0</v>
      </c>
      <c r="M907" s="31">
        <v>0</v>
      </c>
      <c r="N907" s="31">
        <v>0</v>
      </c>
      <c r="O907" s="31">
        <v>2</v>
      </c>
      <c r="P907" s="31">
        <v>2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20</v>
      </c>
      <c r="Z907" s="31">
        <v>20</v>
      </c>
      <c r="AA907" s="31">
        <v>0</v>
      </c>
      <c r="AB907" s="31">
        <v>29</v>
      </c>
    </row>
    <row r="908" spans="1:28" ht="26.25" customHeight="1" x14ac:dyDescent="0.2">
      <c r="A908" s="145"/>
      <c r="B908" s="191"/>
      <c r="C908" s="139" t="s">
        <v>650</v>
      </c>
      <c r="D908" s="139"/>
      <c r="E908" s="139"/>
      <c r="F908" s="139"/>
      <c r="G908" s="140"/>
      <c r="H908" s="23">
        <v>37</v>
      </c>
      <c r="I908" s="54">
        <v>69</v>
      </c>
      <c r="J908" s="54">
        <v>10</v>
      </c>
      <c r="K908" s="54">
        <v>0</v>
      </c>
      <c r="L908" s="54">
        <v>0</v>
      </c>
      <c r="M908" s="31">
        <v>0</v>
      </c>
      <c r="N908" s="31">
        <v>0</v>
      </c>
      <c r="O908" s="31">
        <v>10</v>
      </c>
      <c r="P908" s="31">
        <v>10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2</v>
      </c>
      <c r="W908" s="31">
        <v>0</v>
      </c>
      <c r="X908" s="31">
        <v>0</v>
      </c>
      <c r="Y908" s="31">
        <v>11</v>
      </c>
      <c r="Z908" s="31">
        <v>11</v>
      </c>
      <c r="AA908" s="31">
        <v>0</v>
      </c>
      <c r="AB908" s="31">
        <v>59</v>
      </c>
    </row>
    <row r="909" spans="1:28" ht="28.5" customHeight="1" x14ac:dyDescent="0.2">
      <c r="A909" s="145"/>
      <c r="B909" s="138" t="s">
        <v>651</v>
      </c>
      <c r="C909" s="139"/>
      <c r="D909" s="139"/>
      <c r="E909" s="139"/>
      <c r="F909" s="139"/>
      <c r="G909" s="140"/>
      <c r="H909" s="23">
        <v>38</v>
      </c>
      <c r="I909" s="31">
        <v>645</v>
      </c>
      <c r="J909" s="31">
        <v>20</v>
      </c>
      <c r="K909" s="31">
        <v>0</v>
      </c>
      <c r="L909" s="31">
        <v>0</v>
      </c>
      <c r="M909" s="31">
        <v>0</v>
      </c>
      <c r="N909" s="31">
        <v>0</v>
      </c>
      <c r="O909" s="31">
        <v>20</v>
      </c>
      <c r="P909" s="31">
        <v>20</v>
      </c>
      <c r="Q909" s="31">
        <v>0</v>
      </c>
      <c r="R909" s="31">
        <v>0</v>
      </c>
      <c r="S909" s="31">
        <v>0</v>
      </c>
      <c r="T909" s="31">
        <v>0</v>
      </c>
      <c r="U909" s="31">
        <v>2</v>
      </c>
      <c r="V909" s="31">
        <v>1</v>
      </c>
      <c r="W909" s="31">
        <v>0</v>
      </c>
      <c r="X909" s="31">
        <v>0</v>
      </c>
      <c r="Y909" s="31">
        <v>162</v>
      </c>
      <c r="Z909" s="31">
        <v>162</v>
      </c>
      <c r="AA909" s="31">
        <v>0</v>
      </c>
      <c r="AB909" s="31">
        <v>625</v>
      </c>
    </row>
    <row r="910" spans="1:28" ht="51" customHeight="1" x14ac:dyDescent="0.2">
      <c r="A910" s="145"/>
      <c r="B910" s="138" t="s">
        <v>652</v>
      </c>
      <c r="C910" s="139"/>
      <c r="D910" s="139"/>
      <c r="E910" s="139"/>
      <c r="F910" s="139"/>
      <c r="G910" s="140"/>
      <c r="H910" s="23">
        <v>39</v>
      </c>
      <c r="I910" s="31">
        <v>1346</v>
      </c>
      <c r="J910" s="31">
        <v>1122</v>
      </c>
      <c r="K910" s="31">
        <v>6</v>
      </c>
      <c r="L910" s="31">
        <v>0</v>
      </c>
      <c r="M910" s="31">
        <v>5</v>
      </c>
      <c r="N910" s="31">
        <v>0</v>
      </c>
      <c r="O910" s="31">
        <v>1052</v>
      </c>
      <c r="P910" s="31">
        <v>1034</v>
      </c>
      <c r="Q910" s="31">
        <v>0</v>
      </c>
      <c r="R910" s="31">
        <v>14</v>
      </c>
      <c r="S910" s="31">
        <v>4</v>
      </c>
      <c r="T910" s="31">
        <v>2</v>
      </c>
      <c r="U910" s="31">
        <v>375</v>
      </c>
      <c r="V910" s="31">
        <v>17</v>
      </c>
      <c r="W910" s="31">
        <v>31</v>
      </c>
      <c r="X910" s="31">
        <v>16</v>
      </c>
      <c r="Y910" s="31">
        <v>208</v>
      </c>
      <c r="Z910" s="31">
        <v>207</v>
      </c>
      <c r="AA910" s="31">
        <v>0</v>
      </c>
      <c r="AB910" s="31">
        <v>285</v>
      </c>
    </row>
    <row r="911" spans="1:28" ht="26.25" customHeight="1" x14ac:dyDescent="0.2">
      <c r="A911" s="145"/>
      <c r="B911" s="216" t="s">
        <v>32</v>
      </c>
      <c r="C911" s="138" t="s">
        <v>653</v>
      </c>
      <c r="D911" s="139"/>
      <c r="E911" s="139"/>
      <c r="F911" s="139"/>
      <c r="G911" s="140"/>
      <c r="H911" s="23">
        <v>40</v>
      </c>
      <c r="I911" s="54">
        <v>1334</v>
      </c>
      <c r="J911" s="54">
        <v>1121</v>
      </c>
      <c r="K911" s="54">
        <v>6</v>
      </c>
      <c r="L911" s="54">
        <v>0</v>
      </c>
      <c r="M911" s="31">
        <v>5</v>
      </c>
      <c r="N911" s="31">
        <v>0</v>
      </c>
      <c r="O911" s="31">
        <v>1052</v>
      </c>
      <c r="P911" s="31">
        <v>1034</v>
      </c>
      <c r="Q911" s="31">
        <v>0</v>
      </c>
      <c r="R911" s="31">
        <v>14</v>
      </c>
      <c r="S911" s="31">
        <v>4</v>
      </c>
      <c r="T911" s="31">
        <v>2</v>
      </c>
      <c r="U911" s="31">
        <v>375</v>
      </c>
      <c r="V911" s="31">
        <v>17</v>
      </c>
      <c r="W911" s="31">
        <v>31</v>
      </c>
      <c r="X911" s="31">
        <v>16</v>
      </c>
      <c r="Y911" s="31">
        <v>205</v>
      </c>
      <c r="Z911" s="31">
        <v>204</v>
      </c>
      <c r="AA911" s="31">
        <v>0</v>
      </c>
      <c r="AB911" s="31">
        <v>273</v>
      </c>
    </row>
    <row r="912" spans="1:28" ht="26.25" customHeight="1" x14ac:dyDescent="0.2">
      <c r="A912" s="145"/>
      <c r="B912" s="217"/>
      <c r="C912" s="174" t="s">
        <v>654</v>
      </c>
      <c r="D912" s="175"/>
      <c r="E912" s="175"/>
      <c r="F912" s="175"/>
      <c r="G912" s="176"/>
      <c r="H912" s="23">
        <v>41</v>
      </c>
      <c r="I912" s="54">
        <v>12</v>
      </c>
      <c r="J912" s="54">
        <v>1</v>
      </c>
      <c r="K912" s="54">
        <v>0</v>
      </c>
      <c r="L912" s="54">
        <v>0</v>
      </c>
      <c r="M912" s="31">
        <v>0</v>
      </c>
      <c r="N912" s="31">
        <v>0</v>
      </c>
      <c r="O912" s="31">
        <v>0</v>
      </c>
      <c r="P912" s="31">
        <v>0</v>
      </c>
      <c r="Q912" s="31">
        <v>0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3</v>
      </c>
      <c r="Z912" s="31">
        <v>3</v>
      </c>
      <c r="AA912" s="31">
        <v>0</v>
      </c>
      <c r="AB912" s="31">
        <v>12</v>
      </c>
    </row>
    <row r="913" spans="1:28" ht="40.5" customHeight="1" x14ac:dyDescent="0.2">
      <c r="A913" s="145"/>
      <c r="B913" s="138" t="s">
        <v>655</v>
      </c>
      <c r="C913" s="139"/>
      <c r="D913" s="139"/>
      <c r="E913" s="139"/>
      <c r="F913" s="139"/>
      <c r="G913" s="140"/>
      <c r="H913" s="23">
        <v>42</v>
      </c>
      <c r="I913" s="31">
        <v>11290</v>
      </c>
      <c r="J913" s="31">
        <v>7859</v>
      </c>
      <c r="K913" s="31">
        <v>121</v>
      </c>
      <c r="L913" s="31">
        <v>1</v>
      </c>
      <c r="M913" s="31">
        <v>110</v>
      </c>
      <c r="N913" s="31">
        <v>0</v>
      </c>
      <c r="O913" s="31">
        <v>6239</v>
      </c>
      <c r="P913" s="31">
        <v>6188</v>
      </c>
      <c r="Q913" s="31">
        <v>49</v>
      </c>
      <c r="R913" s="31">
        <v>1</v>
      </c>
      <c r="S913" s="31">
        <v>1</v>
      </c>
      <c r="T913" s="31">
        <v>27</v>
      </c>
      <c r="U913" s="31">
        <v>209</v>
      </c>
      <c r="V913" s="31">
        <v>546</v>
      </c>
      <c r="W913" s="31">
        <v>14</v>
      </c>
      <c r="X913" s="31">
        <v>7</v>
      </c>
      <c r="Y913" s="31">
        <v>1056</v>
      </c>
      <c r="Z913" s="31">
        <v>1054</v>
      </c>
      <c r="AA913" s="31">
        <v>0</v>
      </c>
      <c r="AB913" s="31">
        <v>4901</v>
      </c>
    </row>
    <row r="914" spans="1:28" ht="26.25" customHeight="1" x14ac:dyDescent="0.2">
      <c r="A914" s="145"/>
      <c r="B914" s="216" t="s">
        <v>32</v>
      </c>
      <c r="C914" s="138" t="s">
        <v>656</v>
      </c>
      <c r="D914" s="139"/>
      <c r="E914" s="139"/>
      <c r="F914" s="139"/>
      <c r="G914" s="140"/>
      <c r="H914" s="23">
        <v>43</v>
      </c>
      <c r="I914" s="54">
        <v>7892</v>
      </c>
      <c r="J914" s="54">
        <v>5303</v>
      </c>
      <c r="K914" s="54">
        <v>66</v>
      </c>
      <c r="L914" s="54">
        <v>1</v>
      </c>
      <c r="M914" s="31">
        <v>61</v>
      </c>
      <c r="N914" s="31">
        <v>0</v>
      </c>
      <c r="O914" s="31">
        <v>4540</v>
      </c>
      <c r="P914" s="31">
        <v>4500</v>
      </c>
      <c r="Q914" s="31">
        <v>38</v>
      </c>
      <c r="R914" s="31">
        <v>1</v>
      </c>
      <c r="S914" s="31">
        <v>1</v>
      </c>
      <c r="T914" s="31">
        <v>25</v>
      </c>
      <c r="U914" s="31">
        <v>180</v>
      </c>
      <c r="V914" s="31">
        <v>286</v>
      </c>
      <c r="W914" s="31">
        <v>14</v>
      </c>
      <c r="X914" s="31">
        <v>5</v>
      </c>
      <c r="Y914" s="31">
        <v>940</v>
      </c>
      <c r="Z914" s="31">
        <v>939</v>
      </c>
      <c r="AA914" s="31">
        <v>0</v>
      </c>
      <c r="AB914" s="31">
        <v>3260</v>
      </c>
    </row>
    <row r="915" spans="1:28" ht="26.25" customHeight="1" x14ac:dyDescent="0.2">
      <c r="A915" s="145"/>
      <c r="B915" s="217"/>
      <c r="C915" s="174" t="s">
        <v>657</v>
      </c>
      <c r="D915" s="175"/>
      <c r="E915" s="175"/>
      <c r="F915" s="175"/>
      <c r="G915" s="176"/>
      <c r="H915" s="23">
        <v>44</v>
      </c>
      <c r="I915" s="54">
        <v>3398</v>
      </c>
      <c r="J915" s="54">
        <v>2556</v>
      </c>
      <c r="K915" s="54">
        <v>55</v>
      </c>
      <c r="L915" s="54">
        <v>0</v>
      </c>
      <c r="M915" s="31">
        <v>49</v>
      </c>
      <c r="N915" s="31">
        <v>0</v>
      </c>
      <c r="O915" s="31">
        <v>1699</v>
      </c>
      <c r="P915" s="31">
        <v>1688</v>
      </c>
      <c r="Q915" s="31">
        <v>11</v>
      </c>
      <c r="R915" s="31">
        <v>0</v>
      </c>
      <c r="S915" s="31">
        <v>0</v>
      </c>
      <c r="T915" s="31">
        <v>2</v>
      </c>
      <c r="U915" s="31">
        <v>29</v>
      </c>
      <c r="V915" s="31">
        <v>260</v>
      </c>
      <c r="W915" s="31">
        <v>0</v>
      </c>
      <c r="X915" s="31">
        <v>2</v>
      </c>
      <c r="Y915" s="31">
        <v>116</v>
      </c>
      <c r="Z915" s="31">
        <v>115</v>
      </c>
      <c r="AA915" s="31">
        <v>0</v>
      </c>
      <c r="AB915" s="31">
        <v>1641</v>
      </c>
    </row>
    <row r="916" spans="1:28" ht="39" customHeight="1" x14ac:dyDescent="0.2">
      <c r="A916" s="145"/>
      <c r="B916" s="138" t="s">
        <v>658</v>
      </c>
      <c r="C916" s="139"/>
      <c r="D916" s="139"/>
      <c r="E916" s="139"/>
      <c r="F916" s="139"/>
      <c r="G916" s="140"/>
      <c r="H916" s="23">
        <v>45</v>
      </c>
      <c r="I916" s="31">
        <v>33</v>
      </c>
      <c r="J916" s="31">
        <v>0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2</v>
      </c>
      <c r="Z916" s="31">
        <v>2</v>
      </c>
      <c r="AA916" s="31">
        <v>0</v>
      </c>
      <c r="AB916" s="31">
        <v>33</v>
      </c>
    </row>
    <row r="917" spans="1:28" ht="27.2" customHeight="1" x14ac:dyDescent="0.2">
      <c r="A917" s="145"/>
      <c r="B917" s="138" t="s">
        <v>659</v>
      </c>
      <c r="C917" s="139"/>
      <c r="D917" s="139"/>
      <c r="E917" s="139"/>
      <c r="F917" s="139"/>
      <c r="G917" s="140"/>
      <c r="H917" s="23">
        <v>46</v>
      </c>
      <c r="I917" s="31">
        <v>591</v>
      </c>
      <c r="J917" s="31">
        <v>525</v>
      </c>
      <c r="K917" s="31">
        <v>0</v>
      </c>
      <c r="L917" s="31">
        <v>0</v>
      </c>
      <c r="M917" s="31">
        <v>0</v>
      </c>
      <c r="N917" s="31">
        <v>0</v>
      </c>
      <c r="O917" s="31">
        <v>326</v>
      </c>
      <c r="P917" s="31">
        <v>326</v>
      </c>
      <c r="Q917" s="31">
        <v>0</v>
      </c>
      <c r="R917" s="31">
        <v>0</v>
      </c>
      <c r="S917" s="31">
        <v>0</v>
      </c>
      <c r="T917" s="31">
        <v>0</v>
      </c>
      <c r="U917" s="31">
        <v>108</v>
      </c>
      <c r="V917" s="31">
        <v>1</v>
      </c>
      <c r="W917" s="31">
        <v>0</v>
      </c>
      <c r="X917" s="31">
        <v>1</v>
      </c>
      <c r="Y917" s="31">
        <v>64</v>
      </c>
      <c r="Z917" s="31">
        <v>63</v>
      </c>
      <c r="AA917" s="31">
        <v>0</v>
      </c>
      <c r="AB917" s="31">
        <v>264</v>
      </c>
    </row>
    <row r="918" spans="1:28" ht="27.2" customHeight="1" x14ac:dyDescent="0.2">
      <c r="A918" s="145"/>
      <c r="B918" s="216" t="s">
        <v>32</v>
      </c>
      <c r="C918" s="138" t="s">
        <v>660</v>
      </c>
      <c r="D918" s="139"/>
      <c r="E918" s="139"/>
      <c r="F918" s="139"/>
      <c r="G918" s="140"/>
      <c r="H918" s="23">
        <v>47</v>
      </c>
      <c r="I918" s="31">
        <v>264</v>
      </c>
      <c r="J918" s="31">
        <v>206</v>
      </c>
      <c r="K918" s="31">
        <v>0</v>
      </c>
      <c r="L918" s="31">
        <v>0</v>
      </c>
      <c r="M918" s="31">
        <v>0</v>
      </c>
      <c r="N918" s="31">
        <v>0</v>
      </c>
      <c r="O918" s="31">
        <v>81</v>
      </c>
      <c r="P918" s="31">
        <v>81</v>
      </c>
      <c r="Q918" s="31">
        <v>0</v>
      </c>
      <c r="R918" s="31">
        <v>0</v>
      </c>
      <c r="S918" s="31">
        <v>0</v>
      </c>
      <c r="T918" s="31">
        <v>0</v>
      </c>
      <c r="U918" s="31">
        <v>17</v>
      </c>
      <c r="V918" s="31">
        <v>0</v>
      </c>
      <c r="W918" s="31">
        <v>0</v>
      </c>
      <c r="X918" s="31">
        <v>0</v>
      </c>
      <c r="Y918" s="31">
        <v>63</v>
      </c>
      <c r="Z918" s="31">
        <v>62</v>
      </c>
      <c r="AA918" s="31">
        <v>0</v>
      </c>
      <c r="AB918" s="31">
        <v>182</v>
      </c>
    </row>
    <row r="919" spans="1:28" ht="27.2" customHeight="1" x14ac:dyDescent="0.2">
      <c r="A919" s="145"/>
      <c r="B919" s="217"/>
      <c r="C919" s="174" t="s">
        <v>661</v>
      </c>
      <c r="D919" s="175"/>
      <c r="E919" s="175"/>
      <c r="F919" s="175"/>
      <c r="G919" s="176"/>
      <c r="H919" s="23">
        <v>48</v>
      </c>
      <c r="I919" s="31">
        <v>327</v>
      </c>
      <c r="J919" s="31">
        <v>319</v>
      </c>
      <c r="K919" s="31">
        <v>0</v>
      </c>
      <c r="L919" s="31">
        <v>0</v>
      </c>
      <c r="M919" s="31">
        <v>0</v>
      </c>
      <c r="N919" s="31">
        <v>0</v>
      </c>
      <c r="O919" s="31">
        <v>245</v>
      </c>
      <c r="P919" s="31">
        <v>245</v>
      </c>
      <c r="Q919" s="31">
        <v>0</v>
      </c>
      <c r="R919" s="31">
        <v>0</v>
      </c>
      <c r="S919" s="31">
        <v>0</v>
      </c>
      <c r="T919" s="31">
        <v>0</v>
      </c>
      <c r="U919" s="31">
        <v>91</v>
      </c>
      <c r="V919" s="31">
        <v>1</v>
      </c>
      <c r="W919" s="31">
        <v>0</v>
      </c>
      <c r="X919" s="31">
        <v>1</v>
      </c>
      <c r="Y919" s="31">
        <v>1</v>
      </c>
      <c r="Z919" s="31">
        <v>1</v>
      </c>
      <c r="AA919" s="31">
        <v>0</v>
      </c>
      <c r="AB919" s="31">
        <v>82</v>
      </c>
    </row>
    <row r="920" spans="1:28" ht="23.25" customHeight="1" x14ac:dyDescent="0.2">
      <c r="A920" s="146"/>
      <c r="B920" s="138" t="s">
        <v>179</v>
      </c>
      <c r="C920" s="139"/>
      <c r="D920" s="139"/>
      <c r="E920" s="139"/>
      <c r="F920" s="139"/>
      <c r="G920" s="140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8" t="s">
        <v>115</v>
      </c>
      <c r="B921" s="139"/>
      <c r="C921" s="139"/>
      <c r="D921" s="139"/>
      <c r="E921" s="139"/>
      <c r="F921" s="139"/>
      <c r="G921" s="140"/>
      <c r="H921" s="23">
        <v>50</v>
      </c>
      <c r="I921" s="31">
        <f t="shared" ref="I921:AB921" si="17">SUM(I906:I920,I871:I904)</f>
        <v>58020</v>
      </c>
      <c r="J921" s="31">
        <f t="shared" si="17"/>
        <v>39912</v>
      </c>
      <c r="K921" s="31">
        <f t="shared" si="17"/>
        <v>541</v>
      </c>
      <c r="L921" s="31">
        <f t="shared" si="17"/>
        <v>4</v>
      </c>
      <c r="M921" s="31">
        <f t="shared" si="17"/>
        <v>493</v>
      </c>
      <c r="N921" s="31">
        <f t="shared" si="17"/>
        <v>0</v>
      </c>
      <c r="O921" s="31">
        <f t="shared" si="17"/>
        <v>32026</v>
      </c>
      <c r="P921" s="31">
        <f t="shared" si="17"/>
        <v>31699</v>
      </c>
      <c r="Q921" s="31">
        <f t="shared" si="17"/>
        <v>208</v>
      </c>
      <c r="R921" s="31">
        <f t="shared" si="17"/>
        <v>99</v>
      </c>
      <c r="S921" s="31">
        <f t="shared" si="17"/>
        <v>20</v>
      </c>
      <c r="T921" s="31">
        <f t="shared" si="17"/>
        <v>116</v>
      </c>
      <c r="U921" s="31">
        <f t="shared" si="17"/>
        <v>2965</v>
      </c>
      <c r="V921" s="31">
        <f t="shared" si="17"/>
        <v>2400</v>
      </c>
      <c r="W921" s="31">
        <f t="shared" si="17"/>
        <v>553</v>
      </c>
      <c r="X921" s="31">
        <f t="shared" si="17"/>
        <v>115</v>
      </c>
      <c r="Y921" s="31">
        <f t="shared" si="17"/>
        <v>6245</v>
      </c>
      <c r="Z921" s="31">
        <f t="shared" si="17"/>
        <v>6229</v>
      </c>
      <c r="AA921" s="31">
        <f t="shared" si="17"/>
        <v>0</v>
      </c>
      <c r="AB921" s="31">
        <f t="shared" si="17"/>
        <v>25321</v>
      </c>
    </row>
    <row r="922" spans="1:28" ht="19.5" customHeight="1" x14ac:dyDescent="0.2"/>
    <row r="923" spans="1:28" ht="24.75" customHeight="1" x14ac:dyDescent="0.2">
      <c r="A923" s="215" t="s">
        <v>662</v>
      </c>
      <c r="B923" s="215"/>
      <c r="C923" s="215"/>
      <c r="D923" s="215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</row>
    <row r="924" spans="1:28" ht="30.75" customHeight="1" x14ac:dyDescent="0.2">
      <c r="A924" s="178"/>
      <c r="B924" s="179"/>
      <c r="C924" s="179"/>
      <c r="D924" s="179"/>
      <c r="E924" s="179"/>
      <c r="F924" s="179"/>
      <c r="G924" s="180"/>
      <c r="H924" s="187" t="s">
        <v>15</v>
      </c>
      <c r="I924" s="168" t="s">
        <v>1148</v>
      </c>
      <c r="J924" s="168" t="s">
        <v>16</v>
      </c>
      <c r="K924" s="168" t="s">
        <v>17</v>
      </c>
      <c r="L924" s="171" t="s">
        <v>18</v>
      </c>
      <c r="M924" s="172"/>
      <c r="N924" s="173"/>
      <c r="O924" s="168" t="s">
        <v>19</v>
      </c>
      <c r="P924" s="171" t="s">
        <v>20</v>
      </c>
      <c r="Q924" s="172"/>
      <c r="R924" s="172"/>
      <c r="S924" s="173"/>
      <c r="T924" s="168" t="s">
        <v>21</v>
      </c>
      <c r="U924" s="171" t="s">
        <v>22</v>
      </c>
      <c r="V924" s="172"/>
      <c r="W924" s="172"/>
      <c r="X924" s="173"/>
      <c r="Y924" s="171" t="s">
        <v>23</v>
      </c>
      <c r="Z924" s="172"/>
      <c r="AA924" s="173"/>
      <c r="AB924" s="168" t="s">
        <v>24</v>
      </c>
    </row>
    <row r="925" spans="1:28" ht="27" customHeight="1" x14ac:dyDescent="0.2">
      <c r="A925" s="181"/>
      <c r="B925" s="182"/>
      <c r="C925" s="182"/>
      <c r="D925" s="182"/>
      <c r="E925" s="182"/>
      <c r="F925" s="182"/>
      <c r="G925" s="183"/>
      <c r="H925" s="188"/>
      <c r="I925" s="170"/>
      <c r="J925" s="170"/>
      <c r="K925" s="170"/>
      <c r="L925" s="168" t="s">
        <v>25</v>
      </c>
      <c r="M925" s="168" t="s">
        <v>26</v>
      </c>
      <c r="N925" s="168" t="s">
        <v>27</v>
      </c>
      <c r="O925" s="170"/>
      <c r="P925" s="168" t="s">
        <v>28</v>
      </c>
      <c r="Q925" s="168" t="s">
        <v>29</v>
      </c>
      <c r="R925" s="168" t="s">
        <v>30</v>
      </c>
      <c r="S925" s="168" t="s">
        <v>31</v>
      </c>
      <c r="T925" s="170"/>
      <c r="U925" s="171" t="s">
        <v>32</v>
      </c>
      <c r="V925" s="172"/>
      <c r="W925" s="172"/>
      <c r="X925" s="173"/>
      <c r="Y925" s="168" t="s">
        <v>33</v>
      </c>
      <c r="Z925" s="171" t="s">
        <v>34</v>
      </c>
      <c r="AA925" s="173"/>
      <c r="AB925" s="170"/>
    </row>
    <row r="926" spans="1:28" ht="73.5" customHeight="1" x14ac:dyDescent="0.2">
      <c r="A926" s="184"/>
      <c r="B926" s="185"/>
      <c r="C926" s="185"/>
      <c r="D926" s="185"/>
      <c r="E926" s="185"/>
      <c r="F926" s="185"/>
      <c r="G926" s="186"/>
      <c r="H926" s="18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9" t="s">
        <v>35</v>
      </c>
      <c r="V926" s="16" t="s">
        <v>36</v>
      </c>
      <c r="W926" s="16" t="s">
        <v>37</v>
      </c>
      <c r="X926" s="16" t="s">
        <v>38</v>
      </c>
      <c r="Y926" s="169"/>
      <c r="Z926" s="18" t="s">
        <v>39</v>
      </c>
      <c r="AA926" s="17" t="s">
        <v>40</v>
      </c>
      <c r="AB926" s="169"/>
    </row>
    <row r="927" spans="1:28" ht="13.5" customHeight="1" x14ac:dyDescent="0.2">
      <c r="A927" s="150" t="s">
        <v>41</v>
      </c>
      <c r="B927" s="151"/>
      <c r="C927" s="151"/>
      <c r="D927" s="151"/>
      <c r="E927" s="151"/>
      <c r="F927" s="151"/>
      <c r="G927" s="152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53" t="s">
        <v>43</v>
      </c>
      <c r="B928" s="154"/>
      <c r="C928" s="154"/>
      <c r="D928" s="154"/>
      <c r="E928" s="154"/>
      <c r="F928" s="154"/>
      <c r="G928" s="155"/>
      <c r="H928" s="23">
        <v>1</v>
      </c>
      <c r="I928" s="31">
        <v>2008</v>
      </c>
      <c r="J928" s="31">
        <v>1477</v>
      </c>
      <c r="K928" s="31">
        <v>17</v>
      </c>
      <c r="L928" s="31">
        <v>0</v>
      </c>
      <c r="M928" s="31">
        <v>17</v>
      </c>
      <c r="N928" s="31">
        <v>0</v>
      </c>
      <c r="O928" s="31">
        <v>1116</v>
      </c>
      <c r="P928" s="31">
        <v>1115</v>
      </c>
      <c r="Q928" s="31">
        <v>0</v>
      </c>
      <c r="R928" s="31">
        <v>0</v>
      </c>
      <c r="S928" s="31">
        <v>1</v>
      </c>
      <c r="T928" s="31">
        <v>0</v>
      </c>
      <c r="U928" s="31">
        <v>118</v>
      </c>
      <c r="V928" s="31">
        <v>150</v>
      </c>
      <c r="W928" s="31">
        <v>1</v>
      </c>
      <c r="X928" s="31">
        <v>23</v>
      </c>
      <c r="Y928" s="31">
        <v>131</v>
      </c>
      <c r="Z928" s="31">
        <v>131</v>
      </c>
      <c r="AA928" s="31">
        <v>0</v>
      </c>
      <c r="AB928" s="31">
        <v>875</v>
      </c>
    </row>
    <row r="929" spans="1:28" ht="19.5" customHeight="1" x14ac:dyDescent="0.2">
      <c r="A929" s="156" t="s">
        <v>181</v>
      </c>
      <c r="B929" s="157"/>
      <c r="C929" s="165" t="s">
        <v>51</v>
      </c>
      <c r="D929" s="166"/>
      <c r="E929" s="166"/>
      <c r="F929" s="166"/>
      <c r="G929" s="167"/>
      <c r="H929" s="23">
        <v>2</v>
      </c>
      <c r="I929" s="31">
        <v>234</v>
      </c>
      <c r="J929" s="31">
        <v>107</v>
      </c>
      <c r="K929" s="31">
        <v>8</v>
      </c>
      <c r="L929" s="31">
        <v>0</v>
      </c>
      <c r="M929" s="31">
        <v>8</v>
      </c>
      <c r="N929" s="31">
        <v>0</v>
      </c>
      <c r="O929" s="31">
        <v>56</v>
      </c>
      <c r="P929" s="31">
        <v>56</v>
      </c>
      <c r="Q929" s="31">
        <v>0</v>
      </c>
      <c r="R929" s="31">
        <v>0</v>
      </c>
      <c r="S929" s="31">
        <v>0</v>
      </c>
      <c r="T929" s="31">
        <v>0</v>
      </c>
      <c r="U929" s="31">
        <v>9</v>
      </c>
      <c r="V929" s="31">
        <v>45</v>
      </c>
      <c r="W929" s="31">
        <v>0</v>
      </c>
      <c r="X929" s="31">
        <v>0</v>
      </c>
      <c r="Y929" s="31">
        <v>13</v>
      </c>
      <c r="Z929" s="31">
        <v>13</v>
      </c>
      <c r="AA929" s="31">
        <v>0</v>
      </c>
      <c r="AB929" s="31">
        <v>170</v>
      </c>
    </row>
    <row r="930" spans="1:28" ht="19.5" customHeight="1" x14ac:dyDescent="0.2">
      <c r="A930" s="159"/>
      <c r="B930" s="160"/>
      <c r="C930" s="165" t="s">
        <v>52</v>
      </c>
      <c r="D930" s="166"/>
      <c r="E930" s="166"/>
      <c r="F930" s="166"/>
      <c r="G930" s="167"/>
      <c r="H930" s="23">
        <v>3</v>
      </c>
      <c r="I930" s="31">
        <v>684</v>
      </c>
      <c r="J930" s="31">
        <v>525</v>
      </c>
      <c r="K930" s="31">
        <v>1</v>
      </c>
      <c r="L930" s="31">
        <v>0</v>
      </c>
      <c r="M930" s="31">
        <v>1</v>
      </c>
      <c r="N930" s="31">
        <v>0</v>
      </c>
      <c r="O930" s="31">
        <v>350</v>
      </c>
      <c r="P930" s="31">
        <v>350</v>
      </c>
      <c r="Q930" s="31">
        <v>0</v>
      </c>
      <c r="R930" s="31">
        <v>0</v>
      </c>
      <c r="S930" s="31">
        <v>0</v>
      </c>
      <c r="T930" s="31">
        <v>0</v>
      </c>
      <c r="U930" s="31">
        <v>3</v>
      </c>
      <c r="V930" s="31">
        <v>81</v>
      </c>
      <c r="W930" s="31">
        <v>0</v>
      </c>
      <c r="X930" s="31">
        <v>0</v>
      </c>
      <c r="Y930" s="31">
        <v>9</v>
      </c>
      <c r="Z930" s="31">
        <v>9</v>
      </c>
      <c r="AA930" s="31">
        <v>0</v>
      </c>
      <c r="AB930" s="31">
        <v>333</v>
      </c>
    </row>
    <row r="931" spans="1:28" ht="19.5" customHeight="1" x14ac:dyDescent="0.2">
      <c r="A931" s="159"/>
      <c r="B931" s="160"/>
      <c r="C931" s="165" t="s">
        <v>182</v>
      </c>
      <c r="D931" s="166"/>
      <c r="E931" s="166"/>
      <c r="F931" s="166"/>
      <c r="G931" s="167"/>
      <c r="H931" s="23">
        <v>4</v>
      </c>
      <c r="I931" s="31">
        <v>804</v>
      </c>
      <c r="J931" s="31">
        <v>627</v>
      </c>
      <c r="K931" s="31">
        <v>7</v>
      </c>
      <c r="L931" s="31">
        <v>0</v>
      </c>
      <c r="M931" s="31">
        <v>7</v>
      </c>
      <c r="N931" s="31">
        <v>0</v>
      </c>
      <c r="O931" s="31">
        <v>513</v>
      </c>
      <c r="P931" s="31">
        <v>513</v>
      </c>
      <c r="Q931" s="31">
        <v>0</v>
      </c>
      <c r="R931" s="31">
        <v>0</v>
      </c>
      <c r="S931" s="31">
        <v>0</v>
      </c>
      <c r="T931" s="31">
        <v>0</v>
      </c>
      <c r="U931" s="31">
        <v>56</v>
      </c>
      <c r="V931" s="31">
        <v>22</v>
      </c>
      <c r="W931" s="31">
        <v>0</v>
      </c>
      <c r="X931" s="31">
        <v>16</v>
      </c>
      <c r="Y931" s="31">
        <v>11</v>
      </c>
      <c r="Z931" s="31">
        <v>11</v>
      </c>
      <c r="AA931" s="31">
        <v>0</v>
      </c>
      <c r="AB931" s="31">
        <v>284</v>
      </c>
    </row>
    <row r="932" spans="1:28" ht="19.5" customHeight="1" x14ac:dyDescent="0.2">
      <c r="A932" s="162"/>
      <c r="B932" s="163"/>
      <c r="C932" s="165" t="s">
        <v>49</v>
      </c>
      <c r="D932" s="166"/>
      <c r="E932" s="166"/>
      <c r="F932" s="166"/>
      <c r="G932" s="167"/>
      <c r="H932" s="23">
        <v>5</v>
      </c>
      <c r="I932" s="31">
        <v>283</v>
      </c>
      <c r="J932" s="31">
        <v>216</v>
      </c>
      <c r="K932" s="31">
        <v>1</v>
      </c>
      <c r="L932" s="31">
        <v>0</v>
      </c>
      <c r="M932" s="31">
        <v>1</v>
      </c>
      <c r="N932" s="31">
        <v>0</v>
      </c>
      <c r="O932" s="31">
        <v>195</v>
      </c>
      <c r="P932" s="31">
        <v>194</v>
      </c>
      <c r="Q932" s="31">
        <v>0</v>
      </c>
      <c r="R932" s="31">
        <v>0</v>
      </c>
      <c r="S932" s="31">
        <v>1</v>
      </c>
      <c r="T932" s="31">
        <v>0</v>
      </c>
      <c r="U932" s="31">
        <v>50</v>
      </c>
      <c r="V932" s="31">
        <v>1</v>
      </c>
      <c r="W932" s="31">
        <v>1</v>
      </c>
      <c r="X932" s="31">
        <v>7</v>
      </c>
      <c r="Y932" s="31">
        <v>98</v>
      </c>
      <c r="Z932" s="31">
        <v>98</v>
      </c>
      <c r="AA932" s="31">
        <v>0</v>
      </c>
      <c r="AB932" s="31">
        <v>87</v>
      </c>
    </row>
    <row r="933" spans="1:28" ht="57.75" customHeight="1" x14ac:dyDescent="0.2">
      <c r="A933" s="144" t="s">
        <v>663</v>
      </c>
      <c r="B933" s="138" t="s">
        <v>664</v>
      </c>
      <c r="C933" s="139"/>
      <c r="D933" s="139"/>
      <c r="E933" s="139"/>
      <c r="F933" s="139"/>
      <c r="G933" s="140"/>
      <c r="H933" s="23">
        <v>6</v>
      </c>
      <c r="I933" s="31">
        <v>1029</v>
      </c>
      <c r="J933" s="31">
        <v>779</v>
      </c>
      <c r="K933" s="31">
        <v>12</v>
      </c>
      <c r="L933" s="31">
        <v>0</v>
      </c>
      <c r="M933" s="31">
        <v>12</v>
      </c>
      <c r="N933" s="31">
        <v>0</v>
      </c>
      <c r="O933" s="31">
        <v>631</v>
      </c>
      <c r="P933" s="31">
        <v>630</v>
      </c>
      <c r="Q933" s="31">
        <v>0</v>
      </c>
      <c r="R933" s="31">
        <v>0</v>
      </c>
      <c r="S933" s="31">
        <v>1</v>
      </c>
      <c r="T933" s="31">
        <v>0</v>
      </c>
      <c r="U933" s="31">
        <v>112</v>
      </c>
      <c r="V933" s="31">
        <v>59</v>
      </c>
      <c r="W933" s="31">
        <v>1</v>
      </c>
      <c r="X933" s="31">
        <v>23</v>
      </c>
      <c r="Y933" s="31">
        <v>115</v>
      </c>
      <c r="Z933" s="31">
        <v>115</v>
      </c>
      <c r="AA933" s="31">
        <v>0</v>
      </c>
      <c r="AB933" s="31">
        <v>386</v>
      </c>
    </row>
    <row r="934" spans="1:28" ht="54.75" customHeight="1" x14ac:dyDescent="0.2">
      <c r="A934" s="145"/>
      <c r="B934" s="138" t="s">
        <v>665</v>
      </c>
      <c r="C934" s="139"/>
      <c r="D934" s="139"/>
      <c r="E934" s="139"/>
      <c r="F934" s="139"/>
      <c r="G934" s="140"/>
      <c r="H934" s="23">
        <v>7</v>
      </c>
      <c r="I934" s="31">
        <v>52</v>
      </c>
      <c r="J934" s="31">
        <v>45</v>
      </c>
      <c r="K934" s="31">
        <v>4</v>
      </c>
      <c r="L934" s="31">
        <v>0</v>
      </c>
      <c r="M934" s="31">
        <v>4</v>
      </c>
      <c r="N934" s="31">
        <v>0</v>
      </c>
      <c r="O934" s="31">
        <v>39</v>
      </c>
      <c r="P934" s="31">
        <v>39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0</v>
      </c>
      <c r="Y934" s="31">
        <v>0</v>
      </c>
      <c r="Z934" s="31">
        <v>0</v>
      </c>
      <c r="AA934" s="31">
        <v>0</v>
      </c>
      <c r="AB934" s="31">
        <v>9</v>
      </c>
    </row>
    <row r="935" spans="1:28" ht="75" customHeight="1" x14ac:dyDescent="0.2">
      <c r="A935" s="145"/>
      <c r="B935" s="138" t="s">
        <v>666</v>
      </c>
      <c r="C935" s="139"/>
      <c r="D935" s="139"/>
      <c r="E935" s="139"/>
      <c r="F935" s="139"/>
      <c r="G935" s="140"/>
      <c r="H935" s="23">
        <v>8</v>
      </c>
      <c r="I935" s="31">
        <v>95</v>
      </c>
      <c r="J935" s="31">
        <v>55</v>
      </c>
      <c r="K935" s="31">
        <v>0</v>
      </c>
      <c r="L935" s="31">
        <v>0</v>
      </c>
      <c r="M935" s="31">
        <v>0</v>
      </c>
      <c r="N935" s="31">
        <v>0</v>
      </c>
      <c r="O935" s="31">
        <v>44</v>
      </c>
      <c r="P935" s="31">
        <v>44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7</v>
      </c>
      <c r="W935" s="31">
        <v>0</v>
      </c>
      <c r="X935" s="31">
        <v>0</v>
      </c>
      <c r="Y935" s="31">
        <v>0</v>
      </c>
      <c r="Z935" s="31">
        <v>0</v>
      </c>
      <c r="AA935" s="31">
        <v>0</v>
      </c>
      <c r="AB935" s="31">
        <v>51</v>
      </c>
    </row>
    <row r="936" spans="1:28" ht="83.25" customHeight="1" x14ac:dyDescent="0.2">
      <c r="A936" s="145"/>
      <c r="B936" s="138" t="s">
        <v>667</v>
      </c>
      <c r="C936" s="139"/>
      <c r="D936" s="139"/>
      <c r="E936" s="139"/>
      <c r="F936" s="139"/>
      <c r="G936" s="140"/>
      <c r="H936" s="23">
        <v>9</v>
      </c>
      <c r="I936" s="31">
        <v>827</v>
      </c>
      <c r="J936" s="31">
        <v>598</v>
      </c>
      <c r="K936" s="31">
        <v>1</v>
      </c>
      <c r="L936" s="31">
        <v>0</v>
      </c>
      <c r="M936" s="31">
        <v>1</v>
      </c>
      <c r="N936" s="31">
        <v>0</v>
      </c>
      <c r="O936" s="31">
        <v>402</v>
      </c>
      <c r="P936" s="31">
        <v>402</v>
      </c>
      <c r="Q936" s="31">
        <v>0</v>
      </c>
      <c r="R936" s="31">
        <v>0</v>
      </c>
      <c r="S936" s="31">
        <v>0</v>
      </c>
      <c r="T936" s="31">
        <v>0</v>
      </c>
      <c r="U936" s="31">
        <v>6</v>
      </c>
      <c r="V936" s="31">
        <v>84</v>
      </c>
      <c r="W936" s="31">
        <v>0</v>
      </c>
      <c r="X936" s="31">
        <v>0</v>
      </c>
      <c r="Y936" s="31">
        <v>16</v>
      </c>
      <c r="Z936" s="31">
        <v>16</v>
      </c>
      <c r="AA936" s="31">
        <v>0</v>
      </c>
      <c r="AB936" s="31">
        <v>424</v>
      </c>
    </row>
    <row r="937" spans="1:28" ht="70.5" customHeight="1" x14ac:dyDescent="0.2">
      <c r="A937" s="145"/>
      <c r="B937" s="138" t="s">
        <v>668</v>
      </c>
      <c r="C937" s="139"/>
      <c r="D937" s="139"/>
      <c r="E937" s="139"/>
      <c r="F937" s="139"/>
      <c r="G937" s="140"/>
      <c r="H937" s="23">
        <v>10</v>
      </c>
      <c r="I937" s="31">
        <v>4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4</v>
      </c>
    </row>
    <row r="938" spans="1:28" ht="71.25" customHeight="1" x14ac:dyDescent="0.2">
      <c r="A938" s="145"/>
      <c r="B938" s="138" t="s">
        <v>669</v>
      </c>
      <c r="C938" s="139"/>
      <c r="D938" s="139"/>
      <c r="E938" s="139"/>
      <c r="F938" s="139"/>
      <c r="G938" s="140"/>
      <c r="H938" s="23">
        <v>11</v>
      </c>
      <c r="I938" s="31">
        <v>1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1</v>
      </c>
    </row>
    <row r="939" spans="1:28" ht="24" customHeight="1" x14ac:dyDescent="0.2">
      <c r="A939" s="146"/>
      <c r="B939" s="138" t="s">
        <v>670</v>
      </c>
      <c r="C939" s="139"/>
      <c r="D939" s="139"/>
      <c r="E939" s="139"/>
      <c r="F939" s="139"/>
      <c r="G939" s="140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8" t="s">
        <v>115</v>
      </c>
      <c r="B940" s="139"/>
      <c r="C940" s="139"/>
      <c r="D940" s="139"/>
      <c r="E940" s="139"/>
      <c r="F940" s="139"/>
      <c r="G940" s="140"/>
      <c r="H940" s="23">
        <v>13</v>
      </c>
      <c r="I940" s="31">
        <f t="shared" ref="I940:AB940" si="18">SUM(I928:I939)</f>
        <v>6021</v>
      </c>
      <c r="J940" s="31">
        <f t="shared" si="18"/>
        <v>4429</v>
      </c>
      <c r="K940" s="31">
        <f t="shared" si="18"/>
        <v>51</v>
      </c>
      <c r="L940" s="31">
        <f t="shared" si="18"/>
        <v>0</v>
      </c>
      <c r="M940" s="31">
        <f t="shared" si="18"/>
        <v>51</v>
      </c>
      <c r="N940" s="31">
        <f t="shared" si="18"/>
        <v>0</v>
      </c>
      <c r="O940" s="31">
        <f t="shared" si="18"/>
        <v>3346</v>
      </c>
      <c r="P940" s="31">
        <f t="shared" si="18"/>
        <v>3343</v>
      </c>
      <c r="Q940" s="31">
        <f t="shared" si="18"/>
        <v>0</v>
      </c>
      <c r="R940" s="31">
        <f t="shared" si="18"/>
        <v>0</v>
      </c>
      <c r="S940" s="31">
        <f t="shared" si="18"/>
        <v>3</v>
      </c>
      <c r="T940" s="31">
        <f t="shared" si="18"/>
        <v>0</v>
      </c>
      <c r="U940" s="31">
        <f t="shared" si="18"/>
        <v>354</v>
      </c>
      <c r="V940" s="31">
        <f t="shared" si="18"/>
        <v>449</v>
      </c>
      <c r="W940" s="31">
        <f t="shared" si="18"/>
        <v>3</v>
      </c>
      <c r="X940" s="31">
        <f t="shared" si="18"/>
        <v>69</v>
      </c>
      <c r="Y940" s="31">
        <f t="shared" si="18"/>
        <v>393</v>
      </c>
      <c r="Z940" s="31">
        <f t="shared" si="18"/>
        <v>393</v>
      </c>
      <c r="AA940" s="31">
        <f t="shared" si="18"/>
        <v>0</v>
      </c>
      <c r="AB940" s="31">
        <f t="shared" si="18"/>
        <v>2624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15" t="s">
        <v>671</v>
      </c>
      <c r="B942" s="215"/>
      <c r="C942" s="215"/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</row>
    <row r="943" spans="1:28" ht="26.25" customHeight="1" x14ac:dyDescent="0.2">
      <c r="A943" s="178"/>
      <c r="B943" s="179"/>
      <c r="C943" s="179"/>
      <c r="D943" s="179"/>
      <c r="E943" s="179"/>
      <c r="F943" s="179"/>
      <c r="G943" s="180"/>
      <c r="H943" s="187" t="s">
        <v>15</v>
      </c>
      <c r="I943" s="168" t="s">
        <v>1148</v>
      </c>
      <c r="J943" s="168" t="s">
        <v>16</v>
      </c>
      <c r="K943" s="168" t="s">
        <v>17</v>
      </c>
      <c r="L943" s="171" t="s">
        <v>18</v>
      </c>
      <c r="M943" s="172"/>
      <c r="N943" s="173"/>
      <c r="O943" s="168" t="s">
        <v>19</v>
      </c>
      <c r="P943" s="171" t="s">
        <v>20</v>
      </c>
      <c r="Q943" s="172"/>
      <c r="R943" s="172"/>
      <c r="S943" s="173"/>
      <c r="T943" s="168" t="s">
        <v>21</v>
      </c>
      <c r="U943" s="171" t="s">
        <v>22</v>
      </c>
      <c r="V943" s="172"/>
      <c r="W943" s="172"/>
      <c r="X943" s="173"/>
      <c r="Y943" s="171" t="s">
        <v>23</v>
      </c>
      <c r="Z943" s="172"/>
      <c r="AA943" s="173"/>
      <c r="AB943" s="168" t="s">
        <v>24</v>
      </c>
    </row>
    <row r="944" spans="1:28" ht="26.25" customHeight="1" x14ac:dyDescent="0.2">
      <c r="A944" s="181"/>
      <c r="B944" s="182"/>
      <c r="C944" s="182"/>
      <c r="D944" s="182"/>
      <c r="E944" s="182"/>
      <c r="F944" s="182"/>
      <c r="G944" s="183"/>
      <c r="H944" s="188"/>
      <c r="I944" s="170"/>
      <c r="J944" s="170"/>
      <c r="K944" s="170"/>
      <c r="L944" s="168" t="s">
        <v>25</v>
      </c>
      <c r="M944" s="168" t="s">
        <v>26</v>
      </c>
      <c r="N944" s="168" t="s">
        <v>27</v>
      </c>
      <c r="O944" s="170"/>
      <c r="P944" s="168" t="s">
        <v>28</v>
      </c>
      <c r="Q944" s="168" t="s">
        <v>29</v>
      </c>
      <c r="R944" s="168" t="s">
        <v>30</v>
      </c>
      <c r="S944" s="168" t="s">
        <v>31</v>
      </c>
      <c r="T944" s="170"/>
      <c r="U944" s="171" t="s">
        <v>32</v>
      </c>
      <c r="V944" s="172"/>
      <c r="W944" s="172"/>
      <c r="X944" s="173"/>
      <c r="Y944" s="168" t="s">
        <v>33</v>
      </c>
      <c r="Z944" s="171" t="s">
        <v>34</v>
      </c>
      <c r="AA944" s="173"/>
      <c r="AB944" s="170"/>
    </row>
    <row r="945" spans="1:28" ht="80.25" customHeight="1" x14ac:dyDescent="0.2">
      <c r="A945" s="184"/>
      <c r="B945" s="185"/>
      <c r="C945" s="185"/>
      <c r="D945" s="185"/>
      <c r="E945" s="185"/>
      <c r="F945" s="185"/>
      <c r="G945" s="186"/>
      <c r="H945" s="18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9" t="s">
        <v>35</v>
      </c>
      <c r="V945" s="16" t="s">
        <v>36</v>
      </c>
      <c r="W945" s="16" t="s">
        <v>37</v>
      </c>
      <c r="X945" s="16" t="s">
        <v>38</v>
      </c>
      <c r="Y945" s="169"/>
      <c r="Z945" s="18" t="s">
        <v>39</v>
      </c>
      <c r="AA945" s="17" t="s">
        <v>40</v>
      </c>
      <c r="AB945" s="169"/>
    </row>
    <row r="946" spans="1:28" ht="16.5" customHeight="1" x14ac:dyDescent="0.2">
      <c r="A946" s="150" t="s">
        <v>41</v>
      </c>
      <c r="B946" s="151"/>
      <c r="C946" s="151"/>
      <c r="D946" s="151"/>
      <c r="E946" s="151"/>
      <c r="F946" s="151"/>
      <c r="G946" s="152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53" t="s">
        <v>43</v>
      </c>
      <c r="B947" s="154"/>
      <c r="C947" s="154"/>
      <c r="D947" s="154"/>
      <c r="E947" s="154"/>
      <c r="F947" s="154"/>
      <c r="G947" s="155"/>
      <c r="H947" s="68">
        <v>1</v>
      </c>
      <c r="I947" s="31">
        <v>10433</v>
      </c>
      <c r="J947" s="31">
        <v>5205</v>
      </c>
      <c r="K947" s="31">
        <v>68</v>
      </c>
      <c r="L947" s="31">
        <v>0</v>
      </c>
      <c r="M947" s="31">
        <v>68</v>
      </c>
      <c r="N947" s="31">
        <v>0</v>
      </c>
      <c r="O947" s="31">
        <v>4008</v>
      </c>
      <c r="P947" s="31">
        <v>4005</v>
      </c>
      <c r="Q947" s="31">
        <v>3</v>
      </c>
      <c r="R947" s="31">
        <v>0</v>
      </c>
      <c r="S947" s="31">
        <v>0</v>
      </c>
      <c r="T947" s="31">
        <v>0</v>
      </c>
      <c r="U947" s="31">
        <v>125</v>
      </c>
      <c r="V947" s="31">
        <v>449</v>
      </c>
      <c r="W947" s="31">
        <v>192</v>
      </c>
      <c r="X947" s="31">
        <v>0</v>
      </c>
      <c r="Y947" s="31">
        <v>1034</v>
      </c>
      <c r="Z947" s="31">
        <v>1034</v>
      </c>
      <c r="AA947" s="31">
        <v>0</v>
      </c>
      <c r="AB947" s="31">
        <v>6357</v>
      </c>
    </row>
    <row r="948" spans="1:28" ht="22.5" customHeight="1" x14ac:dyDescent="0.2">
      <c r="A948" s="156" t="s">
        <v>181</v>
      </c>
      <c r="B948" s="158"/>
      <c r="C948" s="165" t="s">
        <v>51</v>
      </c>
      <c r="D948" s="166"/>
      <c r="E948" s="166"/>
      <c r="F948" s="166"/>
      <c r="G948" s="167"/>
      <c r="H948" s="68">
        <v>2</v>
      </c>
      <c r="I948" s="31">
        <v>44</v>
      </c>
      <c r="J948" s="31">
        <v>8</v>
      </c>
      <c r="K948" s="31">
        <v>0</v>
      </c>
      <c r="L948" s="31">
        <v>0</v>
      </c>
      <c r="M948" s="31">
        <v>0</v>
      </c>
      <c r="N948" s="31">
        <v>0</v>
      </c>
      <c r="O948" s="31">
        <v>2</v>
      </c>
      <c r="P948" s="31">
        <v>2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2</v>
      </c>
      <c r="W948" s="31">
        <v>0</v>
      </c>
      <c r="X948" s="31">
        <v>0</v>
      </c>
      <c r="Y948" s="31">
        <v>1</v>
      </c>
      <c r="Z948" s="31">
        <v>1</v>
      </c>
      <c r="AA948" s="31">
        <v>0</v>
      </c>
      <c r="AB948" s="31">
        <v>42</v>
      </c>
    </row>
    <row r="949" spans="1:28" ht="22.5" customHeight="1" x14ac:dyDescent="0.2">
      <c r="A949" s="159"/>
      <c r="B949" s="161"/>
      <c r="C949" s="165" t="s">
        <v>52</v>
      </c>
      <c r="D949" s="166"/>
      <c r="E949" s="166"/>
      <c r="F949" s="166"/>
      <c r="G949" s="167"/>
      <c r="H949" s="68">
        <v>3</v>
      </c>
      <c r="I949" s="31">
        <v>2791</v>
      </c>
      <c r="J949" s="31">
        <v>755</v>
      </c>
      <c r="K949" s="31">
        <v>1</v>
      </c>
      <c r="L949" s="31">
        <v>0</v>
      </c>
      <c r="M949" s="31">
        <v>1</v>
      </c>
      <c r="N949" s="31">
        <v>0</v>
      </c>
      <c r="O949" s="31">
        <v>394</v>
      </c>
      <c r="P949" s="31">
        <v>394</v>
      </c>
      <c r="Q949" s="31">
        <v>0</v>
      </c>
      <c r="R949" s="31">
        <v>0</v>
      </c>
      <c r="S949" s="31">
        <v>0</v>
      </c>
      <c r="T949" s="31">
        <v>0</v>
      </c>
      <c r="U949" s="31">
        <v>15</v>
      </c>
      <c r="V949" s="31">
        <v>82</v>
      </c>
      <c r="W949" s="31">
        <v>0</v>
      </c>
      <c r="X949" s="31">
        <v>0</v>
      </c>
      <c r="Y949" s="31">
        <v>156</v>
      </c>
      <c r="Z949" s="31">
        <v>156</v>
      </c>
      <c r="AA949" s="31">
        <v>0</v>
      </c>
      <c r="AB949" s="31">
        <v>2396</v>
      </c>
    </row>
    <row r="950" spans="1:28" ht="22.5" customHeight="1" x14ac:dyDescent="0.2">
      <c r="A950" s="159"/>
      <c r="B950" s="161"/>
      <c r="C950" s="165" t="s">
        <v>182</v>
      </c>
      <c r="D950" s="166"/>
      <c r="E950" s="166"/>
      <c r="F950" s="166"/>
      <c r="G950" s="167"/>
      <c r="H950" s="68">
        <v>4</v>
      </c>
      <c r="I950" s="31">
        <v>7488</v>
      </c>
      <c r="J950" s="31">
        <v>4367</v>
      </c>
      <c r="K950" s="31">
        <v>45</v>
      </c>
      <c r="L950" s="31">
        <v>0</v>
      </c>
      <c r="M950" s="31">
        <v>45</v>
      </c>
      <c r="N950" s="31">
        <v>0</v>
      </c>
      <c r="O950" s="31">
        <v>3562</v>
      </c>
      <c r="P950" s="31">
        <v>3559</v>
      </c>
      <c r="Q950" s="31">
        <v>3</v>
      </c>
      <c r="R950" s="31">
        <v>0</v>
      </c>
      <c r="S950" s="31">
        <v>0</v>
      </c>
      <c r="T950" s="31">
        <v>0</v>
      </c>
      <c r="U950" s="31">
        <v>108</v>
      </c>
      <c r="V950" s="31">
        <v>364</v>
      </c>
      <c r="W950" s="31">
        <v>192</v>
      </c>
      <c r="X950" s="31">
        <v>0</v>
      </c>
      <c r="Y950" s="31">
        <v>870</v>
      </c>
      <c r="Z950" s="31">
        <v>870</v>
      </c>
      <c r="AA950" s="31">
        <v>0</v>
      </c>
      <c r="AB950" s="31">
        <v>3881</v>
      </c>
    </row>
    <row r="951" spans="1:28" ht="22.5" customHeight="1" x14ac:dyDescent="0.2">
      <c r="A951" s="162"/>
      <c r="B951" s="164"/>
      <c r="C951" s="165" t="s">
        <v>49</v>
      </c>
      <c r="D951" s="166"/>
      <c r="E951" s="166"/>
      <c r="F951" s="166"/>
      <c r="G951" s="167"/>
      <c r="H951" s="68">
        <v>5</v>
      </c>
      <c r="I951" s="31">
        <v>2</v>
      </c>
      <c r="J951" s="31">
        <v>1</v>
      </c>
      <c r="K951" s="31">
        <v>0</v>
      </c>
      <c r="L951" s="31">
        <v>0</v>
      </c>
      <c r="M951" s="31">
        <v>0</v>
      </c>
      <c r="N951" s="31">
        <v>0</v>
      </c>
      <c r="O951" s="31">
        <v>1</v>
      </c>
      <c r="P951" s="31">
        <v>1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1</v>
      </c>
    </row>
    <row r="952" spans="1:28" ht="27.75" customHeight="1" x14ac:dyDescent="0.2">
      <c r="A952" s="210" t="s">
        <v>165</v>
      </c>
      <c r="B952" s="174" t="s">
        <v>672</v>
      </c>
      <c r="C952" s="175"/>
      <c r="D952" s="175"/>
      <c r="E952" s="175"/>
      <c r="F952" s="175"/>
      <c r="G952" s="176"/>
      <c r="H952" s="68">
        <v>6</v>
      </c>
      <c r="I952" s="31">
        <v>1194</v>
      </c>
      <c r="J952" s="31">
        <v>161</v>
      </c>
      <c r="K952" s="31">
        <v>1</v>
      </c>
      <c r="L952" s="31">
        <v>0</v>
      </c>
      <c r="M952" s="31">
        <v>1</v>
      </c>
      <c r="N952" s="31">
        <v>0</v>
      </c>
      <c r="O952" s="31">
        <v>105</v>
      </c>
      <c r="P952" s="31">
        <v>105</v>
      </c>
      <c r="Q952" s="31">
        <v>0</v>
      </c>
      <c r="R952" s="31">
        <v>0</v>
      </c>
      <c r="S952" s="31">
        <v>0</v>
      </c>
      <c r="T952" s="31">
        <v>0</v>
      </c>
      <c r="U952" s="31">
        <v>4</v>
      </c>
      <c r="V952" s="31">
        <v>16</v>
      </c>
      <c r="W952" s="31">
        <v>0</v>
      </c>
      <c r="X952" s="31">
        <v>0</v>
      </c>
      <c r="Y952" s="31">
        <v>87</v>
      </c>
      <c r="Z952" s="31">
        <v>87</v>
      </c>
      <c r="AA952" s="31">
        <v>0</v>
      </c>
      <c r="AB952" s="31">
        <v>1088</v>
      </c>
    </row>
    <row r="953" spans="1:28" ht="24" customHeight="1" x14ac:dyDescent="0.2">
      <c r="A953" s="211"/>
      <c r="B953" s="40" t="s">
        <v>32</v>
      </c>
      <c r="C953" s="174" t="s">
        <v>673</v>
      </c>
      <c r="D953" s="175"/>
      <c r="E953" s="175"/>
      <c r="F953" s="175"/>
      <c r="G953" s="176"/>
      <c r="H953" s="68">
        <v>7</v>
      </c>
      <c r="I953" s="31">
        <v>735</v>
      </c>
      <c r="J953" s="31">
        <v>115</v>
      </c>
      <c r="K953" s="31">
        <v>1</v>
      </c>
      <c r="L953" s="31">
        <v>0</v>
      </c>
      <c r="M953" s="31">
        <v>1</v>
      </c>
      <c r="N953" s="31">
        <v>0</v>
      </c>
      <c r="O953" s="31">
        <v>67</v>
      </c>
      <c r="P953" s="31">
        <v>67</v>
      </c>
      <c r="Q953" s="31">
        <v>0</v>
      </c>
      <c r="R953" s="31">
        <v>0</v>
      </c>
      <c r="S953" s="31">
        <v>0</v>
      </c>
      <c r="T953" s="31">
        <v>0</v>
      </c>
      <c r="U953" s="31">
        <v>3</v>
      </c>
      <c r="V953" s="31">
        <v>6</v>
      </c>
      <c r="W953" s="31">
        <v>0</v>
      </c>
      <c r="X953" s="31">
        <v>0</v>
      </c>
      <c r="Y953" s="31">
        <v>23</v>
      </c>
      <c r="Z953" s="31">
        <v>23</v>
      </c>
      <c r="AA953" s="31">
        <v>0</v>
      </c>
      <c r="AB953" s="31">
        <v>667</v>
      </c>
    </row>
    <row r="954" spans="1:28" ht="43.5" customHeight="1" x14ac:dyDescent="0.2">
      <c r="A954" s="211"/>
      <c r="B954" s="174" t="s">
        <v>674</v>
      </c>
      <c r="C954" s="175"/>
      <c r="D954" s="175"/>
      <c r="E954" s="175"/>
      <c r="F954" s="175"/>
      <c r="G954" s="176"/>
      <c r="H954" s="68">
        <v>8</v>
      </c>
      <c r="I954" s="31">
        <v>52</v>
      </c>
      <c r="J954" s="31">
        <v>15</v>
      </c>
      <c r="K954" s="31">
        <v>0</v>
      </c>
      <c r="L954" s="31">
        <v>0</v>
      </c>
      <c r="M954" s="31">
        <v>0</v>
      </c>
      <c r="N954" s="31">
        <v>0</v>
      </c>
      <c r="O954" s="31">
        <v>12</v>
      </c>
      <c r="P954" s="31">
        <v>12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3</v>
      </c>
      <c r="W954" s="31">
        <v>0</v>
      </c>
      <c r="X954" s="31">
        <v>0</v>
      </c>
      <c r="Y954" s="31">
        <v>2</v>
      </c>
      <c r="Z954" s="31">
        <v>2</v>
      </c>
      <c r="AA954" s="31">
        <v>0</v>
      </c>
      <c r="AB954" s="31">
        <v>40</v>
      </c>
    </row>
    <row r="955" spans="1:28" ht="49.5" customHeight="1" x14ac:dyDescent="0.2">
      <c r="A955" s="211"/>
      <c r="B955" s="174" t="s">
        <v>675</v>
      </c>
      <c r="C955" s="175"/>
      <c r="D955" s="175"/>
      <c r="E955" s="175"/>
      <c r="F955" s="175"/>
      <c r="G955" s="176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11"/>
      <c r="B956" s="174" t="s">
        <v>676</v>
      </c>
      <c r="C956" s="175"/>
      <c r="D956" s="175"/>
      <c r="E956" s="175"/>
      <c r="F956" s="175"/>
      <c r="G956" s="176"/>
      <c r="H956" s="68">
        <v>10</v>
      </c>
      <c r="I956" s="31">
        <v>528</v>
      </c>
      <c r="J956" s="31">
        <v>25</v>
      </c>
      <c r="K956" s="31">
        <v>0</v>
      </c>
      <c r="L956" s="31">
        <v>0</v>
      </c>
      <c r="M956" s="31">
        <v>0</v>
      </c>
      <c r="N956" s="31">
        <v>0</v>
      </c>
      <c r="O956" s="31">
        <v>14</v>
      </c>
      <c r="P956" s="31">
        <v>14</v>
      </c>
      <c r="Q956" s="31">
        <v>0</v>
      </c>
      <c r="R956" s="31">
        <v>0</v>
      </c>
      <c r="S956" s="31">
        <v>0</v>
      </c>
      <c r="T956" s="31">
        <v>0</v>
      </c>
      <c r="U956" s="31">
        <v>1</v>
      </c>
      <c r="V956" s="31">
        <v>5</v>
      </c>
      <c r="W956" s="31">
        <v>0</v>
      </c>
      <c r="X956" s="31">
        <v>0</v>
      </c>
      <c r="Y956" s="31">
        <v>111</v>
      </c>
      <c r="Z956" s="31">
        <v>111</v>
      </c>
      <c r="AA956" s="31">
        <v>0</v>
      </c>
      <c r="AB956" s="31">
        <v>514</v>
      </c>
    </row>
    <row r="957" spans="1:28" ht="24" customHeight="1" x14ac:dyDescent="0.2">
      <c r="A957" s="211"/>
      <c r="B957" s="213" t="s">
        <v>32</v>
      </c>
      <c r="C957" s="174" t="s">
        <v>677</v>
      </c>
      <c r="D957" s="175"/>
      <c r="E957" s="175"/>
      <c r="F957" s="175"/>
      <c r="G957" s="176"/>
      <c r="H957" s="68">
        <v>11</v>
      </c>
      <c r="I957" s="31">
        <v>276</v>
      </c>
      <c r="J957" s="31">
        <v>12</v>
      </c>
      <c r="K957" s="31">
        <v>0</v>
      </c>
      <c r="L957" s="31">
        <v>0</v>
      </c>
      <c r="M957" s="31">
        <v>0</v>
      </c>
      <c r="N957" s="31">
        <v>0</v>
      </c>
      <c r="O957" s="31">
        <v>7</v>
      </c>
      <c r="P957" s="31">
        <v>7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51</v>
      </c>
      <c r="Z957" s="31">
        <v>51</v>
      </c>
      <c r="AA957" s="31">
        <v>0</v>
      </c>
      <c r="AB957" s="31">
        <v>269</v>
      </c>
    </row>
    <row r="958" spans="1:28" ht="24" customHeight="1" x14ac:dyDescent="0.2">
      <c r="A958" s="211"/>
      <c r="B958" s="214"/>
      <c r="C958" s="174" t="s">
        <v>678</v>
      </c>
      <c r="D958" s="175"/>
      <c r="E958" s="175"/>
      <c r="F958" s="175"/>
      <c r="G958" s="176"/>
      <c r="H958" s="68">
        <v>12</v>
      </c>
      <c r="I958" s="31">
        <v>49</v>
      </c>
      <c r="J958" s="31">
        <v>13</v>
      </c>
      <c r="K958" s="31">
        <v>0</v>
      </c>
      <c r="L958" s="31">
        <v>0</v>
      </c>
      <c r="M958" s="31">
        <v>0</v>
      </c>
      <c r="N958" s="31">
        <v>0</v>
      </c>
      <c r="O958" s="31">
        <v>7</v>
      </c>
      <c r="P958" s="31">
        <v>7</v>
      </c>
      <c r="Q958" s="31">
        <v>0</v>
      </c>
      <c r="R958" s="31">
        <v>0</v>
      </c>
      <c r="S958" s="31">
        <v>0</v>
      </c>
      <c r="T958" s="31">
        <v>0</v>
      </c>
      <c r="U958" s="31">
        <v>1</v>
      </c>
      <c r="V958" s="31">
        <v>5</v>
      </c>
      <c r="W958" s="31">
        <v>0</v>
      </c>
      <c r="X958" s="31">
        <v>0</v>
      </c>
      <c r="Y958" s="31">
        <v>2</v>
      </c>
      <c r="Z958" s="31">
        <v>2</v>
      </c>
      <c r="AA958" s="31">
        <v>0</v>
      </c>
      <c r="AB958" s="31">
        <v>42</v>
      </c>
    </row>
    <row r="959" spans="1:28" ht="27.2" customHeight="1" x14ac:dyDescent="0.2">
      <c r="A959" s="211"/>
      <c r="B959" s="174" t="s">
        <v>679</v>
      </c>
      <c r="C959" s="175"/>
      <c r="D959" s="175"/>
      <c r="E959" s="175"/>
      <c r="F959" s="175"/>
      <c r="G959" s="176"/>
      <c r="H959" s="68">
        <v>13</v>
      </c>
      <c r="I959" s="31">
        <v>118</v>
      </c>
      <c r="J959" s="31">
        <v>53</v>
      </c>
      <c r="K959" s="31">
        <v>0</v>
      </c>
      <c r="L959" s="31">
        <v>0</v>
      </c>
      <c r="M959" s="31">
        <v>0</v>
      </c>
      <c r="N959" s="31">
        <v>0</v>
      </c>
      <c r="O959" s="31">
        <v>49</v>
      </c>
      <c r="P959" s="31">
        <v>49</v>
      </c>
      <c r="Q959" s="31">
        <v>0</v>
      </c>
      <c r="R959" s="31">
        <v>0</v>
      </c>
      <c r="S959" s="31">
        <v>0</v>
      </c>
      <c r="T959" s="31">
        <v>0</v>
      </c>
      <c r="U959" s="31">
        <v>6</v>
      </c>
      <c r="V959" s="31">
        <v>3</v>
      </c>
      <c r="W959" s="31">
        <v>0</v>
      </c>
      <c r="X959" s="31">
        <v>0</v>
      </c>
      <c r="Y959" s="31">
        <v>12</v>
      </c>
      <c r="Z959" s="31">
        <v>12</v>
      </c>
      <c r="AA959" s="31">
        <v>0</v>
      </c>
      <c r="AB959" s="31">
        <v>69</v>
      </c>
    </row>
    <row r="960" spans="1:28" ht="47.1" customHeight="1" x14ac:dyDescent="0.2">
      <c r="A960" s="211"/>
      <c r="B960" s="174" t="s">
        <v>680</v>
      </c>
      <c r="C960" s="175"/>
      <c r="D960" s="175"/>
      <c r="E960" s="175"/>
      <c r="F960" s="175"/>
      <c r="G960" s="176"/>
      <c r="H960" s="68">
        <v>14</v>
      </c>
      <c r="I960" s="31">
        <v>0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0</v>
      </c>
    </row>
    <row r="961" spans="1:28" ht="27.2" customHeight="1" x14ac:dyDescent="0.2">
      <c r="A961" s="211"/>
      <c r="B961" s="174" t="s">
        <v>681</v>
      </c>
      <c r="C961" s="175"/>
      <c r="D961" s="175"/>
      <c r="E961" s="175"/>
      <c r="F961" s="175"/>
      <c r="G961" s="176"/>
      <c r="H961" s="68">
        <v>15</v>
      </c>
      <c r="I961" s="31">
        <v>3804</v>
      </c>
      <c r="J961" s="31">
        <v>2843</v>
      </c>
      <c r="K961" s="31">
        <v>63</v>
      </c>
      <c r="L961" s="31">
        <v>0</v>
      </c>
      <c r="M961" s="31">
        <v>63</v>
      </c>
      <c r="N961" s="31">
        <v>0</v>
      </c>
      <c r="O961" s="31">
        <v>2154</v>
      </c>
      <c r="P961" s="31">
        <v>2151</v>
      </c>
      <c r="Q961" s="31">
        <v>3</v>
      </c>
      <c r="R961" s="31">
        <v>0</v>
      </c>
      <c r="S961" s="31">
        <v>0</v>
      </c>
      <c r="T961" s="31">
        <v>0</v>
      </c>
      <c r="U961" s="31">
        <v>50</v>
      </c>
      <c r="V961" s="31">
        <v>323</v>
      </c>
      <c r="W961" s="31">
        <v>0</v>
      </c>
      <c r="X961" s="31">
        <v>0</v>
      </c>
      <c r="Y961" s="31">
        <v>139</v>
      </c>
      <c r="Z961" s="31">
        <v>139</v>
      </c>
      <c r="AA961" s="31">
        <v>0</v>
      </c>
      <c r="AB961" s="31">
        <v>1587</v>
      </c>
    </row>
    <row r="962" spans="1:28" ht="27.2" customHeight="1" x14ac:dyDescent="0.2">
      <c r="A962" s="211"/>
      <c r="B962" s="174" t="s">
        <v>682</v>
      </c>
      <c r="C962" s="175"/>
      <c r="D962" s="175"/>
      <c r="E962" s="175"/>
      <c r="F962" s="175"/>
      <c r="G962" s="176"/>
      <c r="H962" s="68">
        <v>16</v>
      </c>
      <c r="I962" s="31">
        <v>258</v>
      </c>
      <c r="J962" s="31">
        <v>24</v>
      </c>
      <c r="K962" s="31">
        <v>1</v>
      </c>
      <c r="L962" s="31">
        <v>0</v>
      </c>
      <c r="M962" s="31">
        <v>1</v>
      </c>
      <c r="N962" s="31">
        <v>0</v>
      </c>
      <c r="O962" s="31">
        <v>17</v>
      </c>
      <c r="P962" s="31">
        <v>17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11</v>
      </c>
      <c r="Z962" s="31">
        <v>11</v>
      </c>
      <c r="AA962" s="31">
        <v>0</v>
      </c>
      <c r="AB962" s="31">
        <v>240</v>
      </c>
    </row>
    <row r="963" spans="1:28" ht="48" customHeight="1" x14ac:dyDescent="0.2">
      <c r="A963" s="211"/>
      <c r="B963" s="174" t="s">
        <v>683</v>
      </c>
      <c r="C963" s="175"/>
      <c r="D963" s="175"/>
      <c r="E963" s="175"/>
      <c r="F963" s="175"/>
      <c r="G963" s="176"/>
      <c r="H963" s="68">
        <v>17</v>
      </c>
      <c r="I963" s="31">
        <v>189</v>
      </c>
      <c r="J963" s="31">
        <v>76</v>
      </c>
      <c r="K963" s="31">
        <v>0</v>
      </c>
      <c r="L963" s="31">
        <v>0</v>
      </c>
      <c r="M963" s="31">
        <v>0</v>
      </c>
      <c r="N963" s="31">
        <v>0</v>
      </c>
      <c r="O963" s="31">
        <v>76</v>
      </c>
      <c r="P963" s="31">
        <v>76</v>
      </c>
      <c r="Q963" s="31">
        <v>0</v>
      </c>
      <c r="R963" s="31">
        <v>0</v>
      </c>
      <c r="S963" s="31">
        <v>0</v>
      </c>
      <c r="T963" s="31">
        <v>0</v>
      </c>
      <c r="U963" s="31">
        <v>1</v>
      </c>
      <c r="V963" s="31">
        <v>0</v>
      </c>
      <c r="W963" s="31">
        <v>0</v>
      </c>
      <c r="X963" s="31">
        <v>0</v>
      </c>
      <c r="Y963" s="31">
        <v>42</v>
      </c>
      <c r="Z963" s="31">
        <v>42</v>
      </c>
      <c r="AA963" s="31">
        <v>0</v>
      </c>
      <c r="AB963" s="31">
        <v>113</v>
      </c>
    </row>
    <row r="964" spans="1:28" ht="27.2" customHeight="1" x14ac:dyDescent="0.2">
      <c r="A964" s="211"/>
      <c r="B964" s="174" t="s">
        <v>684</v>
      </c>
      <c r="C964" s="175"/>
      <c r="D964" s="175"/>
      <c r="E964" s="175"/>
      <c r="F964" s="175"/>
      <c r="G964" s="176"/>
      <c r="H964" s="68">
        <v>18</v>
      </c>
      <c r="I964" s="31">
        <v>1125</v>
      </c>
      <c r="J964" s="31">
        <v>261</v>
      </c>
      <c r="K964" s="31">
        <v>2</v>
      </c>
      <c r="L964" s="31">
        <v>0</v>
      </c>
      <c r="M964" s="31">
        <v>2</v>
      </c>
      <c r="N964" s="31">
        <v>0</v>
      </c>
      <c r="O964" s="31">
        <v>218</v>
      </c>
      <c r="P964" s="31">
        <v>218</v>
      </c>
      <c r="Q964" s="31">
        <v>0</v>
      </c>
      <c r="R964" s="31">
        <v>0</v>
      </c>
      <c r="S964" s="31">
        <v>0</v>
      </c>
      <c r="T964" s="31">
        <v>0</v>
      </c>
      <c r="U964" s="31">
        <v>8</v>
      </c>
      <c r="V964" s="31">
        <v>0</v>
      </c>
      <c r="W964" s="31">
        <v>0</v>
      </c>
      <c r="X964" s="31">
        <v>0</v>
      </c>
      <c r="Y964" s="31">
        <v>92</v>
      </c>
      <c r="Z964" s="31">
        <v>92</v>
      </c>
      <c r="AA964" s="31">
        <v>0</v>
      </c>
      <c r="AB964" s="31">
        <v>905</v>
      </c>
    </row>
    <row r="965" spans="1:28" ht="30" customHeight="1" x14ac:dyDescent="0.2">
      <c r="A965" s="211"/>
      <c r="B965" s="174" t="s">
        <v>685</v>
      </c>
      <c r="C965" s="175"/>
      <c r="D965" s="175"/>
      <c r="E965" s="175"/>
      <c r="F965" s="175"/>
      <c r="G965" s="176"/>
      <c r="H965" s="68">
        <v>19</v>
      </c>
      <c r="I965" s="31">
        <v>952</v>
      </c>
      <c r="J965" s="31">
        <v>305</v>
      </c>
      <c r="K965" s="31">
        <v>1</v>
      </c>
      <c r="L965" s="31">
        <v>0</v>
      </c>
      <c r="M965" s="31">
        <v>1</v>
      </c>
      <c r="N965" s="31">
        <v>0</v>
      </c>
      <c r="O965" s="31">
        <v>154</v>
      </c>
      <c r="P965" s="31">
        <v>154</v>
      </c>
      <c r="Q965" s="31">
        <v>0</v>
      </c>
      <c r="R965" s="31">
        <v>0</v>
      </c>
      <c r="S965" s="31">
        <v>0</v>
      </c>
      <c r="T965" s="31">
        <v>0</v>
      </c>
      <c r="U965" s="31">
        <v>5</v>
      </c>
      <c r="V965" s="31">
        <v>65</v>
      </c>
      <c r="W965" s="31">
        <v>0</v>
      </c>
      <c r="X965" s="31">
        <v>0</v>
      </c>
      <c r="Y965" s="31">
        <v>47</v>
      </c>
      <c r="Z965" s="31">
        <v>47</v>
      </c>
      <c r="AA965" s="31">
        <v>0</v>
      </c>
      <c r="AB965" s="31">
        <v>797</v>
      </c>
    </row>
    <row r="966" spans="1:28" ht="44.25" customHeight="1" x14ac:dyDescent="0.2">
      <c r="A966" s="211"/>
      <c r="B966" s="174" t="s">
        <v>686</v>
      </c>
      <c r="C966" s="175"/>
      <c r="D966" s="175"/>
      <c r="E966" s="175"/>
      <c r="F966" s="175"/>
      <c r="G966" s="176"/>
      <c r="H966" s="68">
        <v>20</v>
      </c>
      <c r="I966" s="31">
        <v>125</v>
      </c>
      <c r="J966" s="31">
        <v>111</v>
      </c>
      <c r="K966" s="31">
        <v>0</v>
      </c>
      <c r="L966" s="31">
        <v>0</v>
      </c>
      <c r="M966" s="31">
        <v>0</v>
      </c>
      <c r="N966" s="31">
        <v>0</v>
      </c>
      <c r="O966" s="31">
        <v>106</v>
      </c>
      <c r="P966" s="31">
        <v>106</v>
      </c>
      <c r="Q966" s="31">
        <v>0</v>
      </c>
      <c r="R966" s="31">
        <v>0</v>
      </c>
      <c r="S966" s="31">
        <v>0</v>
      </c>
      <c r="T966" s="31">
        <v>0</v>
      </c>
      <c r="U966" s="31">
        <v>1</v>
      </c>
      <c r="V966" s="31">
        <v>0</v>
      </c>
      <c r="W966" s="31">
        <v>0</v>
      </c>
      <c r="X966" s="31">
        <v>0</v>
      </c>
      <c r="Y966" s="31">
        <v>1</v>
      </c>
      <c r="Z966" s="31">
        <v>1</v>
      </c>
      <c r="AA966" s="31">
        <v>0</v>
      </c>
      <c r="AB966" s="31">
        <v>19</v>
      </c>
    </row>
    <row r="967" spans="1:28" ht="27.2" customHeight="1" x14ac:dyDescent="0.2">
      <c r="A967" s="211"/>
      <c r="B967" s="174" t="s">
        <v>687</v>
      </c>
      <c r="C967" s="175"/>
      <c r="D967" s="175"/>
      <c r="E967" s="175"/>
      <c r="F967" s="175"/>
      <c r="G967" s="176"/>
      <c r="H967" s="68">
        <v>21</v>
      </c>
      <c r="I967" s="31">
        <v>5</v>
      </c>
      <c r="J967" s="31">
        <v>2</v>
      </c>
      <c r="K967" s="31">
        <v>0</v>
      </c>
      <c r="L967" s="31">
        <v>0</v>
      </c>
      <c r="M967" s="31">
        <v>0</v>
      </c>
      <c r="N967" s="31">
        <v>0</v>
      </c>
      <c r="O967" s="31">
        <v>0</v>
      </c>
      <c r="P967" s="31">
        <v>0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5</v>
      </c>
    </row>
    <row r="968" spans="1:28" ht="25.5" customHeight="1" x14ac:dyDescent="0.2">
      <c r="A968" s="211"/>
      <c r="B968" s="174" t="s">
        <v>688</v>
      </c>
      <c r="C968" s="175"/>
      <c r="D968" s="175"/>
      <c r="E968" s="175"/>
      <c r="F968" s="175"/>
      <c r="G968" s="176"/>
      <c r="H968" s="68">
        <v>22</v>
      </c>
      <c r="I968" s="31">
        <v>52</v>
      </c>
      <c r="J968" s="31">
        <v>2</v>
      </c>
      <c r="K968" s="31">
        <v>0</v>
      </c>
      <c r="L968" s="31">
        <v>0</v>
      </c>
      <c r="M968" s="31">
        <v>0</v>
      </c>
      <c r="N968" s="31">
        <v>0</v>
      </c>
      <c r="O968" s="31">
        <v>1</v>
      </c>
      <c r="P968" s="31">
        <v>1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1</v>
      </c>
      <c r="Z968" s="31">
        <v>1</v>
      </c>
      <c r="AA968" s="31">
        <v>0</v>
      </c>
      <c r="AB968" s="31">
        <v>51</v>
      </c>
    </row>
    <row r="969" spans="1:28" ht="27.2" customHeight="1" x14ac:dyDescent="0.2">
      <c r="A969" s="211"/>
      <c r="B969" s="174" t="s">
        <v>689</v>
      </c>
      <c r="C969" s="175"/>
      <c r="D969" s="175"/>
      <c r="E969" s="175"/>
      <c r="F969" s="175"/>
      <c r="G969" s="176"/>
      <c r="H969" s="68">
        <v>23</v>
      </c>
      <c r="I969" s="31">
        <v>1409</v>
      </c>
      <c r="J969" s="31">
        <v>1023</v>
      </c>
      <c r="K969" s="31">
        <v>0</v>
      </c>
      <c r="L969" s="31">
        <v>0</v>
      </c>
      <c r="M969" s="31">
        <v>0</v>
      </c>
      <c r="N969" s="31">
        <v>0</v>
      </c>
      <c r="O969" s="31">
        <v>933</v>
      </c>
      <c r="P969" s="31">
        <v>933</v>
      </c>
      <c r="Q969" s="31">
        <v>0</v>
      </c>
      <c r="R969" s="31">
        <v>0</v>
      </c>
      <c r="S969" s="31">
        <v>0</v>
      </c>
      <c r="T969" s="31">
        <v>0</v>
      </c>
      <c r="U969" s="31">
        <v>42</v>
      </c>
      <c r="V969" s="31">
        <v>3</v>
      </c>
      <c r="W969" s="31">
        <v>192</v>
      </c>
      <c r="X969" s="31">
        <v>0</v>
      </c>
      <c r="Y969" s="31">
        <v>461</v>
      </c>
      <c r="Z969" s="31">
        <v>461</v>
      </c>
      <c r="AA969" s="31">
        <v>0</v>
      </c>
      <c r="AB969" s="31">
        <v>476</v>
      </c>
    </row>
    <row r="970" spans="1:28" ht="24" customHeight="1" x14ac:dyDescent="0.2">
      <c r="A970" s="211"/>
      <c r="B970" s="174" t="s">
        <v>690</v>
      </c>
      <c r="C970" s="175"/>
      <c r="D970" s="175"/>
      <c r="E970" s="175"/>
      <c r="F970" s="175"/>
      <c r="G970" s="176"/>
      <c r="H970" s="68">
        <v>24</v>
      </c>
      <c r="I970" s="31">
        <v>595</v>
      </c>
      <c r="J970" s="31">
        <v>304</v>
      </c>
      <c r="K970" s="31">
        <v>0</v>
      </c>
      <c r="L970" s="31">
        <v>0</v>
      </c>
      <c r="M970" s="31">
        <v>0</v>
      </c>
      <c r="N970" s="31">
        <v>0</v>
      </c>
      <c r="O970" s="31">
        <v>169</v>
      </c>
      <c r="P970" s="31">
        <v>169</v>
      </c>
      <c r="Q970" s="31">
        <v>0</v>
      </c>
      <c r="R970" s="31">
        <v>0</v>
      </c>
      <c r="S970" s="31">
        <v>0</v>
      </c>
      <c r="T970" s="31">
        <v>0</v>
      </c>
      <c r="U970" s="31">
        <v>7</v>
      </c>
      <c r="V970" s="31">
        <v>31</v>
      </c>
      <c r="W970" s="31">
        <v>0</v>
      </c>
      <c r="X970" s="31">
        <v>0</v>
      </c>
      <c r="Y970" s="31">
        <v>27</v>
      </c>
      <c r="Z970" s="31">
        <v>27</v>
      </c>
      <c r="AA970" s="31">
        <v>0</v>
      </c>
      <c r="AB970" s="31">
        <v>426</v>
      </c>
    </row>
    <row r="971" spans="1:28" ht="27.2" customHeight="1" x14ac:dyDescent="0.2">
      <c r="A971" s="211"/>
      <c r="B971" s="174" t="s">
        <v>691</v>
      </c>
      <c r="C971" s="175"/>
      <c r="D971" s="175"/>
      <c r="E971" s="175"/>
      <c r="F971" s="175"/>
      <c r="G971" s="176"/>
      <c r="H971" s="68">
        <v>25</v>
      </c>
      <c r="I971" s="31">
        <v>14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14</v>
      </c>
    </row>
    <row r="972" spans="1:28" ht="27.2" customHeight="1" x14ac:dyDescent="0.2">
      <c r="A972" s="211"/>
      <c r="B972" s="174" t="s">
        <v>692</v>
      </c>
      <c r="C972" s="175"/>
      <c r="D972" s="175"/>
      <c r="E972" s="175"/>
      <c r="F972" s="175"/>
      <c r="G972" s="176"/>
      <c r="H972" s="68">
        <v>26</v>
      </c>
      <c r="I972" s="31">
        <v>13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1</v>
      </c>
      <c r="Z972" s="31">
        <v>1</v>
      </c>
      <c r="AA972" s="31">
        <v>0</v>
      </c>
      <c r="AB972" s="31">
        <v>13</v>
      </c>
    </row>
    <row r="973" spans="1:28" ht="22.5" customHeight="1" x14ac:dyDescent="0.2">
      <c r="A973" s="212"/>
      <c r="B973" s="174" t="s">
        <v>179</v>
      </c>
      <c r="C973" s="175"/>
      <c r="D973" s="175"/>
      <c r="E973" s="175"/>
      <c r="F973" s="175"/>
      <c r="G973" s="176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8" t="s">
        <v>115</v>
      </c>
      <c r="B974" s="139"/>
      <c r="C974" s="139"/>
      <c r="D974" s="139"/>
      <c r="E974" s="139"/>
      <c r="F974" s="139"/>
      <c r="G974" s="140"/>
      <c r="H974" s="68">
        <v>28</v>
      </c>
      <c r="I974" s="31">
        <f t="shared" ref="I974:AB974" si="19">SUM(I947:I973)</f>
        <v>32251</v>
      </c>
      <c r="J974" s="31">
        <f t="shared" si="19"/>
        <v>15681</v>
      </c>
      <c r="K974" s="31">
        <f t="shared" si="19"/>
        <v>183</v>
      </c>
      <c r="L974" s="31">
        <f t="shared" si="19"/>
        <v>0</v>
      </c>
      <c r="M974" s="31">
        <f t="shared" si="19"/>
        <v>183</v>
      </c>
      <c r="N974" s="31">
        <f t="shared" si="19"/>
        <v>0</v>
      </c>
      <c r="O974" s="31">
        <f t="shared" si="19"/>
        <v>12056</v>
      </c>
      <c r="P974" s="31">
        <f t="shared" si="19"/>
        <v>12047</v>
      </c>
      <c r="Q974" s="31">
        <f t="shared" si="19"/>
        <v>9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377</v>
      </c>
      <c r="V974" s="31">
        <f t="shared" si="19"/>
        <v>1357</v>
      </c>
      <c r="W974" s="31">
        <f t="shared" si="19"/>
        <v>576</v>
      </c>
      <c r="X974" s="31">
        <f t="shared" si="19"/>
        <v>0</v>
      </c>
      <c r="Y974" s="31">
        <f t="shared" si="19"/>
        <v>3171</v>
      </c>
      <c r="Z974" s="31">
        <f t="shared" si="19"/>
        <v>3171</v>
      </c>
      <c r="AA974" s="31">
        <f t="shared" si="19"/>
        <v>0</v>
      </c>
      <c r="AB974" s="31">
        <f t="shared" si="19"/>
        <v>20012</v>
      </c>
    </row>
    <row r="975" spans="1:28" ht="14.25" customHeight="1" x14ac:dyDescent="0.2"/>
    <row r="976" spans="1:28" ht="21.75" customHeight="1" x14ac:dyDescent="0.25">
      <c r="A976" s="177" t="s">
        <v>693</v>
      </c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</row>
    <row r="977" spans="1:28" ht="27.75" customHeight="1" x14ac:dyDescent="0.2">
      <c r="A977" s="178"/>
      <c r="B977" s="179"/>
      <c r="C977" s="179"/>
      <c r="D977" s="179"/>
      <c r="E977" s="179"/>
      <c r="F977" s="179"/>
      <c r="G977" s="180"/>
      <c r="H977" s="187" t="s">
        <v>15</v>
      </c>
      <c r="I977" s="168" t="s">
        <v>1148</v>
      </c>
      <c r="J977" s="168" t="s">
        <v>16</v>
      </c>
      <c r="K977" s="168" t="s">
        <v>17</v>
      </c>
      <c r="L977" s="171" t="s">
        <v>18</v>
      </c>
      <c r="M977" s="172"/>
      <c r="N977" s="173"/>
      <c r="O977" s="168" t="s">
        <v>19</v>
      </c>
      <c r="P977" s="171" t="s">
        <v>20</v>
      </c>
      <c r="Q977" s="172"/>
      <c r="R977" s="172"/>
      <c r="S977" s="173"/>
      <c r="T977" s="168" t="s">
        <v>21</v>
      </c>
      <c r="U977" s="171" t="s">
        <v>22</v>
      </c>
      <c r="V977" s="172"/>
      <c r="W977" s="172"/>
      <c r="X977" s="173"/>
      <c r="Y977" s="171" t="s">
        <v>23</v>
      </c>
      <c r="Z977" s="172"/>
      <c r="AA977" s="173"/>
      <c r="AB977" s="168" t="s">
        <v>24</v>
      </c>
    </row>
    <row r="978" spans="1:28" ht="26.25" customHeight="1" x14ac:dyDescent="0.2">
      <c r="A978" s="181"/>
      <c r="B978" s="182"/>
      <c r="C978" s="182"/>
      <c r="D978" s="182"/>
      <c r="E978" s="182"/>
      <c r="F978" s="182"/>
      <c r="G978" s="183"/>
      <c r="H978" s="188"/>
      <c r="I978" s="170"/>
      <c r="J978" s="170"/>
      <c r="K978" s="170"/>
      <c r="L978" s="168" t="s">
        <v>25</v>
      </c>
      <c r="M978" s="168" t="s">
        <v>26</v>
      </c>
      <c r="N978" s="168" t="s">
        <v>27</v>
      </c>
      <c r="O978" s="170"/>
      <c r="P978" s="168" t="s">
        <v>28</v>
      </c>
      <c r="Q978" s="168" t="s">
        <v>29</v>
      </c>
      <c r="R978" s="168" t="s">
        <v>30</v>
      </c>
      <c r="S978" s="168" t="s">
        <v>31</v>
      </c>
      <c r="T978" s="170"/>
      <c r="U978" s="171" t="s">
        <v>32</v>
      </c>
      <c r="V978" s="172"/>
      <c r="W978" s="172"/>
      <c r="X978" s="173"/>
      <c r="Y978" s="168" t="s">
        <v>33</v>
      </c>
      <c r="Z978" s="171" t="s">
        <v>34</v>
      </c>
      <c r="AA978" s="173"/>
      <c r="AB978" s="170"/>
    </row>
    <row r="979" spans="1:28" ht="78.75" customHeight="1" x14ac:dyDescent="0.2">
      <c r="A979" s="184"/>
      <c r="B979" s="185"/>
      <c r="C979" s="185"/>
      <c r="D979" s="185"/>
      <c r="E979" s="185"/>
      <c r="F979" s="185"/>
      <c r="G979" s="186"/>
      <c r="H979" s="18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9" t="s">
        <v>35</v>
      </c>
      <c r="V979" s="16" t="s">
        <v>36</v>
      </c>
      <c r="W979" s="16" t="s">
        <v>37</v>
      </c>
      <c r="X979" s="16" t="s">
        <v>38</v>
      </c>
      <c r="Y979" s="169"/>
      <c r="Z979" s="18" t="s">
        <v>39</v>
      </c>
      <c r="AA979" s="17" t="s">
        <v>40</v>
      </c>
      <c r="AB979" s="169"/>
    </row>
    <row r="980" spans="1:28" ht="15" customHeight="1" x14ac:dyDescent="0.2">
      <c r="A980" s="150" t="s">
        <v>41</v>
      </c>
      <c r="B980" s="151"/>
      <c r="C980" s="151"/>
      <c r="D980" s="151"/>
      <c r="E980" s="151"/>
      <c r="F980" s="151"/>
      <c r="G980" s="152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53" t="s">
        <v>43</v>
      </c>
      <c r="B981" s="154"/>
      <c r="C981" s="154"/>
      <c r="D981" s="154"/>
      <c r="E981" s="154"/>
      <c r="F981" s="154"/>
      <c r="G981" s="155"/>
      <c r="H981" s="23">
        <v>1</v>
      </c>
      <c r="I981" s="31">
        <v>6043</v>
      </c>
      <c r="J981" s="31">
        <v>3574</v>
      </c>
      <c r="K981" s="31">
        <v>12</v>
      </c>
      <c r="L981" s="31">
        <v>0</v>
      </c>
      <c r="M981" s="31">
        <v>11</v>
      </c>
      <c r="N981" s="31">
        <v>0</v>
      </c>
      <c r="O981" s="31">
        <v>3388</v>
      </c>
      <c r="P981" s="31">
        <v>3378</v>
      </c>
      <c r="Q981" s="31">
        <v>0</v>
      </c>
      <c r="R981" s="31">
        <v>10</v>
      </c>
      <c r="S981" s="31">
        <v>0</v>
      </c>
      <c r="T981" s="31">
        <v>0</v>
      </c>
      <c r="U981" s="31">
        <v>1180</v>
      </c>
      <c r="V981" s="31">
        <v>3</v>
      </c>
      <c r="W981" s="31">
        <v>174</v>
      </c>
      <c r="X981" s="31">
        <v>3</v>
      </c>
      <c r="Y981" s="31">
        <v>1016</v>
      </c>
      <c r="Z981" s="31">
        <v>1016</v>
      </c>
      <c r="AA981" s="31">
        <v>0</v>
      </c>
      <c r="AB981" s="31">
        <v>2643</v>
      </c>
    </row>
    <row r="982" spans="1:28" ht="20.25" customHeight="1" x14ac:dyDescent="0.2">
      <c r="A982" s="204" t="s">
        <v>20</v>
      </c>
      <c r="B982" s="205"/>
      <c r="C982" s="165" t="s">
        <v>51</v>
      </c>
      <c r="D982" s="166"/>
      <c r="E982" s="166"/>
      <c r="F982" s="166"/>
      <c r="G982" s="167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</row>
    <row r="983" spans="1:28" ht="20.25" customHeight="1" x14ac:dyDescent="0.2">
      <c r="A983" s="206"/>
      <c r="B983" s="207"/>
      <c r="C983" s="165" t="s">
        <v>52</v>
      </c>
      <c r="D983" s="166"/>
      <c r="E983" s="166"/>
      <c r="F983" s="166"/>
      <c r="G983" s="167"/>
      <c r="H983" s="23">
        <v>3</v>
      </c>
      <c r="I983" s="31">
        <v>243</v>
      </c>
      <c r="J983" s="31">
        <v>73</v>
      </c>
      <c r="K983" s="31">
        <v>0</v>
      </c>
      <c r="L983" s="31">
        <v>0</v>
      </c>
      <c r="M983" s="31">
        <v>0</v>
      </c>
      <c r="N983" s="31">
        <v>0</v>
      </c>
      <c r="O983" s="31">
        <v>66</v>
      </c>
      <c r="P983" s="31">
        <v>66</v>
      </c>
      <c r="Q983" s="31">
        <v>0</v>
      </c>
      <c r="R983" s="31">
        <v>0</v>
      </c>
      <c r="S983" s="31">
        <v>0</v>
      </c>
      <c r="T983" s="31">
        <v>0</v>
      </c>
      <c r="U983" s="31">
        <v>53</v>
      </c>
      <c r="V983" s="31">
        <v>0</v>
      </c>
      <c r="W983" s="31">
        <v>3</v>
      </c>
      <c r="X983" s="31">
        <v>0</v>
      </c>
      <c r="Y983" s="31">
        <v>35</v>
      </c>
      <c r="Z983" s="31">
        <v>35</v>
      </c>
      <c r="AA983" s="31">
        <v>0</v>
      </c>
      <c r="AB983" s="31">
        <v>177</v>
      </c>
    </row>
    <row r="984" spans="1:28" ht="20.25" customHeight="1" x14ac:dyDescent="0.2">
      <c r="A984" s="206"/>
      <c r="B984" s="207"/>
      <c r="C984" s="165" t="s">
        <v>182</v>
      </c>
      <c r="D984" s="166"/>
      <c r="E984" s="166"/>
      <c r="F984" s="166"/>
      <c r="G984" s="167"/>
      <c r="H984" s="23">
        <v>4</v>
      </c>
      <c r="I984" s="31">
        <v>4102</v>
      </c>
      <c r="J984" s="31">
        <v>2341</v>
      </c>
      <c r="K984" s="31">
        <v>5</v>
      </c>
      <c r="L984" s="31">
        <v>0</v>
      </c>
      <c r="M984" s="31">
        <v>5</v>
      </c>
      <c r="N984" s="31">
        <v>0</v>
      </c>
      <c r="O984" s="31">
        <v>2192</v>
      </c>
      <c r="P984" s="31">
        <v>2184</v>
      </c>
      <c r="Q984" s="31">
        <v>0</v>
      </c>
      <c r="R984" s="31">
        <v>8</v>
      </c>
      <c r="S984" s="31">
        <v>0</v>
      </c>
      <c r="T984" s="31">
        <v>0</v>
      </c>
      <c r="U984" s="31">
        <v>537</v>
      </c>
      <c r="V984" s="31">
        <v>3</v>
      </c>
      <c r="W984" s="31">
        <v>145</v>
      </c>
      <c r="X984" s="31">
        <v>2</v>
      </c>
      <c r="Y984" s="31">
        <v>588</v>
      </c>
      <c r="Z984" s="31">
        <v>588</v>
      </c>
      <c r="AA984" s="31">
        <v>0</v>
      </c>
      <c r="AB984" s="31">
        <v>1905</v>
      </c>
    </row>
    <row r="985" spans="1:28" ht="20.25" customHeight="1" x14ac:dyDescent="0.2">
      <c r="A985" s="208"/>
      <c r="B985" s="209"/>
      <c r="C985" s="165" t="s">
        <v>49</v>
      </c>
      <c r="D985" s="166"/>
      <c r="E985" s="166"/>
      <c r="F985" s="166"/>
      <c r="G985" s="167"/>
      <c r="H985" s="23">
        <v>5</v>
      </c>
      <c r="I985" s="31">
        <v>1691</v>
      </c>
      <c r="J985" s="31">
        <v>1160</v>
      </c>
      <c r="K985" s="31">
        <v>7</v>
      </c>
      <c r="L985" s="31">
        <v>0</v>
      </c>
      <c r="M985" s="31">
        <v>6</v>
      </c>
      <c r="N985" s="31">
        <v>0</v>
      </c>
      <c r="O985" s="31">
        <v>1130</v>
      </c>
      <c r="P985" s="31">
        <v>1128</v>
      </c>
      <c r="Q985" s="31">
        <v>0</v>
      </c>
      <c r="R985" s="31">
        <v>2</v>
      </c>
      <c r="S985" s="31">
        <v>0</v>
      </c>
      <c r="T985" s="31">
        <v>0</v>
      </c>
      <c r="U985" s="31">
        <v>590</v>
      </c>
      <c r="V985" s="31">
        <v>0</v>
      </c>
      <c r="W985" s="31">
        <v>26</v>
      </c>
      <c r="X985" s="31">
        <v>1</v>
      </c>
      <c r="Y985" s="31">
        <v>393</v>
      </c>
      <c r="Z985" s="31">
        <v>393</v>
      </c>
      <c r="AA985" s="31">
        <v>0</v>
      </c>
      <c r="AB985" s="31">
        <v>554</v>
      </c>
    </row>
    <row r="986" spans="1:28" ht="30" customHeight="1" x14ac:dyDescent="0.2">
      <c r="A986" s="144" t="s">
        <v>165</v>
      </c>
      <c r="B986" s="138" t="s">
        <v>694</v>
      </c>
      <c r="C986" s="139"/>
      <c r="D986" s="139"/>
      <c r="E986" s="139"/>
      <c r="F986" s="139"/>
      <c r="G986" s="140"/>
      <c r="H986" s="23">
        <v>6</v>
      </c>
      <c r="I986" s="31">
        <v>28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0</v>
      </c>
      <c r="P986" s="31">
        <v>0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4</v>
      </c>
      <c r="Z986" s="31">
        <v>4</v>
      </c>
      <c r="AA986" s="31">
        <v>0</v>
      </c>
      <c r="AB986" s="31">
        <v>28</v>
      </c>
    </row>
    <row r="987" spans="1:28" ht="27.2" customHeight="1" x14ac:dyDescent="0.2">
      <c r="A987" s="145"/>
      <c r="B987" s="190" t="s">
        <v>32</v>
      </c>
      <c r="C987" s="138" t="s">
        <v>695</v>
      </c>
      <c r="D987" s="139"/>
      <c r="E987" s="139"/>
      <c r="F987" s="139"/>
      <c r="G987" s="140"/>
      <c r="H987" s="23">
        <v>7</v>
      </c>
      <c r="I987" s="31">
        <v>21</v>
      </c>
      <c r="J987" s="31">
        <v>0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4</v>
      </c>
      <c r="Z987" s="31">
        <v>4</v>
      </c>
      <c r="AA987" s="31">
        <v>0</v>
      </c>
      <c r="AB987" s="31">
        <v>21</v>
      </c>
    </row>
    <row r="988" spans="1:28" ht="26.25" customHeight="1" x14ac:dyDescent="0.2">
      <c r="A988" s="145"/>
      <c r="B988" s="191"/>
      <c r="C988" s="139" t="s">
        <v>696</v>
      </c>
      <c r="D988" s="139"/>
      <c r="E988" s="139"/>
      <c r="F988" s="139"/>
      <c r="G988" s="140"/>
      <c r="H988" s="23">
        <v>8</v>
      </c>
      <c r="I988" s="54">
        <v>7</v>
      </c>
      <c r="J988" s="54">
        <v>1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7</v>
      </c>
    </row>
    <row r="989" spans="1:28" ht="27.2" customHeight="1" x14ac:dyDescent="0.2">
      <c r="A989" s="145"/>
      <c r="B989" s="138" t="s">
        <v>697</v>
      </c>
      <c r="C989" s="139"/>
      <c r="D989" s="139"/>
      <c r="E989" s="139"/>
      <c r="F989" s="139"/>
      <c r="G989" s="140"/>
      <c r="H989" s="23">
        <v>9</v>
      </c>
      <c r="I989" s="31">
        <v>44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8</v>
      </c>
      <c r="Z989" s="31">
        <v>8</v>
      </c>
      <c r="AA989" s="31">
        <v>0</v>
      </c>
      <c r="AB989" s="31">
        <v>44</v>
      </c>
    </row>
    <row r="990" spans="1:28" ht="27.2" customHeight="1" x14ac:dyDescent="0.2">
      <c r="A990" s="145"/>
      <c r="B990" s="201" t="s">
        <v>698</v>
      </c>
      <c r="C990" s="202"/>
      <c r="D990" s="202"/>
      <c r="E990" s="202"/>
      <c r="F990" s="202"/>
      <c r="G990" s="203"/>
      <c r="H990" s="23">
        <v>10</v>
      </c>
      <c r="I990" s="31">
        <v>24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24</v>
      </c>
    </row>
    <row r="991" spans="1:28" ht="27" customHeight="1" x14ac:dyDescent="0.2">
      <c r="A991" s="145"/>
      <c r="B991" s="138" t="s">
        <v>699</v>
      </c>
      <c r="C991" s="139"/>
      <c r="D991" s="139"/>
      <c r="E991" s="139"/>
      <c r="F991" s="139"/>
      <c r="G991" s="140"/>
      <c r="H991" s="23">
        <v>11</v>
      </c>
      <c r="I991" s="31">
        <v>15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1</v>
      </c>
      <c r="Z991" s="31">
        <v>1</v>
      </c>
      <c r="AA991" s="31">
        <v>0</v>
      </c>
      <c r="AB991" s="31">
        <v>15</v>
      </c>
    </row>
    <row r="992" spans="1:28" ht="39" customHeight="1" x14ac:dyDescent="0.2">
      <c r="A992" s="145"/>
      <c r="B992" s="138" t="s">
        <v>700</v>
      </c>
      <c r="C992" s="139"/>
      <c r="D992" s="139"/>
      <c r="E992" s="139"/>
      <c r="F992" s="139"/>
      <c r="G992" s="140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45"/>
      <c r="B993" s="138" t="s">
        <v>701</v>
      </c>
      <c r="C993" s="139"/>
      <c r="D993" s="139"/>
      <c r="E993" s="139"/>
      <c r="F993" s="139"/>
      <c r="G993" s="140"/>
      <c r="H993" s="23">
        <v>13</v>
      </c>
      <c r="I993" s="31">
        <v>66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6</v>
      </c>
      <c r="Z993" s="31">
        <v>6</v>
      </c>
      <c r="AA993" s="31">
        <v>0</v>
      </c>
      <c r="AB993" s="31">
        <v>66</v>
      </c>
    </row>
    <row r="994" spans="1:28" ht="27.2" customHeight="1" x14ac:dyDescent="0.2">
      <c r="A994" s="146"/>
      <c r="B994" s="138" t="s">
        <v>702</v>
      </c>
      <c r="C994" s="139"/>
      <c r="D994" s="139"/>
      <c r="E994" s="139"/>
      <c r="F994" s="139"/>
      <c r="G994" s="140"/>
      <c r="H994" s="23">
        <v>14</v>
      </c>
      <c r="I994" s="31">
        <v>25</v>
      </c>
      <c r="J994" s="31">
        <v>1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1</v>
      </c>
      <c r="Z994" s="31">
        <v>1</v>
      </c>
      <c r="AA994" s="31">
        <v>0</v>
      </c>
      <c r="AB994" s="31">
        <v>25</v>
      </c>
    </row>
    <row r="995" spans="1:28" ht="14.25" customHeight="1" x14ac:dyDescent="0.2">
      <c r="A995" s="198" t="s">
        <v>41</v>
      </c>
      <c r="B995" s="199"/>
      <c r="C995" s="199"/>
      <c r="D995" s="199"/>
      <c r="E995" s="199"/>
      <c r="F995" s="199"/>
      <c r="G995" s="200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44" t="s">
        <v>165</v>
      </c>
      <c r="B996" s="138" t="s">
        <v>703</v>
      </c>
      <c r="C996" s="139"/>
      <c r="D996" s="139"/>
      <c r="E996" s="139"/>
      <c r="F996" s="139"/>
      <c r="G996" s="140"/>
      <c r="H996" s="23">
        <v>15</v>
      </c>
      <c r="I996" s="31">
        <v>9</v>
      </c>
      <c r="J996" s="31">
        <v>2</v>
      </c>
      <c r="K996" s="31">
        <v>0</v>
      </c>
      <c r="L996" s="31">
        <v>0</v>
      </c>
      <c r="M996" s="31">
        <v>0</v>
      </c>
      <c r="N996" s="31">
        <v>0</v>
      </c>
      <c r="O996" s="31">
        <v>1</v>
      </c>
      <c r="P996" s="31">
        <v>1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1</v>
      </c>
      <c r="Z996" s="31">
        <v>1</v>
      </c>
      <c r="AA996" s="31">
        <v>0</v>
      </c>
      <c r="AB996" s="31">
        <v>8</v>
      </c>
    </row>
    <row r="997" spans="1:28" ht="33" customHeight="1" x14ac:dyDescent="0.2">
      <c r="A997" s="145"/>
      <c r="B997" s="138" t="s">
        <v>704</v>
      </c>
      <c r="C997" s="139"/>
      <c r="D997" s="139"/>
      <c r="E997" s="139"/>
      <c r="F997" s="139"/>
      <c r="G997" s="140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45"/>
      <c r="B998" s="138" t="s">
        <v>705</v>
      </c>
      <c r="C998" s="139"/>
      <c r="D998" s="139"/>
      <c r="E998" s="139"/>
      <c r="F998" s="139"/>
      <c r="G998" s="140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45"/>
      <c r="B999" s="138" t="s">
        <v>706</v>
      </c>
      <c r="C999" s="139"/>
      <c r="D999" s="139"/>
      <c r="E999" s="139"/>
      <c r="F999" s="139"/>
      <c r="G999" s="140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45"/>
      <c r="B1000" s="138" t="s">
        <v>707</v>
      </c>
      <c r="C1000" s="139"/>
      <c r="D1000" s="139"/>
      <c r="E1000" s="139"/>
      <c r="F1000" s="139"/>
      <c r="G1000" s="140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45"/>
      <c r="B1001" s="190" t="s">
        <v>32</v>
      </c>
      <c r="C1001" s="138" t="s">
        <v>708</v>
      </c>
      <c r="D1001" s="139"/>
      <c r="E1001" s="139"/>
      <c r="F1001" s="139"/>
      <c r="G1001" s="140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45"/>
      <c r="B1002" s="191"/>
      <c r="C1002" s="139" t="s">
        <v>709</v>
      </c>
      <c r="D1002" s="139"/>
      <c r="E1002" s="139"/>
      <c r="F1002" s="139"/>
      <c r="G1002" s="140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45"/>
      <c r="B1003" s="138" t="s">
        <v>710</v>
      </c>
      <c r="C1003" s="139"/>
      <c r="D1003" s="139"/>
      <c r="E1003" s="139"/>
      <c r="F1003" s="139"/>
      <c r="G1003" s="140"/>
      <c r="H1003" s="23">
        <v>22</v>
      </c>
      <c r="I1003" s="31">
        <v>3703</v>
      </c>
      <c r="J1003" s="31">
        <v>2302</v>
      </c>
      <c r="K1003" s="31">
        <v>3</v>
      </c>
      <c r="L1003" s="31">
        <v>0</v>
      </c>
      <c r="M1003" s="31">
        <v>3</v>
      </c>
      <c r="N1003" s="31">
        <v>0</v>
      </c>
      <c r="O1003" s="31">
        <v>2168</v>
      </c>
      <c r="P1003" s="31">
        <v>2161</v>
      </c>
      <c r="Q1003" s="31">
        <v>0</v>
      </c>
      <c r="R1003" s="31">
        <v>7</v>
      </c>
      <c r="S1003" s="31">
        <v>0</v>
      </c>
      <c r="T1003" s="31">
        <v>0</v>
      </c>
      <c r="U1003" s="31">
        <v>552</v>
      </c>
      <c r="V1003" s="31">
        <v>1</v>
      </c>
      <c r="W1003" s="31">
        <v>146</v>
      </c>
      <c r="X1003" s="31">
        <v>1</v>
      </c>
      <c r="Y1003" s="31">
        <v>536</v>
      </c>
      <c r="Z1003" s="31">
        <v>536</v>
      </c>
      <c r="AA1003" s="31">
        <v>0</v>
      </c>
      <c r="AB1003" s="31">
        <v>1532</v>
      </c>
    </row>
    <row r="1004" spans="1:28" ht="27.2" customHeight="1" x14ac:dyDescent="0.2">
      <c r="A1004" s="145"/>
      <c r="B1004" s="138" t="s">
        <v>711</v>
      </c>
      <c r="C1004" s="139"/>
      <c r="D1004" s="139"/>
      <c r="E1004" s="139"/>
      <c r="F1004" s="139"/>
      <c r="G1004" s="140"/>
      <c r="H1004" s="23">
        <v>23</v>
      </c>
      <c r="I1004" s="31">
        <v>154</v>
      </c>
      <c r="J1004" s="31">
        <v>23</v>
      </c>
      <c r="K1004" s="31">
        <v>1</v>
      </c>
      <c r="L1004" s="31">
        <v>0</v>
      </c>
      <c r="M1004" s="31">
        <v>1</v>
      </c>
      <c r="N1004" s="31">
        <v>0</v>
      </c>
      <c r="O1004" s="31">
        <v>21</v>
      </c>
      <c r="P1004" s="31">
        <v>21</v>
      </c>
      <c r="Q1004" s="31">
        <v>0</v>
      </c>
      <c r="R1004" s="31">
        <v>0</v>
      </c>
      <c r="S1004" s="31">
        <v>0</v>
      </c>
      <c r="T1004" s="31">
        <v>0</v>
      </c>
      <c r="U1004" s="31">
        <v>1</v>
      </c>
      <c r="V1004" s="31">
        <v>1</v>
      </c>
      <c r="W1004" s="31">
        <v>2</v>
      </c>
      <c r="X1004" s="31">
        <v>0</v>
      </c>
      <c r="Y1004" s="31">
        <v>38</v>
      </c>
      <c r="Z1004" s="31">
        <v>38</v>
      </c>
      <c r="AA1004" s="31">
        <v>0</v>
      </c>
      <c r="AB1004" s="31">
        <v>132</v>
      </c>
    </row>
    <row r="1005" spans="1:28" ht="27.75" customHeight="1" x14ac:dyDescent="0.2">
      <c r="A1005" s="145"/>
      <c r="B1005" s="138" t="s">
        <v>712</v>
      </c>
      <c r="C1005" s="139"/>
      <c r="D1005" s="139"/>
      <c r="E1005" s="139"/>
      <c r="F1005" s="139"/>
      <c r="G1005" s="140"/>
      <c r="H1005" s="23">
        <v>24</v>
      </c>
      <c r="I1005" s="31">
        <v>269</v>
      </c>
      <c r="J1005" s="31">
        <v>29</v>
      </c>
      <c r="K1005" s="31">
        <v>2</v>
      </c>
      <c r="L1005" s="31">
        <v>0</v>
      </c>
      <c r="M1005" s="31">
        <v>2</v>
      </c>
      <c r="N1005" s="31">
        <v>0</v>
      </c>
      <c r="O1005" s="31">
        <v>16</v>
      </c>
      <c r="P1005" s="31">
        <v>16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54</v>
      </c>
      <c r="Z1005" s="31">
        <v>54</v>
      </c>
      <c r="AA1005" s="31">
        <v>0</v>
      </c>
      <c r="AB1005" s="31">
        <v>251</v>
      </c>
    </row>
    <row r="1006" spans="1:28" ht="24.75" customHeight="1" x14ac:dyDescent="0.2">
      <c r="A1006" s="145"/>
      <c r="B1006" s="190" t="s">
        <v>32</v>
      </c>
      <c r="C1006" s="138" t="s">
        <v>713</v>
      </c>
      <c r="D1006" s="139"/>
      <c r="E1006" s="139"/>
      <c r="F1006" s="139"/>
      <c r="G1006" s="140"/>
      <c r="H1006" s="23">
        <v>25</v>
      </c>
      <c r="I1006" s="31">
        <v>162</v>
      </c>
      <c r="J1006" s="31">
        <v>9</v>
      </c>
      <c r="K1006" s="31">
        <v>1</v>
      </c>
      <c r="L1006" s="31">
        <v>0</v>
      </c>
      <c r="M1006" s="31">
        <v>1</v>
      </c>
      <c r="N1006" s="31">
        <v>0</v>
      </c>
      <c r="O1006" s="31">
        <v>7</v>
      </c>
      <c r="P1006" s="31">
        <v>7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43</v>
      </c>
      <c r="Z1006" s="31">
        <v>43</v>
      </c>
      <c r="AA1006" s="31">
        <v>0</v>
      </c>
      <c r="AB1006" s="31">
        <v>154</v>
      </c>
    </row>
    <row r="1007" spans="1:28" ht="24.75" customHeight="1" x14ac:dyDescent="0.2">
      <c r="A1007" s="145"/>
      <c r="B1007" s="191"/>
      <c r="C1007" s="139" t="s">
        <v>714</v>
      </c>
      <c r="D1007" s="139"/>
      <c r="E1007" s="139"/>
      <c r="F1007" s="139"/>
      <c r="G1007" s="140"/>
      <c r="H1007" s="23">
        <v>26</v>
      </c>
      <c r="I1007" s="54">
        <v>107</v>
      </c>
      <c r="J1007" s="54">
        <v>20</v>
      </c>
      <c r="K1007" s="54">
        <v>1</v>
      </c>
      <c r="L1007" s="54">
        <v>0</v>
      </c>
      <c r="M1007" s="31">
        <v>1</v>
      </c>
      <c r="N1007" s="31">
        <v>0</v>
      </c>
      <c r="O1007" s="31">
        <v>9</v>
      </c>
      <c r="P1007" s="31">
        <v>9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11</v>
      </c>
      <c r="Z1007" s="31">
        <v>11</v>
      </c>
      <c r="AA1007" s="31">
        <v>0</v>
      </c>
      <c r="AB1007" s="31">
        <v>97</v>
      </c>
    </row>
    <row r="1008" spans="1:28" ht="40.5" customHeight="1" x14ac:dyDescent="0.2">
      <c r="A1008" s="145"/>
      <c r="B1008" s="138" t="s">
        <v>715</v>
      </c>
      <c r="C1008" s="139"/>
      <c r="D1008" s="139"/>
      <c r="E1008" s="139"/>
      <c r="F1008" s="139"/>
      <c r="G1008" s="140"/>
      <c r="H1008" s="23">
        <v>27</v>
      </c>
      <c r="I1008" s="31">
        <v>5</v>
      </c>
      <c r="J1008" s="31">
        <v>0</v>
      </c>
      <c r="K1008" s="31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2</v>
      </c>
      <c r="Z1008" s="31">
        <v>2</v>
      </c>
      <c r="AA1008" s="31">
        <v>0</v>
      </c>
      <c r="AB1008" s="31">
        <v>5</v>
      </c>
    </row>
    <row r="1009" spans="1:28" ht="24.75" customHeight="1" x14ac:dyDescent="0.2">
      <c r="A1009" s="145"/>
      <c r="B1009" s="190" t="s">
        <v>32</v>
      </c>
      <c r="C1009" s="138" t="s">
        <v>716</v>
      </c>
      <c r="D1009" s="139"/>
      <c r="E1009" s="139"/>
      <c r="F1009" s="139"/>
      <c r="G1009" s="140"/>
      <c r="H1009" s="23">
        <v>28</v>
      </c>
      <c r="I1009" s="31">
        <v>5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2</v>
      </c>
      <c r="Z1009" s="31">
        <v>2</v>
      </c>
      <c r="AA1009" s="31">
        <v>0</v>
      </c>
      <c r="AB1009" s="31">
        <v>5</v>
      </c>
    </row>
    <row r="1010" spans="1:28" ht="24.75" customHeight="1" x14ac:dyDescent="0.2">
      <c r="A1010" s="145"/>
      <c r="B1010" s="191"/>
      <c r="C1010" s="139" t="s">
        <v>717</v>
      </c>
      <c r="D1010" s="139"/>
      <c r="E1010" s="139"/>
      <c r="F1010" s="139"/>
      <c r="G1010" s="140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45"/>
      <c r="B1011" s="138" t="s">
        <v>718</v>
      </c>
      <c r="C1011" s="139"/>
      <c r="D1011" s="139"/>
      <c r="E1011" s="139"/>
      <c r="F1011" s="139"/>
      <c r="G1011" s="140"/>
      <c r="H1011" s="23">
        <v>30</v>
      </c>
      <c r="I1011" s="31">
        <v>20</v>
      </c>
      <c r="J1011" s="31">
        <v>2</v>
      </c>
      <c r="K1011" s="31">
        <v>0</v>
      </c>
      <c r="L1011" s="31">
        <v>0</v>
      </c>
      <c r="M1011" s="31">
        <v>0</v>
      </c>
      <c r="N1011" s="31">
        <v>0</v>
      </c>
      <c r="O1011" s="31">
        <v>2</v>
      </c>
      <c r="P1011" s="31">
        <v>2</v>
      </c>
      <c r="Q1011" s="31">
        <v>0</v>
      </c>
      <c r="R1011" s="31">
        <v>0</v>
      </c>
      <c r="S1011" s="31">
        <v>0</v>
      </c>
      <c r="T1011" s="31">
        <v>0</v>
      </c>
      <c r="U1011" s="31">
        <v>1</v>
      </c>
      <c r="V1011" s="31">
        <v>0</v>
      </c>
      <c r="W1011" s="31">
        <v>0</v>
      </c>
      <c r="X1011" s="31">
        <v>0</v>
      </c>
      <c r="Y1011" s="31">
        <v>5</v>
      </c>
      <c r="Z1011" s="31">
        <v>5</v>
      </c>
      <c r="AA1011" s="31">
        <v>0</v>
      </c>
      <c r="AB1011" s="31">
        <v>18</v>
      </c>
    </row>
    <row r="1012" spans="1:28" ht="32.25" customHeight="1" x14ac:dyDescent="0.2">
      <c r="A1012" s="145"/>
      <c r="B1012" s="138" t="s">
        <v>719</v>
      </c>
      <c r="C1012" s="139"/>
      <c r="D1012" s="139"/>
      <c r="E1012" s="139"/>
      <c r="F1012" s="139"/>
      <c r="G1012" s="140"/>
      <c r="H1012" s="23">
        <v>31</v>
      </c>
      <c r="I1012" s="31">
        <v>33</v>
      </c>
      <c r="J1012" s="31">
        <v>1</v>
      </c>
      <c r="K1012" s="31">
        <v>0</v>
      </c>
      <c r="L1012" s="31">
        <v>0</v>
      </c>
      <c r="M1012" s="31">
        <v>0</v>
      </c>
      <c r="N1012" s="31">
        <v>0</v>
      </c>
      <c r="O1012" s="31">
        <v>1</v>
      </c>
      <c r="P1012" s="31">
        <v>1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4</v>
      </c>
      <c r="Z1012" s="31">
        <v>4</v>
      </c>
      <c r="AA1012" s="31">
        <v>0</v>
      </c>
      <c r="AB1012" s="31">
        <v>32</v>
      </c>
    </row>
    <row r="1013" spans="1:28" ht="37.5" customHeight="1" x14ac:dyDescent="0.2">
      <c r="A1013" s="145"/>
      <c r="B1013" s="138" t="s">
        <v>720</v>
      </c>
      <c r="C1013" s="139"/>
      <c r="D1013" s="139"/>
      <c r="E1013" s="139"/>
      <c r="F1013" s="139"/>
      <c r="G1013" s="140"/>
      <c r="H1013" s="23">
        <v>32</v>
      </c>
      <c r="I1013" s="31">
        <v>76</v>
      </c>
      <c r="J1013" s="31">
        <v>3</v>
      </c>
      <c r="K1013" s="31">
        <v>0</v>
      </c>
      <c r="L1013" s="31">
        <v>0</v>
      </c>
      <c r="M1013" s="31">
        <v>0</v>
      </c>
      <c r="N1013" s="31">
        <v>0</v>
      </c>
      <c r="O1013" s="31">
        <v>3</v>
      </c>
      <c r="P1013" s="31">
        <v>3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10</v>
      </c>
      <c r="Z1013" s="31">
        <v>10</v>
      </c>
      <c r="AA1013" s="31">
        <v>0</v>
      </c>
      <c r="AB1013" s="31">
        <v>73</v>
      </c>
    </row>
    <row r="1014" spans="1:28" ht="28.5" customHeight="1" x14ac:dyDescent="0.2">
      <c r="A1014" s="145"/>
      <c r="B1014" s="138" t="s">
        <v>721</v>
      </c>
      <c r="C1014" s="139"/>
      <c r="D1014" s="139"/>
      <c r="E1014" s="139"/>
      <c r="F1014" s="139"/>
      <c r="G1014" s="140"/>
      <c r="H1014" s="23">
        <v>33</v>
      </c>
      <c r="I1014" s="31">
        <v>526</v>
      </c>
      <c r="J1014" s="31">
        <v>386</v>
      </c>
      <c r="K1014" s="31">
        <v>2</v>
      </c>
      <c r="L1014" s="31">
        <v>0</v>
      </c>
      <c r="M1014" s="31">
        <v>2</v>
      </c>
      <c r="N1014" s="31">
        <v>0</v>
      </c>
      <c r="O1014" s="31">
        <v>379</v>
      </c>
      <c r="P1014" s="31">
        <v>379</v>
      </c>
      <c r="Q1014" s="31">
        <v>0</v>
      </c>
      <c r="R1014" s="31">
        <v>0</v>
      </c>
      <c r="S1014" s="31">
        <v>0</v>
      </c>
      <c r="T1014" s="31">
        <v>0</v>
      </c>
      <c r="U1014" s="31">
        <v>312</v>
      </c>
      <c r="V1014" s="31">
        <v>0</v>
      </c>
      <c r="W1014" s="31">
        <v>0</v>
      </c>
      <c r="X1014" s="31">
        <v>1</v>
      </c>
      <c r="Y1014" s="31">
        <v>219</v>
      </c>
      <c r="Z1014" s="31">
        <v>219</v>
      </c>
      <c r="AA1014" s="31">
        <v>0</v>
      </c>
      <c r="AB1014" s="31">
        <v>145</v>
      </c>
    </row>
    <row r="1015" spans="1:28" ht="27.2" customHeight="1" x14ac:dyDescent="0.2">
      <c r="A1015" s="145"/>
      <c r="B1015" s="138" t="s">
        <v>722</v>
      </c>
      <c r="C1015" s="139"/>
      <c r="D1015" s="139"/>
      <c r="E1015" s="139"/>
      <c r="F1015" s="139"/>
      <c r="G1015" s="140"/>
      <c r="H1015" s="23">
        <v>34</v>
      </c>
      <c r="I1015" s="31">
        <v>1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1</v>
      </c>
    </row>
    <row r="1016" spans="1:28" ht="41.25" customHeight="1" x14ac:dyDescent="0.2">
      <c r="A1016" s="145"/>
      <c r="B1016" s="138" t="s">
        <v>723</v>
      </c>
      <c r="C1016" s="139"/>
      <c r="D1016" s="139"/>
      <c r="E1016" s="139"/>
      <c r="F1016" s="139"/>
      <c r="G1016" s="140"/>
      <c r="H1016" s="23">
        <v>35</v>
      </c>
      <c r="I1016" s="31">
        <v>15</v>
      </c>
      <c r="J1016" s="31">
        <v>13</v>
      </c>
      <c r="K1016" s="31">
        <v>0</v>
      </c>
      <c r="L1016" s="31">
        <v>0</v>
      </c>
      <c r="M1016" s="31">
        <v>0</v>
      </c>
      <c r="N1016" s="31">
        <v>0</v>
      </c>
      <c r="O1016" s="31">
        <v>13</v>
      </c>
      <c r="P1016" s="31">
        <v>13</v>
      </c>
      <c r="Q1016" s="31">
        <v>0</v>
      </c>
      <c r="R1016" s="31">
        <v>0</v>
      </c>
      <c r="S1016" s="31">
        <v>0</v>
      </c>
      <c r="T1016" s="31">
        <v>0</v>
      </c>
      <c r="U1016" s="31">
        <v>3</v>
      </c>
      <c r="V1016" s="31">
        <v>0</v>
      </c>
      <c r="W1016" s="31">
        <v>0</v>
      </c>
      <c r="X1016" s="31">
        <v>0</v>
      </c>
      <c r="Y1016" s="31">
        <v>3</v>
      </c>
      <c r="Z1016" s="31">
        <v>3</v>
      </c>
      <c r="AA1016" s="31">
        <v>0</v>
      </c>
      <c r="AB1016" s="31">
        <v>2</v>
      </c>
    </row>
    <row r="1017" spans="1:28" ht="27.2" customHeight="1" x14ac:dyDescent="0.2">
      <c r="A1017" s="145"/>
      <c r="B1017" s="138" t="s">
        <v>724</v>
      </c>
      <c r="C1017" s="139"/>
      <c r="D1017" s="139"/>
      <c r="E1017" s="139"/>
      <c r="F1017" s="139"/>
      <c r="G1017" s="140"/>
      <c r="H1017" s="23">
        <v>36</v>
      </c>
      <c r="I1017" s="31">
        <v>5</v>
      </c>
      <c r="J1017" s="31">
        <v>4</v>
      </c>
      <c r="K1017" s="31">
        <v>0</v>
      </c>
      <c r="L1017" s="31">
        <v>0</v>
      </c>
      <c r="M1017" s="31">
        <v>0</v>
      </c>
      <c r="N1017" s="31">
        <v>0</v>
      </c>
      <c r="O1017" s="31">
        <v>4</v>
      </c>
      <c r="P1017" s="31">
        <v>4</v>
      </c>
      <c r="Q1017" s="31">
        <v>0</v>
      </c>
      <c r="R1017" s="31">
        <v>0</v>
      </c>
      <c r="S1017" s="31">
        <v>0</v>
      </c>
      <c r="T1017" s="31">
        <v>0</v>
      </c>
      <c r="U1017" s="31">
        <v>4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1</v>
      </c>
    </row>
    <row r="1018" spans="1:28" ht="43.5" customHeight="1" x14ac:dyDescent="0.2">
      <c r="A1018" s="145"/>
      <c r="B1018" s="195" t="s">
        <v>725</v>
      </c>
      <c r="C1018" s="196"/>
      <c r="D1018" s="196"/>
      <c r="E1018" s="196"/>
      <c r="F1018" s="196"/>
      <c r="G1018" s="197"/>
      <c r="H1018" s="23">
        <v>37</v>
      </c>
      <c r="I1018" s="31">
        <v>706</v>
      </c>
      <c r="J1018" s="31">
        <v>619</v>
      </c>
      <c r="K1018" s="31">
        <v>3</v>
      </c>
      <c r="L1018" s="31">
        <v>0</v>
      </c>
      <c r="M1018" s="31">
        <v>2</v>
      </c>
      <c r="N1018" s="31">
        <v>0</v>
      </c>
      <c r="O1018" s="31">
        <v>601</v>
      </c>
      <c r="P1018" s="31">
        <v>599</v>
      </c>
      <c r="Q1018" s="31">
        <v>0</v>
      </c>
      <c r="R1018" s="31">
        <v>2</v>
      </c>
      <c r="S1018" s="31">
        <v>0</v>
      </c>
      <c r="T1018" s="31">
        <v>0</v>
      </c>
      <c r="U1018" s="31">
        <v>164</v>
      </c>
      <c r="V1018" s="31">
        <v>0</v>
      </c>
      <c r="W1018" s="31">
        <v>25</v>
      </c>
      <c r="X1018" s="31">
        <v>0</v>
      </c>
      <c r="Y1018" s="31">
        <v>60</v>
      </c>
      <c r="Z1018" s="31">
        <v>60</v>
      </c>
      <c r="AA1018" s="31">
        <v>0</v>
      </c>
      <c r="AB1018" s="31">
        <v>102</v>
      </c>
    </row>
    <row r="1019" spans="1:28" ht="30.75" customHeight="1" x14ac:dyDescent="0.2">
      <c r="A1019" s="145"/>
      <c r="B1019" s="138" t="s">
        <v>726</v>
      </c>
      <c r="C1019" s="139"/>
      <c r="D1019" s="139"/>
      <c r="E1019" s="139"/>
      <c r="F1019" s="139"/>
      <c r="G1019" s="140"/>
      <c r="H1019" s="23">
        <v>38</v>
      </c>
      <c r="I1019" s="31">
        <v>35</v>
      </c>
      <c r="J1019" s="31">
        <v>28</v>
      </c>
      <c r="K1019" s="31">
        <v>0</v>
      </c>
      <c r="L1019" s="31">
        <v>0</v>
      </c>
      <c r="M1019" s="31">
        <v>0</v>
      </c>
      <c r="N1019" s="31">
        <v>0</v>
      </c>
      <c r="O1019" s="31">
        <v>25</v>
      </c>
      <c r="P1019" s="31">
        <v>25</v>
      </c>
      <c r="Q1019" s="31">
        <v>0</v>
      </c>
      <c r="R1019" s="31">
        <v>0</v>
      </c>
      <c r="S1019" s="31">
        <v>0</v>
      </c>
      <c r="T1019" s="31">
        <v>0</v>
      </c>
      <c r="U1019" s="31">
        <v>25</v>
      </c>
      <c r="V1019" s="31">
        <v>0</v>
      </c>
      <c r="W1019" s="31">
        <v>0</v>
      </c>
      <c r="X1019" s="31">
        <v>0</v>
      </c>
      <c r="Y1019" s="31">
        <v>2</v>
      </c>
      <c r="Z1019" s="31">
        <v>2</v>
      </c>
      <c r="AA1019" s="31">
        <v>0</v>
      </c>
      <c r="AB1019" s="31">
        <v>10</v>
      </c>
    </row>
    <row r="1020" spans="1:28" ht="27.2" customHeight="1" x14ac:dyDescent="0.2">
      <c r="A1020" s="145"/>
      <c r="B1020" s="138" t="s">
        <v>727</v>
      </c>
      <c r="C1020" s="139"/>
      <c r="D1020" s="139"/>
      <c r="E1020" s="139"/>
      <c r="F1020" s="139"/>
      <c r="G1020" s="140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45"/>
      <c r="B1021" s="138" t="s">
        <v>728</v>
      </c>
      <c r="C1021" s="139"/>
      <c r="D1021" s="139"/>
      <c r="E1021" s="139"/>
      <c r="F1021" s="139"/>
      <c r="G1021" s="140"/>
      <c r="H1021" s="23">
        <v>40</v>
      </c>
      <c r="I1021" s="31">
        <v>8</v>
      </c>
      <c r="J1021" s="31">
        <v>7</v>
      </c>
      <c r="K1021" s="31">
        <v>0</v>
      </c>
      <c r="L1021" s="31">
        <v>0</v>
      </c>
      <c r="M1021" s="31">
        <v>0</v>
      </c>
      <c r="N1021" s="31">
        <v>0</v>
      </c>
      <c r="O1021" s="31">
        <v>7</v>
      </c>
      <c r="P1021" s="31">
        <v>7</v>
      </c>
      <c r="Q1021" s="31">
        <v>0</v>
      </c>
      <c r="R1021" s="31">
        <v>0</v>
      </c>
      <c r="S1021" s="31">
        <v>0</v>
      </c>
      <c r="T1021" s="31">
        <v>0</v>
      </c>
      <c r="U1021" s="31">
        <v>5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1</v>
      </c>
    </row>
    <row r="1022" spans="1:28" ht="27.2" customHeight="1" x14ac:dyDescent="0.2">
      <c r="A1022" s="145"/>
      <c r="B1022" s="138" t="s">
        <v>729</v>
      </c>
      <c r="C1022" s="139"/>
      <c r="D1022" s="139"/>
      <c r="E1022" s="139"/>
      <c r="F1022" s="139"/>
      <c r="G1022" s="140"/>
      <c r="H1022" s="23">
        <v>41</v>
      </c>
      <c r="I1022" s="31">
        <v>6</v>
      </c>
      <c r="J1022" s="31">
        <v>3</v>
      </c>
      <c r="K1022" s="31">
        <v>0</v>
      </c>
      <c r="L1022" s="31">
        <v>0</v>
      </c>
      <c r="M1022" s="31">
        <v>0</v>
      </c>
      <c r="N1022" s="31">
        <v>0</v>
      </c>
      <c r="O1022" s="31">
        <v>2</v>
      </c>
      <c r="P1022" s="31">
        <v>1</v>
      </c>
      <c r="Q1022" s="31">
        <v>0</v>
      </c>
      <c r="R1022" s="31">
        <v>1</v>
      </c>
      <c r="S1022" s="31">
        <v>0</v>
      </c>
      <c r="T1022" s="31">
        <v>0</v>
      </c>
      <c r="U1022" s="31">
        <v>0</v>
      </c>
      <c r="V1022" s="31">
        <v>0</v>
      </c>
      <c r="W1022" s="31">
        <v>0</v>
      </c>
      <c r="X1022" s="31">
        <v>0</v>
      </c>
      <c r="Y1022" s="31">
        <v>1</v>
      </c>
      <c r="Z1022" s="31">
        <v>1</v>
      </c>
      <c r="AA1022" s="31">
        <v>0</v>
      </c>
      <c r="AB1022" s="31">
        <v>4</v>
      </c>
    </row>
    <row r="1023" spans="1:28" ht="27.2" customHeight="1" x14ac:dyDescent="0.2">
      <c r="A1023" s="145"/>
      <c r="B1023" s="138" t="s">
        <v>730</v>
      </c>
      <c r="C1023" s="139"/>
      <c r="D1023" s="139"/>
      <c r="E1023" s="139"/>
      <c r="F1023" s="139"/>
      <c r="G1023" s="140"/>
      <c r="H1023" s="23">
        <v>42</v>
      </c>
      <c r="I1023" s="31">
        <v>152</v>
      </c>
      <c r="J1023" s="31">
        <v>143</v>
      </c>
      <c r="K1023" s="31">
        <v>1</v>
      </c>
      <c r="L1023" s="31">
        <v>0</v>
      </c>
      <c r="M1023" s="31">
        <v>1</v>
      </c>
      <c r="N1023" s="31">
        <v>0</v>
      </c>
      <c r="O1023" s="31">
        <v>140</v>
      </c>
      <c r="P1023" s="31">
        <v>140</v>
      </c>
      <c r="Q1023" s="31">
        <v>0</v>
      </c>
      <c r="R1023" s="31">
        <v>0</v>
      </c>
      <c r="S1023" s="31">
        <v>0</v>
      </c>
      <c r="T1023" s="31">
        <v>0</v>
      </c>
      <c r="U1023" s="31">
        <v>113</v>
      </c>
      <c r="V1023" s="31">
        <v>0</v>
      </c>
      <c r="W1023" s="31">
        <v>1</v>
      </c>
      <c r="X1023" s="31">
        <v>0</v>
      </c>
      <c r="Y1023" s="31">
        <v>33</v>
      </c>
      <c r="Z1023" s="31">
        <v>33</v>
      </c>
      <c r="AA1023" s="31">
        <v>0</v>
      </c>
      <c r="AB1023" s="31">
        <v>11</v>
      </c>
    </row>
    <row r="1024" spans="1:28" ht="27.2" customHeight="1" x14ac:dyDescent="0.2">
      <c r="A1024" s="145"/>
      <c r="B1024" s="138" t="s">
        <v>731</v>
      </c>
      <c r="C1024" s="139"/>
      <c r="D1024" s="139"/>
      <c r="E1024" s="139"/>
      <c r="F1024" s="139"/>
      <c r="G1024" s="140"/>
      <c r="H1024" s="23">
        <v>43</v>
      </c>
      <c r="I1024" s="31">
        <v>34</v>
      </c>
      <c r="J1024" s="31">
        <v>7</v>
      </c>
      <c r="K1024" s="31">
        <v>0</v>
      </c>
      <c r="L1024" s="31">
        <v>0</v>
      </c>
      <c r="M1024" s="31">
        <v>0</v>
      </c>
      <c r="N1024" s="31">
        <v>0</v>
      </c>
      <c r="O1024" s="31">
        <v>5</v>
      </c>
      <c r="P1024" s="31">
        <v>5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1</v>
      </c>
      <c r="W1024" s="31">
        <v>0</v>
      </c>
      <c r="X1024" s="31">
        <v>1</v>
      </c>
      <c r="Y1024" s="31">
        <v>4</v>
      </c>
      <c r="Z1024" s="31">
        <v>4</v>
      </c>
      <c r="AA1024" s="31">
        <v>0</v>
      </c>
      <c r="AB1024" s="31">
        <v>29</v>
      </c>
    </row>
    <row r="1025" spans="1:28" ht="27.2" customHeight="1" x14ac:dyDescent="0.2">
      <c r="A1025" s="145"/>
      <c r="B1025" s="138" t="s">
        <v>732</v>
      </c>
      <c r="C1025" s="139"/>
      <c r="D1025" s="139"/>
      <c r="E1025" s="139"/>
      <c r="F1025" s="139"/>
      <c r="G1025" s="140"/>
      <c r="H1025" s="23">
        <v>44</v>
      </c>
      <c r="I1025" s="31">
        <v>58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23</v>
      </c>
      <c r="Z1025" s="31">
        <v>23</v>
      </c>
      <c r="AA1025" s="31">
        <v>0</v>
      </c>
      <c r="AB1025" s="31">
        <v>58</v>
      </c>
    </row>
    <row r="1026" spans="1:28" ht="30" customHeight="1" x14ac:dyDescent="0.2">
      <c r="A1026" s="145"/>
      <c r="B1026" s="138" t="s">
        <v>733</v>
      </c>
      <c r="C1026" s="139"/>
      <c r="D1026" s="139"/>
      <c r="E1026" s="139"/>
      <c r="F1026" s="139"/>
      <c r="G1026" s="140"/>
      <c r="H1026" s="23">
        <v>45</v>
      </c>
      <c r="I1026" s="31">
        <v>12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1</v>
      </c>
      <c r="Z1026" s="31">
        <v>1</v>
      </c>
      <c r="AA1026" s="31">
        <v>0</v>
      </c>
      <c r="AB1026" s="31">
        <v>12</v>
      </c>
    </row>
    <row r="1027" spans="1:28" ht="32.25" customHeight="1" x14ac:dyDescent="0.2">
      <c r="A1027" s="145"/>
      <c r="B1027" s="138" t="s">
        <v>734</v>
      </c>
      <c r="C1027" s="139"/>
      <c r="D1027" s="139"/>
      <c r="E1027" s="139"/>
      <c r="F1027" s="139"/>
      <c r="G1027" s="140"/>
      <c r="H1027" s="23">
        <v>46</v>
      </c>
      <c r="I1027" s="31">
        <v>6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6</v>
      </c>
    </row>
    <row r="1028" spans="1:28" ht="43.5" customHeight="1" x14ac:dyDescent="0.2">
      <c r="A1028" s="145"/>
      <c r="B1028" s="138" t="s">
        <v>735</v>
      </c>
      <c r="C1028" s="139"/>
      <c r="D1028" s="139"/>
      <c r="E1028" s="139"/>
      <c r="F1028" s="139"/>
      <c r="G1028" s="140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</row>
    <row r="1029" spans="1:28" ht="26.25" customHeight="1" x14ac:dyDescent="0.2">
      <c r="A1029" s="145"/>
      <c r="B1029" s="138" t="s">
        <v>736</v>
      </c>
      <c r="C1029" s="139"/>
      <c r="D1029" s="139"/>
      <c r="E1029" s="139"/>
      <c r="F1029" s="139"/>
      <c r="G1029" s="140"/>
      <c r="H1029" s="23">
        <v>48</v>
      </c>
      <c r="I1029" s="31">
        <v>8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8</v>
      </c>
    </row>
    <row r="1030" spans="1:28" ht="24.75" customHeight="1" x14ac:dyDescent="0.2">
      <c r="A1030" s="145"/>
      <c r="B1030" s="190" t="s">
        <v>32</v>
      </c>
      <c r="C1030" s="138" t="s">
        <v>737</v>
      </c>
      <c r="D1030" s="139"/>
      <c r="E1030" s="139"/>
      <c r="F1030" s="139"/>
      <c r="G1030" s="140"/>
      <c r="H1030" s="23">
        <v>49</v>
      </c>
      <c r="I1030" s="31">
        <v>7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7</v>
      </c>
    </row>
    <row r="1031" spans="1:28" ht="24.75" customHeight="1" x14ac:dyDescent="0.2">
      <c r="A1031" s="145"/>
      <c r="B1031" s="191"/>
      <c r="C1031" s="139" t="s">
        <v>738</v>
      </c>
      <c r="D1031" s="139"/>
      <c r="E1031" s="139"/>
      <c r="F1031" s="139"/>
      <c r="G1031" s="140"/>
      <c r="H1031" s="23">
        <v>50</v>
      </c>
      <c r="I1031" s="54">
        <v>1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1</v>
      </c>
    </row>
    <row r="1032" spans="1:28" ht="22.5" customHeight="1" x14ac:dyDescent="0.2">
      <c r="A1032" s="146"/>
      <c r="B1032" s="138" t="s">
        <v>179</v>
      </c>
      <c r="C1032" s="139"/>
      <c r="D1032" s="139"/>
      <c r="E1032" s="139"/>
      <c r="F1032" s="139"/>
      <c r="G1032" s="140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8" t="s">
        <v>115</v>
      </c>
      <c r="B1033" s="139"/>
      <c r="C1033" s="139"/>
      <c r="D1033" s="139"/>
      <c r="E1033" s="139"/>
      <c r="F1033" s="139"/>
      <c r="G1033" s="140"/>
      <c r="H1033" s="23">
        <v>52</v>
      </c>
      <c r="I1033" s="31">
        <f t="shared" ref="I1033:AB1033" si="20">SUM(I996:I1032,I981:I994)</f>
        <v>18432</v>
      </c>
      <c r="J1033" s="31">
        <f t="shared" si="20"/>
        <v>10752</v>
      </c>
      <c r="K1033" s="31">
        <f t="shared" si="20"/>
        <v>38</v>
      </c>
      <c r="L1033" s="31">
        <f t="shared" si="20"/>
        <v>0</v>
      </c>
      <c r="M1033" s="31">
        <f t="shared" si="20"/>
        <v>35</v>
      </c>
      <c r="N1033" s="31">
        <f t="shared" si="20"/>
        <v>0</v>
      </c>
      <c r="O1033" s="31">
        <f t="shared" si="20"/>
        <v>10180</v>
      </c>
      <c r="P1033" s="31">
        <f t="shared" si="20"/>
        <v>10150</v>
      </c>
      <c r="Q1033" s="31">
        <f t="shared" si="20"/>
        <v>0</v>
      </c>
      <c r="R1033" s="31">
        <f t="shared" si="20"/>
        <v>30</v>
      </c>
      <c r="S1033" s="31">
        <f t="shared" si="20"/>
        <v>0</v>
      </c>
      <c r="T1033" s="31">
        <f t="shared" si="20"/>
        <v>0</v>
      </c>
      <c r="U1033" s="31">
        <f t="shared" si="20"/>
        <v>3540</v>
      </c>
      <c r="V1033" s="31">
        <f t="shared" si="20"/>
        <v>9</v>
      </c>
      <c r="W1033" s="31">
        <f t="shared" si="20"/>
        <v>522</v>
      </c>
      <c r="X1033" s="31">
        <f t="shared" si="20"/>
        <v>9</v>
      </c>
      <c r="Y1033" s="31">
        <f t="shared" si="20"/>
        <v>3108</v>
      </c>
      <c r="Z1033" s="31">
        <f t="shared" si="20"/>
        <v>3108</v>
      </c>
      <c r="AA1033" s="31">
        <f t="shared" si="20"/>
        <v>0</v>
      </c>
      <c r="AB1033" s="31">
        <f t="shared" si="20"/>
        <v>8214</v>
      </c>
    </row>
    <row r="1034" spans="1:28" ht="19.5" customHeight="1" x14ac:dyDescent="0.2"/>
    <row r="1035" spans="1:28" ht="29.25" customHeight="1" x14ac:dyDescent="0.25">
      <c r="A1035" s="177" t="s">
        <v>739</v>
      </c>
      <c r="B1035" s="177"/>
      <c r="C1035" s="177"/>
      <c r="D1035" s="177"/>
      <c r="E1035" s="177"/>
      <c r="F1035" s="177"/>
      <c r="G1035" s="177"/>
      <c r="H1035" s="177"/>
      <c r="I1035" s="177"/>
      <c r="J1035" s="177"/>
      <c r="K1035" s="177"/>
      <c r="L1035" s="177"/>
      <c r="M1035" s="177"/>
      <c r="N1035" s="177"/>
      <c r="O1035" s="177"/>
      <c r="P1035" s="177"/>
      <c r="Q1035" s="177"/>
      <c r="R1035" s="177"/>
      <c r="S1035" s="177"/>
      <c r="T1035" s="177"/>
      <c r="U1035" s="177"/>
      <c r="V1035" s="177"/>
      <c r="W1035" s="177"/>
      <c r="X1035" s="177"/>
    </row>
    <row r="1036" spans="1:28" ht="31.5" customHeight="1" x14ac:dyDescent="0.2">
      <c r="A1036" s="178"/>
      <c r="B1036" s="179"/>
      <c r="C1036" s="179"/>
      <c r="D1036" s="179"/>
      <c r="E1036" s="179"/>
      <c r="F1036" s="179"/>
      <c r="G1036" s="180"/>
      <c r="H1036" s="187" t="s">
        <v>15</v>
      </c>
      <c r="I1036" s="168" t="s">
        <v>1148</v>
      </c>
      <c r="J1036" s="168" t="s">
        <v>16</v>
      </c>
      <c r="K1036" s="168" t="s">
        <v>17</v>
      </c>
      <c r="L1036" s="171" t="s">
        <v>18</v>
      </c>
      <c r="M1036" s="172"/>
      <c r="N1036" s="173"/>
      <c r="O1036" s="168" t="s">
        <v>19</v>
      </c>
      <c r="P1036" s="171" t="s">
        <v>20</v>
      </c>
      <c r="Q1036" s="172"/>
      <c r="R1036" s="172"/>
      <c r="S1036" s="173"/>
      <c r="T1036" s="168" t="s">
        <v>21</v>
      </c>
      <c r="U1036" s="171" t="s">
        <v>22</v>
      </c>
      <c r="V1036" s="172"/>
      <c r="W1036" s="172"/>
      <c r="X1036" s="173"/>
      <c r="Y1036" s="171" t="s">
        <v>23</v>
      </c>
      <c r="Z1036" s="172"/>
      <c r="AA1036" s="173"/>
      <c r="AB1036" s="168" t="s">
        <v>24</v>
      </c>
    </row>
    <row r="1037" spans="1:28" ht="24.75" customHeight="1" x14ac:dyDescent="0.2">
      <c r="A1037" s="181"/>
      <c r="B1037" s="182"/>
      <c r="C1037" s="182"/>
      <c r="D1037" s="182"/>
      <c r="E1037" s="182"/>
      <c r="F1037" s="182"/>
      <c r="G1037" s="183"/>
      <c r="H1037" s="188"/>
      <c r="I1037" s="170"/>
      <c r="J1037" s="170"/>
      <c r="K1037" s="170"/>
      <c r="L1037" s="168" t="s">
        <v>25</v>
      </c>
      <c r="M1037" s="168" t="s">
        <v>26</v>
      </c>
      <c r="N1037" s="168" t="s">
        <v>27</v>
      </c>
      <c r="O1037" s="170"/>
      <c r="P1037" s="168" t="s">
        <v>28</v>
      </c>
      <c r="Q1037" s="168" t="s">
        <v>29</v>
      </c>
      <c r="R1037" s="168" t="s">
        <v>30</v>
      </c>
      <c r="S1037" s="168" t="s">
        <v>31</v>
      </c>
      <c r="T1037" s="170"/>
      <c r="U1037" s="171" t="s">
        <v>32</v>
      </c>
      <c r="V1037" s="172"/>
      <c r="W1037" s="172"/>
      <c r="X1037" s="173"/>
      <c r="Y1037" s="168" t="s">
        <v>33</v>
      </c>
      <c r="Z1037" s="171" t="s">
        <v>34</v>
      </c>
      <c r="AA1037" s="173"/>
      <c r="AB1037" s="170"/>
    </row>
    <row r="1038" spans="1:28" ht="76.5" customHeight="1" x14ac:dyDescent="0.2">
      <c r="A1038" s="184"/>
      <c r="B1038" s="185"/>
      <c r="C1038" s="185"/>
      <c r="D1038" s="185"/>
      <c r="E1038" s="185"/>
      <c r="F1038" s="185"/>
      <c r="G1038" s="186"/>
      <c r="H1038" s="189"/>
      <c r="I1038" s="169"/>
      <c r="J1038" s="169"/>
      <c r="K1038" s="169"/>
      <c r="L1038" s="169"/>
      <c r="M1038" s="169"/>
      <c r="N1038" s="169"/>
      <c r="O1038" s="169"/>
      <c r="P1038" s="169"/>
      <c r="Q1038" s="169"/>
      <c r="R1038" s="169"/>
      <c r="S1038" s="169"/>
      <c r="T1038" s="169"/>
      <c r="U1038" s="19" t="s">
        <v>35</v>
      </c>
      <c r="V1038" s="16" t="s">
        <v>36</v>
      </c>
      <c r="W1038" s="16" t="s">
        <v>37</v>
      </c>
      <c r="X1038" s="16" t="s">
        <v>38</v>
      </c>
      <c r="Y1038" s="169"/>
      <c r="Z1038" s="18" t="s">
        <v>39</v>
      </c>
      <c r="AA1038" s="17" t="s">
        <v>40</v>
      </c>
      <c r="AB1038" s="169"/>
    </row>
    <row r="1039" spans="1:28" ht="11.25" customHeight="1" x14ac:dyDescent="0.2">
      <c r="A1039" s="192" t="s">
        <v>41</v>
      </c>
      <c r="B1039" s="193"/>
      <c r="C1039" s="193"/>
      <c r="D1039" s="193"/>
      <c r="E1039" s="193"/>
      <c r="F1039" s="193"/>
      <c r="G1039" s="194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53" t="s">
        <v>43</v>
      </c>
      <c r="B1040" s="154"/>
      <c r="C1040" s="154"/>
      <c r="D1040" s="154"/>
      <c r="E1040" s="154"/>
      <c r="F1040" s="154"/>
      <c r="G1040" s="155"/>
      <c r="H1040" s="23">
        <v>1</v>
      </c>
      <c r="I1040" s="31">
        <v>110318</v>
      </c>
      <c r="J1040" s="31">
        <v>4096</v>
      </c>
      <c r="K1040" s="31">
        <v>268</v>
      </c>
      <c r="L1040" s="31">
        <v>2</v>
      </c>
      <c r="M1040" s="31">
        <v>266</v>
      </c>
      <c r="N1040" s="31">
        <v>0</v>
      </c>
      <c r="O1040" s="31">
        <v>3325</v>
      </c>
      <c r="P1040" s="31">
        <v>1517</v>
      </c>
      <c r="Q1040" s="31">
        <v>1807</v>
      </c>
      <c r="R1040" s="31">
        <v>0</v>
      </c>
      <c r="S1040" s="31">
        <v>1</v>
      </c>
      <c r="T1040" s="31">
        <v>0</v>
      </c>
      <c r="U1040" s="31">
        <v>81</v>
      </c>
      <c r="V1040" s="31">
        <v>84</v>
      </c>
      <c r="W1040" s="31">
        <v>3</v>
      </c>
      <c r="X1040" s="31">
        <v>2</v>
      </c>
      <c r="Y1040" s="31">
        <v>658</v>
      </c>
      <c r="Z1040" s="31">
        <v>655</v>
      </c>
      <c r="AA1040" s="31">
        <v>0</v>
      </c>
      <c r="AB1040" s="31">
        <v>106722</v>
      </c>
    </row>
    <row r="1041" spans="1:28" ht="22.5" customHeight="1" x14ac:dyDescent="0.2">
      <c r="A1041" s="156" t="s">
        <v>20</v>
      </c>
      <c r="B1041" s="157"/>
      <c r="C1041" s="158"/>
      <c r="D1041" s="165" t="s">
        <v>51</v>
      </c>
      <c r="E1041" s="166"/>
      <c r="F1041" s="166"/>
      <c r="G1041" s="167"/>
      <c r="H1041" s="23">
        <v>2</v>
      </c>
      <c r="I1041" s="31">
        <v>13875</v>
      </c>
      <c r="J1041" s="31">
        <v>266</v>
      </c>
      <c r="K1041" s="31">
        <v>25</v>
      </c>
      <c r="L1041" s="31">
        <v>1</v>
      </c>
      <c r="M1041" s="31">
        <v>24</v>
      </c>
      <c r="N1041" s="31">
        <v>0</v>
      </c>
      <c r="O1041" s="31">
        <v>159</v>
      </c>
      <c r="P1041" s="31">
        <v>145</v>
      </c>
      <c r="Q1041" s="31">
        <v>14</v>
      </c>
      <c r="R1041" s="31">
        <v>0</v>
      </c>
      <c r="S1041" s="31">
        <v>0</v>
      </c>
      <c r="T1041" s="31">
        <v>0</v>
      </c>
      <c r="U1041" s="31">
        <v>5</v>
      </c>
      <c r="V1041" s="31">
        <v>72</v>
      </c>
      <c r="W1041" s="31">
        <v>1</v>
      </c>
      <c r="X1041" s="31">
        <v>0</v>
      </c>
      <c r="Y1041" s="31">
        <v>27</v>
      </c>
      <c r="Z1041" s="31">
        <v>27</v>
      </c>
      <c r="AA1041" s="31">
        <v>0</v>
      </c>
      <c r="AB1041" s="31">
        <v>13691</v>
      </c>
    </row>
    <row r="1042" spans="1:28" ht="22.5" customHeight="1" x14ac:dyDescent="0.2">
      <c r="A1042" s="159"/>
      <c r="B1042" s="160"/>
      <c r="C1042" s="161"/>
      <c r="D1042" s="165" t="s">
        <v>52</v>
      </c>
      <c r="E1042" s="166"/>
      <c r="F1042" s="166"/>
      <c r="G1042" s="167"/>
      <c r="H1042" s="23">
        <v>3</v>
      </c>
      <c r="I1042" s="31">
        <v>96055</v>
      </c>
      <c r="J1042" s="31">
        <v>3801</v>
      </c>
      <c r="K1042" s="31">
        <v>240</v>
      </c>
      <c r="L1042" s="31">
        <v>1</v>
      </c>
      <c r="M1042" s="31">
        <v>239</v>
      </c>
      <c r="N1042" s="31">
        <v>0</v>
      </c>
      <c r="O1042" s="31">
        <v>3142</v>
      </c>
      <c r="P1042" s="31">
        <v>1348</v>
      </c>
      <c r="Q1042" s="31">
        <v>1793</v>
      </c>
      <c r="R1042" s="31">
        <v>0</v>
      </c>
      <c r="S1042" s="31">
        <v>1</v>
      </c>
      <c r="T1042" s="31">
        <v>0</v>
      </c>
      <c r="U1042" s="31">
        <v>75</v>
      </c>
      <c r="V1042" s="31">
        <v>12</v>
      </c>
      <c r="W1042" s="31">
        <v>2</v>
      </c>
      <c r="X1042" s="31">
        <v>2</v>
      </c>
      <c r="Y1042" s="31">
        <v>618</v>
      </c>
      <c r="Z1042" s="31">
        <v>615</v>
      </c>
      <c r="AA1042" s="31">
        <v>0</v>
      </c>
      <c r="AB1042" s="31">
        <v>92670</v>
      </c>
    </row>
    <row r="1043" spans="1:28" ht="22.5" customHeight="1" x14ac:dyDescent="0.2">
      <c r="A1043" s="159"/>
      <c r="B1043" s="160"/>
      <c r="C1043" s="161"/>
      <c r="D1043" s="165" t="s">
        <v>182</v>
      </c>
      <c r="E1043" s="166"/>
      <c r="F1043" s="166"/>
      <c r="G1043" s="166"/>
      <c r="H1043" s="30">
        <v>4</v>
      </c>
      <c r="I1043" s="31">
        <v>381</v>
      </c>
      <c r="J1043" s="31">
        <v>29</v>
      </c>
      <c r="K1043" s="31">
        <v>3</v>
      </c>
      <c r="L1043" s="31">
        <v>0</v>
      </c>
      <c r="M1043" s="31">
        <v>3</v>
      </c>
      <c r="N1043" s="31">
        <v>0</v>
      </c>
      <c r="O1043" s="31">
        <v>24</v>
      </c>
      <c r="P1043" s="31">
        <v>24</v>
      </c>
      <c r="Q1043" s="31">
        <v>0</v>
      </c>
      <c r="R1043" s="31">
        <v>0</v>
      </c>
      <c r="S1043" s="31">
        <v>0</v>
      </c>
      <c r="T1043" s="31">
        <v>0</v>
      </c>
      <c r="U1043" s="31">
        <v>1</v>
      </c>
      <c r="V1043" s="31">
        <v>0</v>
      </c>
      <c r="W1043" s="31">
        <v>0</v>
      </c>
      <c r="X1043" s="31">
        <v>0</v>
      </c>
      <c r="Y1043" s="31">
        <v>12</v>
      </c>
      <c r="Z1043" s="31">
        <v>12</v>
      </c>
      <c r="AA1043" s="31">
        <v>0</v>
      </c>
      <c r="AB1043" s="31">
        <v>354</v>
      </c>
    </row>
    <row r="1044" spans="1:28" ht="22.5" customHeight="1" x14ac:dyDescent="0.2">
      <c r="A1044" s="162"/>
      <c r="B1044" s="163"/>
      <c r="C1044" s="164"/>
      <c r="D1044" s="165" t="s">
        <v>49</v>
      </c>
      <c r="E1044" s="166"/>
      <c r="F1044" s="166"/>
      <c r="G1044" s="166"/>
      <c r="H1044" s="30">
        <v>5</v>
      </c>
      <c r="I1044" s="31">
        <v>7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7</v>
      </c>
    </row>
    <row r="1045" spans="1:28" ht="11.25" customHeight="1" x14ac:dyDescent="0.2">
      <c r="A1045" s="192" t="s">
        <v>41</v>
      </c>
      <c r="B1045" s="193"/>
      <c r="C1045" s="193"/>
      <c r="D1045" s="193"/>
      <c r="E1045" s="193"/>
      <c r="F1045" s="193"/>
      <c r="G1045" s="194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44" t="s">
        <v>165</v>
      </c>
      <c r="B1046" s="141" t="s">
        <v>740</v>
      </c>
      <c r="C1046" s="142"/>
      <c r="D1046" s="142"/>
      <c r="E1046" s="142"/>
      <c r="F1046" s="142"/>
      <c r="G1046" s="143"/>
      <c r="H1046" s="20">
        <v>6</v>
      </c>
      <c r="I1046" s="31">
        <v>1042</v>
      </c>
      <c r="J1046" s="31">
        <v>291</v>
      </c>
      <c r="K1046" s="31">
        <v>4</v>
      </c>
      <c r="L1046" s="31">
        <v>0</v>
      </c>
      <c r="M1046" s="31">
        <v>4</v>
      </c>
      <c r="N1046" s="31">
        <v>0</v>
      </c>
      <c r="O1046" s="31">
        <v>249</v>
      </c>
      <c r="P1046" s="31">
        <v>249</v>
      </c>
      <c r="Q1046" s="31">
        <v>0</v>
      </c>
      <c r="R1046" s="31">
        <v>0</v>
      </c>
      <c r="S1046" s="31">
        <v>0</v>
      </c>
      <c r="T1046" s="31">
        <v>0</v>
      </c>
      <c r="U1046" s="31">
        <v>5</v>
      </c>
      <c r="V1046" s="31">
        <v>0</v>
      </c>
      <c r="W1046" s="31">
        <v>0</v>
      </c>
      <c r="X1046" s="31">
        <v>0</v>
      </c>
      <c r="Y1046" s="31">
        <v>71</v>
      </c>
      <c r="Z1046" s="31">
        <v>71</v>
      </c>
      <c r="AA1046" s="31">
        <v>0</v>
      </c>
      <c r="AB1046" s="31">
        <v>789</v>
      </c>
    </row>
    <row r="1047" spans="1:28" ht="27.2" customHeight="1" x14ac:dyDescent="0.2">
      <c r="A1047" s="145"/>
      <c r="B1047" s="141" t="s">
        <v>741</v>
      </c>
      <c r="C1047" s="142"/>
      <c r="D1047" s="142"/>
      <c r="E1047" s="142"/>
      <c r="F1047" s="142"/>
      <c r="G1047" s="143"/>
      <c r="H1047" s="20">
        <v>7</v>
      </c>
      <c r="I1047" s="31">
        <v>13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13</v>
      </c>
    </row>
    <row r="1048" spans="1:28" ht="27.2" customHeight="1" x14ac:dyDescent="0.2">
      <c r="A1048" s="145"/>
      <c r="B1048" s="141" t="s">
        <v>742</v>
      </c>
      <c r="C1048" s="142"/>
      <c r="D1048" s="142"/>
      <c r="E1048" s="142"/>
      <c r="F1048" s="142"/>
      <c r="G1048" s="143"/>
      <c r="H1048" s="20">
        <v>8</v>
      </c>
      <c r="I1048" s="31">
        <v>2</v>
      </c>
      <c r="J1048" s="31">
        <v>1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2</v>
      </c>
    </row>
    <row r="1049" spans="1:28" ht="29.25" customHeight="1" x14ac:dyDescent="0.2">
      <c r="A1049" s="145"/>
      <c r="B1049" s="141" t="s">
        <v>743</v>
      </c>
      <c r="C1049" s="142"/>
      <c r="D1049" s="142"/>
      <c r="E1049" s="142"/>
      <c r="F1049" s="142"/>
      <c r="G1049" s="143"/>
      <c r="H1049" s="20">
        <v>9</v>
      </c>
      <c r="I1049" s="31">
        <v>23</v>
      </c>
      <c r="J1049" s="31">
        <v>4</v>
      </c>
      <c r="K1049" s="31">
        <v>1</v>
      </c>
      <c r="L1049" s="31">
        <v>0</v>
      </c>
      <c r="M1049" s="31">
        <v>1</v>
      </c>
      <c r="N1049" s="31">
        <v>0</v>
      </c>
      <c r="O1049" s="31">
        <v>1</v>
      </c>
      <c r="P1049" s="31">
        <v>1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21</v>
      </c>
    </row>
    <row r="1050" spans="1:28" ht="42.75" customHeight="1" x14ac:dyDescent="0.2">
      <c r="A1050" s="145"/>
      <c r="B1050" s="141" t="s">
        <v>744</v>
      </c>
      <c r="C1050" s="142"/>
      <c r="D1050" s="142"/>
      <c r="E1050" s="142"/>
      <c r="F1050" s="142"/>
      <c r="G1050" s="143"/>
      <c r="H1050" s="20">
        <v>10</v>
      </c>
      <c r="I1050" s="31">
        <v>38</v>
      </c>
      <c r="J1050" s="31">
        <v>0</v>
      </c>
      <c r="K1050" s="31">
        <v>0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38</v>
      </c>
    </row>
    <row r="1051" spans="1:28" ht="27.2" customHeight="1" x14ac:dyDescent="0.2">
      <c r="A1051" s="145"/>
      <c r="B1051" s="141" t="s">
        <v>745</v>
      </c>
      <c r="C1051" s="142"/>
      <c r="D1051" s="142"/>
      <c r="E1051" s="142"/>
      <c r="F1051" s="142"/>
      <c r="G1051" s="143"/>
      <c r="H1051" s="20">
        <v>11</v>
      </c>
      <c r="I1051" s="31">
        <v>94317</v>
      </c>
      <c r="J1051" s="31">
        <v>3390</v>
      </c>
      <c r="K1051" s="31">
        <v>218</v>
      </c>
      <c r="L1051" s="31">
        <v>1</v>
      </c>
      <c r="M1051" s="31">
        <v>217</v>
      </c>
      <c r="N1051" s="31">
        <v>0</v>
      </c>
      <c r="O1051" s="31">
        <v>2825</v>
      </c>
      <c r="P1051" s="31">
        <v>1031</v>
      </c>
      <c r="Q1051" s="31">
        <v>1793</v>
      </c>
      <c r="R1051" s="31">
        <v>0</v>
      </c>
      <c r="S1051" s="31">
        <v>1</v>
      </c>
      <c r="T1051" s="31">
        <v>0</v>
      </c>
      <c r="U1051" s="31">
        <v>70</v>
      </c>
      <c r="V1051" s="31">
        <v>2</v>
      </c>
      <c r="W1051" s="31">
        <v>2</v>
      </c>
      <c r="X1051" s="31">
        <v>2</v>
      </c>
      <c r="Y1051" s="31">
        <v>514</v>
      </c>
      <c r="Z1051" s="31">
        <v>511</v>
      </c>
      <c r="AA1051" s="31">
        <v>0</v>
      </c>
      <c r="AB1051" s="31">
        <v>91271</v>
      </c>
    </row>
    <row r="1052" spans="1:28" ht="20.25" customHeight="1" x14ac:dyDescent="0.2">
      <c r="A1052" s="145"/>
      <c r="B1052" s="141" t="s">
        <v>746</v>
      </c>
      <c r="C1052" s="142"/>
      <c r="D1052" s="142"/>
      <c r="E1052" s="142"/>
      <c r="F1052" s="142"/>
      <c r="G1052" s="143"/>
      <c r="H1052" s="20">
        <v>12</v>
      </c>
      <c r="I1052" s="31">
        <v>13355</v>
      </c>
      <c r="J1052" s="31">
        <v>148</v>
      </c>
      <c r="K1052" s="31">
        <v>23</v>
      </c>
      <c r="L1052" s="31">
        <v>0</v>
      </c>
      <c r="M1052" s="31">
        <v>23</v>
      </c>
      <c r="N1052" s="31">
        <v>0</v>
      </c>
      <c r="O1052" s="31">
        <v>62</v>
      </c>
      <c r="P1052" s="31">
        <v>48</v>
      </c>
      <c r="Q1052" s="31">
        <v>14</v>
      </c>
      <c r="R1052" s="31">
        <v>0</v>
      </c>
      <c r="S1052" s="31">
        <v>0</v>
      </c>
      <c r="T1052" s="31">
        <v>0</v>
      </c>
      <c r="U1052" s="31">
        <v>4</v>
      </c>
      <c r="V1052" s="31">
        <v>4</v>
      </c>
      <c r="W1052" s="31">
        <v>0</v>
      </c>
      <c r="X1052" s="31">
        <v>0</v>
      </c>
      <c r="Y1052" s="31">
        <v>15</v>
      </c>
      <c r="Z1052" s="31">
        <v>15</v>
      </c>
      <c r="AA1052" s="31">
        <v>0</v>
      </c>
      <c r="AB1052" s="31">
        <v>13270</v>
      </c>
    </row>
    <row r="1053" spans="1:28" ht="32.25" customHeight="1" x14ac:dyDescent="0.2">
      <c r="A1053" s="145"/>
      <c r="B1053" s="141" t="s">
        <v>747</v>
      </c>
      <c r="C1053" s="142"/>
      <c r="D1053" s="142"/>
      <c r="E1053" s="142"/>
      <c r="F1053" s="142"/>
      <c r="G1053" s="143"/>
      <c r="H1053" s="20">
        <v>13</v>
      </c>
      <c r="I1053" s="31">
        <v>281</v>
      </c>
      <c r="J1053" s="31">
        <v>78</v>
      </c>
      <c r="K1053" s="31">
        <v>17</v>
      </c>
      <c r="L1053" s="31">
        <v>0</v>
      </c>
      <c r="M1053" s="31">
        <v>17</v>
      </c>
      <c r="N1053" s="31">
        <v>0</v>
      </c>
      <c r="O1053" s="31">
        <v>49</v>
      </c>
      <c r="P1053" s="31">
        <v>49</v>
      </c>
      <c r="Q1053" s="31">
        <v>0</v>
      </c>
      <c r="R1053" s="31">
        <v>0</v>
      </c>
      <c r="S1053" s="31">
        <v>0</v>
      </c>
      <c r="T1053" s="31">
        <v>0</v>
      </c>
      <c r="U1053" s="31">
        <v>0</v>
      </c>
      <c r="V1053" s="31">
        <v>10</v>
      </c>
      <c r="W1053" s="31">
        <v>0</v>
      </c>
      <c r="X1053" s="31">
        <v>0</v>
      </c>
      <c r="Y1053" s="31">
        <v>6</v>
      </c>
      <c r="Z1053" s="31">
        <v>6</v>
      </c>
      <c r="AA1053" s="31">
        <v>0</v>
      </c>
      <c r="AB1053" s="31">
        <v>215</v>
      </c>
    </row>
    <row r="1054" spans="1:28" ht="90.75" customHeight="1" x14ac:dyDescent="0.2">
      <c r="A1054" s="145"/>
      <c r="B1054" s="141" t="s">
        <v>748</v>
      </c>
      <c r="C1054" s="142"/>
      <c r="D1054" s="142"/>
      <c r="E1054" s="142"/>
      <c r="F1054" s="142"/>
      <c r="G1054" s="143"/>
      <c r="H1054" s="20">
        <v>14</v>
      </c>
      <c r="I1054" s="31">
        <v>229</v>
      </c>
      <c r="J1054" s="31">
        <v>108</v>
      </c>
      <c r="K1054" s="31">
        <v>1</v>
      </c>
      <c r="L1054" s="31">
        <v>1</v>
      </c>
      <c r="M1054" s="31">
        <v>0</v>
      </c>
      <c r="N1054" s="31">
        <v>0</v>
      </c>
      <c r="O1054" s="31">
        <v>94</v>
      </c>
      <c r="P1054" s="31">
        <v>94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68</v>
      </c>
      <c r="W1054" s="31">
        <v>0</v>
      </c>
      <c r="X1054" s="31">
        <v>0</v>
      </c>
      <c r="Y1054" s="31">
        <v>1</v>
      </c>
      <c r="Z1054" s="31">
        <v>1</v>
      </c>
      <c r="AA1054" s="31">
        <v>0</v>
      </c>
      <c r="AB1054" s="31">
        <v>134</v>
      </c>
    </row>
    <row r="1055" spans="1:28" ht="27.2" customHeight="1" x14ac:dyDescent="0.2">
      <c r="A1055" s="145"/>
      <c r="B1055" s="141" t="s">
        <v>749</v>
      </c>
      <c r="C1055" s="142"/>
      <c r="D1055" s="142"/>
      <c r="E1055" s="142"/>
      <c r="F1055" s="142"/>
      <c r="G1055" s="143"/>
      <c r="H1055" s="20">
        <v>15</v>
      </c>
      <c r="I1055" s="31">
        <v>2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1</v>
      </c>
      <c r="Z1055" s="31">
        <v>1</v>
      </c>
      <c r="AA1055" s="31">
        <v>0</v>
      </c>
      <c r="AB1055" s="31">
        <v>2</v>
      </c>
    </row>
    <row r="1056" spans="1:28" ht="29.25" customHeight="1" x14ac:dyDescent="0.2">
      <c r="A1056" s="145"/>
      <c r="B1056" s="141" t="s">
        <v>750</v>
      </c>
      <c r="C1056" s="142"/>
      <c r="D1056" s="142"/>
      <c r="E1056" s="142"/>
      <c r="F1056" s="142"/>
      <c r="G1056" s="143"/>
      <c r="H1056" s="20">
        <v>16</v>
      </c>
      <c r="I1056" s="31">
        <v>7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7</v>
      </c>
    </row>
    <row r="1057" spans="1:28" ht="24.75" customHeight="1" x14ac:dyDescent="0.2">
      <c r="A1057" s="145"/>
      <c r="B1057" s="190" t="s">
        <v>32</v>
      </c>
      <c r="C1057" s="138" t="s">
        <v>751</v>
      </c>
      <c r="D1057" s="139"/>
      <c r="E1057" s="139"/>
      <c r="F1057" s="139"/>
      <c r="G1057" s="140"/>
      <c r="H1057" s="20">
        <v>17</v>
      </c>
      <c r="I1057" s="31">
        <v>7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7</v>
      </c>
    </row>
    <row r="1058" spans="1:28" ht="24.75" customHeight="1" x14ac:dyDescent="0.2">
      <c r="A1058" s="145"/>
      <c r="B1058" s="191"/>
      <c r="C1058" s="139" t="s">
        <v>752</v>
      </c>
      <c r="D1058" s="139"/>
      <c r="E1058" s="139"/>
      <c r="F1058" s="139"/>
      <c r="G1058" s="140"/>
      <c r="H1058" s="20">
        <v>18</v>
      </c>
      <c r="I1058" s="54">
        <v>0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</row>
    <row r="1059" spans="1:28" ht="27" customHeight="1" x14ac:dyDescent="0.2">
      <c r="A1059" s="145"/>
      <c r="B1059" s="141" t="s">
        <v>753</v>
      </c>
      <c r="C1059" s="142"/>
      <c r="D1059" s="142"/>
      <c r="E1059" s="142"/>
      <c r="F1059" s="142"/>
      <c r="G1059" s="143"/>
      <c r="H1059" s="20">
        <v>19</v>
      </c>
      <c r="I1059" s="31">
        <v>114</v>
      </c>
      <c r="J1059" s="31">
        <v>25</v>
      </c>
      <c r="K1059" s="31">
        <v>3</v>
      </c>
      <c r="L1059" s="31">
        <v>0</v>
      </c>
      <c r="M1059" s="31">
        <v>3</v>
      </c>
      <c r="N1059" s="31">
        <v>0</v>
      </c>
      <c r="O1059" s="31">
        <v>22</v>
      </c>
      <c r="P1059" s="31">
        <v>22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89</v>
      </c>
    </row>
    <row r="1060" spans="1:28" ht="44.25" customHeight="1" x14ac:dyDescent="0.2">
      <c r="A1060" s="145"/>
      <c r="B1060" s="141" t="s">
        <v>754</v>
      </c>
      <c r="C1060" s="142"/>
      <c r="D1060" s="142"/>
      <c r="E1060" s="142"/>
      <c r="F1060" s="142"/>
      <c r="G1060" s="143"/>
      <c r="H1060" s="20">
        <v>20</v>
      </c>
      <c r="I1060" s="31">
        <v>118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2</v>
      </c>
      <c r="Z1060" s="31">
        <v>2</v>
      </c>
      <c r="AA1060" s="31">
        <v>0</v>
      </c>
      <c r="AB1060" s="31">
        <v>118</v>
      </c>
    </row>
    <row r="1061" spans="1:28" ht="27.2" customHeight="1" x14ac:dyDescent="0.2">
      <c r="A1061" s="145"/>
      <c r="B1061" s="141" t="s">
        <v>755</v>
      </c>
      <c r="C1061" s="142"/>
      <c r="D1061" s="142"/>
      <c r="E1061" s="142"/>
      <c r="F1061" s="142"/>
      <c r="G1061" s="143"/>
      <c r="H1061" s="20">
        <v>21</v>
      </c>
      <c r="I1061" s="31">
        <v>140</v>
      </c>
      <c r="J1061" s="31">
        <v>2</v>
      </c>
      <c r="K1061" s="31">
        <v>0</v>
      </c>
      <c r="L1061" s="31">
        <v>0</v>
      </c>
      <c r="M1061" s="31">
        <v>0</v>
      </c>
      <c r="N1061" s="31">
        <v>0</v>
      </c>
      <c r="O1061" s="31">
        <v>1</v>
      </c>
      <c r="P1061" s="31">
        <v>1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3</v>
      </c>
      <c r="Z1061" s="31">
        <v>3</v>
      </c>
      <c r="AA1061" s="31">
        <v>0</v>
      </c>
      <c r="AB1061" s="31">
        <v>139</v>
      </c>
    </row>
    <row r="1062" spans="1:28" ht="27.2" customHeight="1" x14ac:dyDescent="0.2">
      <c r="A1062" s="145"/>
      <c r="B1062" s="141" t="s">
        <v>756</v>
      </c>
      <c r="C1062" s="142"/>
      <c r="D1062" s="142"/>
      <c r="E1062" s="142"/>
      <c r="F1062" s="142"/>
      <c r="G1062" s="143"/>
      <c r="H1062" s="20">
        <v>22</v>
      </c>
      <c r="I1062" s="31">
        <v>7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7</v>
      </c>
    </row>
    <row r="1063" spans="1:28" ht="27.2" customHeight="1" x14ac:dyDescent="0.2">
      <c r="A1063" s="145"/>
      <c r="B1063" s="141" t="s">
        <v>757</v>
      </c>
      <c r="C1063" s="142"/>
      <c r="D1063" s="142"/>
      <c r="E1063" s="142"/>
      <c r="F1063" s="142"/>
      <c r="G1063" s="143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45"/>
      <c r="B1064" s="141" t="s">
        <v>758</v>
      </c>
      <c r="C1064" s="142"/>
      <c r="D1064" s="142"/>
      <c r="E1064" s="142"/>
      <c r="F1064" s="142"/>
      <c r="G1064" s="143"/>
      <c r="H1064" s="20">
        <v>24</v>
      </c>
      <c r="I1064" s="31">
        <v>0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</row>
    <row r="1065" spans="1:28" ht="29.25" customHeight="1" x14ac:dyDescent="0.2">
      <c r="A1065" s="145"/>
      <c r="B1065" s="141" t="s">
        <v>759</v>
      </c>
      <c r="C1065" s="142"/>
      <c r="D1065" s="142"/>
      <c r="E1065" s="142"/>
      <c r="F1065" s="142"/>
      <c r="G1065" s="143"/>
      <c r="H1065" s="20">
        <v>25</v>
      </c>
      <c r="I1065" s="31">
        <v>3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3</v>
      </c>
    </row>
    <row r="1066" spans="1:28" ht="32.25" customHeight="1" x14ac:dyDescent="0.2">
      <c r="A1066" s="145"/>
      <c r="B1066" s="141" t="s">
        <v>760</v>
      </c>
      <c r="C1066" s="142"/>
      <c r="D1066" s="142"/>
      <c r="E1066" s="142"/>
      <c r="F1066" s="142"/>
      <c r="G1066" s="143"/>
      <c r="H1066" s="20">
        <v>26</v>
      </c>
      <c r="I1066" s="31">
        <v>0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0</v>
      </c>
    </row>
    <row r="1067" spans="1:28" ht="33" customHeight="1" x14ac:dyDescent="0.2">
      <c r="A1067" s="145"/>
      <c r="B1067" s="141" t="s">
        <v>761</v>
      </c>
      <c r="C1067" s="142"/>
      <c r="D1067" s="142"/>
      <c r="E1067" s="142"/>
      <c r="F1067" s="142"/>
      <c r="G1067" s="143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45"/>
      <c r="B1068" s="141" t="s">
        <v>762</v>
      </c>
      <c r="C1068" s="142"/>
      <c r="D1068" s="142"/>
      <c r="E1068" s="142"/>
      <c r="F1068" s="142"/>
      <c r="G1068" s="143"/>
      <c r="H1068" s="20">
        <v>28</v>
      </c>
      <c r="I1068" s="31">
        <v>4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4</v>
      </c>
    </row>
    <row r="1069" spans="1:28" ht="24" customHeight="1" x14ac:dyDescent="0.2">
      <c r="A1069" s="145"/>
      <c r="B1069" s="141" t="s">
        <v>763</v>
      </c>
      <c r="C1069" s="142"/>
      <c r="D1069" s="142"/>
      <c r="E1069" s="142"/>
      <c r="F1069" s="142"/>
      <c r="G1069" s="143"/>
      <c r="H1069" s="20">
        <v>29</v>
      </c>
      <c r="I1069" s="31">
        <v>257</v>
      </c>
      <c r="J1069" s="31">
        <v>30</v>
      </c>
      <c r="K1069" s="31">
        <v>0</v>
      </c>
      <c r="L1069" s="31">
        <v>0</v>
      </c>
      <c r="M1069" s="31">
        <v>0</v>
      </c>
      <c r="N1069" s="31">
        <v>0</v>
      </c>
      <c r="O1069" s="31">
        <v>15</v>
      </c>
      <c r="P1069" s="31">
        <v>15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24</v>
      </c>
      <c r="Z1069" s="31">
        <v>24</v>
      </c>
      <c r="AA1069" s="31">
        <v>0</v>
      </c>
      <c r="AB1069" s="31">
        <v>242</v>
      </c>
    </row>
    <row r="1070" spans="1:28" ht="24" customHeight="1" x14ac:dyDescent="0.2">
      <c r="A1070" s="145"/>
      <c r="B1070" s="141" t="s">
        <v>764</v>
      </c>
      <c r="C1070" s="142"/>
      <c r="D1070" s="142"/>
      <c r="E1070" s="142"/>
      <c r="F1070" s="142"/>
      <c r="G1070" s="143"/>
      <c r="H1070" s="20">
        <v>30</v>
      </c>
      <c r="I1070" s="31">
        <v>28</v>
      </c>
      <c r="J1070" s="31">
        <v>6</v>
      </c>
      <c r="K1070" s="31">
        <v>0</v>
      </c>
      <c r="L1070" s="31">
        <v>0</v>
      </c>
      <c r="M1070" s="31">
        <v>0</v>
      </c>
      <c r="N1070" s="31">
        <v>0</v>
      </c>
      <c r="O1070" s="31">
        <v>3</v>
      </c>
      <c r="P1070" s="31">
        <v>3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2</v>
      </c>
      <c r="Z1070" s="31">
        <v>2</v>
      </c>
      <c r="AA1070" s="31">
        <v>0</v>
      </c>
      <c r="AB1070" s="31">
        <v>25</v>
      </c>
    </row>
    <row r="1071" spans="1:28" ht="29.25" customHeight="1" x14ac:dyDescent="0.2">
      <c r="A1071" s="145"/>
      <c r="B1071" s="141" t="s">
        <v>765</v>
      </c>
      <c r="C1071" s="142"/>
      <c r="D1071" s="142"/>
      <c r="E1071" s="142"/>
      <c r="F1071" s="142"/>
      <c r="G1071" s="143"/>
      <c r="H1071" s="20">
        <v>31</v>
      </c>
      <c r="I1071" s="31">
        <v>303</v>
      </c>
      <c r="J1071" s="31">
        <v>10</v>
      </c>
      <c r="K1071" s="31">
        <v>1</v>
      </c>
      <c r="L1071" s="31">
        <v>0</v>
      </c>
      <c r="M1071" s="31">
        <v>1</v>
      </c>
      <c r="N1071" s="31">
        <v>0</v>
      </c>
      <c r="O1071" s="31">
        <v>3</v>
      </c>
      <c r="P1071" s="31">
        <v>3</v>
      </c>
      <c r="Q1071" s="31">
        <v>0</v>
      </c>
      <c r="R1071" s="31">
        <v>0</v>
      </c>
      <c r="S1071" s="31">
        <v>0</v>
      </c>
      <c r="T1071" s="31">
        <v>0</v>
      </c>
      <c r="U1071" s="31">
        <v>1</v>
      </c>
      <c r="V1071" s="31">
        <v>0</v>
      </c>
      <c r="W1071" s="31">
        <v>1</v>
      </c>
      <c r="X1071" s="31">
        <v>0</v>
      </c>
      <c r="Y1071" s="31">
        <v>19</v>
      </c>
      <c r="Z1071" s="31">
        <v>19</v>
      </c>
      <c r="AA1071" s="31">
        <v>0</v>
      </c>
      <c r="AB1071" s="31">
        <v>299</v>
      </c>
    </row>
    <row r="1072" spans="1:28" ht="27.2" customHeight="1" x14ac:dyDescent="0.2">
      <c r="A1072" s="145"/>
      <c r="B1072" s="141" t="s">
        <v>766</v>
      </c>
      <c r="C1072" s="142"/>
      <c r="D1072" s="142"/>
      <c r="E1072" s="142"/>
      <c r="F1072" s="142"/>
      <c r="G1072" s="143"/>
      <c r="H1072" s="20">
        <v>32</v>
      </c>
      <c r="I1072" s="31">
        <v>1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1</v>
      </c>
    </row>
    <row r="1073" spans="1:28" ht="21.75" customHeight="1" x14ac:dyDescent="0.2">
      <c r="A1073" s="145"/>
      <c r="B1073" s="141" t="s">
        <v>767</v>
      </c>
      <c r="C1073" s="142"/>
      <c r="D1073" s="142"/>
      <c r="E1073" s="142"/>
      <c r="F1073" s="142"/>
      <c r="G1073" s="143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45"/>
      <c r="B1074" s="141" t="s">
        <v>768</v>
      </c>
      <c r="C1074" s="142"/>
      <c r="D1074" s="142"/>
      <c r="E1074" s="142"/>
      <c r="F1074" s="142"/>
      <c r="G1074" s="143"/>
      <c r="H1074" s="20">
        <v>34</v>
      </c>
      <c r="I1074" s="31">
        <v>5</v>
      </c>
      <c r="J1074" s="31">
        <v>1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5</v>
      </c>
    </row>
    <row r="1075" spans="1:28" ht="27.2" customHeight="1" x14ac:dyDescent="0.2">
      <c r="A1075" s="145"/>
      <c r="B1075" s="141" t="s">
        <v>769</v>
      </c>
      <c r="C1075" s="142"/>
      <c r="D1075" s="142"/>
      <c r="E1075" s="142"/>
      <c r="F1075" s="142"/>
      <c r="G1075" s="143"/>
      <c r="H1075" s="20">
        <v>35</v>
      </c>
      <c r="I1075" s="31">
        <v>11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11</v>
      </c>
    </row>
    <row r="1076" spans="1:28" ht="27.2" customHeight="1" x14ac:dyDescent="0.2">
      <c r="A1076" s="145"/>
      <c r="B1076" s="141" t="s">
        <v>770</v>
      </c>
      <c r="C1076" s="142"/>
      <c r="D1076" s="142"/>
      <c r="E1076" s="142"/>
      <c r="F1076" s="142"/>
      <c r="G1076" s="143"/>
      <c r="H1076" s="20">
        <v>36</v>
      </c>
      <c r="I1076" s="31">
        <v>5</v>
      </c>
      <c r="J1076" s="31">
        <v>1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5</v>
      </c>
    </row>
    <row r="1077" spans="1:28" ht="27.2" customHeight="1" x14ac:dyDescent="0.2">
      <c r="A1077" s="145"/>
      <c r="B1077" s="141" t="s">
        <v>771</v>
      </c>
      <c r="C1077" s="142"/>
      <c r="D1077" s="142"/>
      <c r="E1077" s="142"/>
      <c r="F1077" s="142"/>
      <c r="G1077" s="143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45"/>
      <c r="B1078" s="141" t="s">
        <v>772</v>
      </c>
      <c r="C1078" s="142"/>
      <c r="D1078" s="142"/>
      <c r="E1078" s="142"/>
      <c r="F1078" s="142"/>
      <c r="G1078" s="143"/>
      <c r="H1078" s="20">
        <v>38</v>
      </c>
      <c r="I1078" s="31">
        <v>2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2</v>
      </c>
    </row>
    <row r="1079" spans="1:28" ht="27.75" customHeight="1" x14ac:dyDescent="0.2">
      <c r="A1079" s="145"/>
      <c r="B1079" s="141" t="s">
        <v>773</v>
      </c>
      <c r="C1079" s="142"/>
      <c r="D1079" s="142"/>
      <c r="E1079" s="142"/>
      <c r="F1079" s="142"/>
      <c r="G1079" s="143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45"/>
      <c r="B1080" s="141" t="s">
        <v>774</v>
      </c>
      <c r="C1080" s="142"/>
      <c r="D1080" s="142"/>
      <c r="E1080" s="142"/>
      <c r="F1080" s="142"/>
      <c r="G1080" s="143"/>
      <c r="H1080" s="20">
        <v>40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45"/>
      <c r="B1081" s="190" t="s">
        <v>32</v>
      </c>
      <c r="C1081" s="138" t="s">
        <v>775</v>
      </c>
      <c r="D1081" s="139"/>
      <c r="E1081" s="139"/>
      <c r="F1081" s="139"/>
      <c r="G1081" s="140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45"/>
      <c r="B1082" s="191"/>
      <c r="C1082" s="139" t="s">
        <v>776</v>
      </c>
      <c r="D1082" s="139"/>
      <c r="E1082" s="139"/>
      <c r="F1082" s="139"/>
      <c r="G1082" s="140"/>
      <c r="H1082" s="20">
        <v>42</v>
      </c>
      <c r="I1082" s="54">
        <v>0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4.75" customHeight="1" x14ac:dyDescent="0.2">
      <c r="A1083" s="145"/>
      <c r="B1083" s="174" t="s">
        <v>777</v>
      </c>
      <c r="C1083" s="175"/>
      <c r="D1083" s="175"/>
      <c r="E1083" s="175"/>
      <c r="F1083" s="175"/>
      <c r="G1083" s="176"/>
      <c r="H1083" s="20">
        <v>43</v>
      </c>
      <c r="I1083" s="31">
        <v>11</v>
      </c>
      <c r="J1083" s="31">
        <v>1</v>
      </c>
      <c r="K1083" s="31">
        <v>0</v>
      </c>
      <c r="L1083" s="31">
        <v>0</v>
      </c>
      <c r="M1083" s="31">
        <v>0</v>
      </c>
      <c r="N1083" s="31">
        <v>0</v>
      </c>
      <c r="O1083" s="31">
        <v>1</v>
      </c>
      <c r="P1083" s="31">
        <v>1</v>
      </c>
      <c r="Q1083" s="31">
        <v>0</v>
      </c>
      <c r="R1083" s="31">
        <v>0</v>
      </c>
      <c r="S1083" s="31">
        <v>0</v>
      </c>
      <c r="T1083" s="31">
        <v>0</v>
      </c>
      <c r="U1083" s="31">
        <v>1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10</v>
      </c>
    </row>
    <row r="1084" spans="1:28" ht="24" customHeight="1" x14ac:dyDescent="0.2">
      <c r="A1084" s="146"/>
      <c r="B1084" s="138" t="s">
        <v>778</v>
      </c>
      <c r="C1084" s="139"/>
      <c r="D1084" s="139"/>
      <c r="E1084" s="139"/>
      <c r="F1084" s="139"/>
      <c r="G1084" s="140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8" t="s">
        <v>115</v>
      </c>
      <c r="B1085" s="139"/>
      <c r="C1085" s="139"/>
      <c r="D1085" s="139"/>
      <c r="E1085" s="139"/>
      <c r="F1085" s="139"/>
      <c r="G1085" s="140"/>
      <c r="H1085" s="20">
        <v>45</v>
      </c>
      <c r="I1085" s="31">
        <f t="shared" ref="I1085:AB1085" si="21">SUM(I1040:I1044,I1046:I1084)</f>
        <v>330961</v>
      </c>
      <c r="J1085" s="31">
        <f t="shared" si="21"/>
        <v>12288</v>
      </c>
      <c r="K1085" s="31">
        <f t="shared" si="21"/>
        <v>804</v>
      </c>
      <c r="L1085" s="31">
        <f t="shared" si="21"/>
        <v>6</v>
      </c>
      <c r="M1085" s="31">
        <f t="shared" si="21"/>
        <v>798</v>
      </c>
      <c r="N1085" s="31">
        <f t="shared" si="21"/>
        <v>0</v>
      </c>
      <c r="O1085" s="31">
        <f t="shared" si="21"/>
        <v>9975</v>
      </c>
      <c r="P1085" s="31">
        <f t="shared" si="21"/>
        <v>4551</v>
      </c>
      <c r="Q1085" s="31">
        <f t="shared" si="21"/>
        <v>5421</v>
      </c>
      <c r="R1085" s="31">
        <f t="shared" si="21"/>
        <v>0</v>
      </c>
      <c r="S1085" s="31">
        <f t="shared" si="21"/>
        <v>3</v>
      </c>
      <c r="T1085" s="31">
        <f t="shared" si="21"/>
        <v>0</v>
      </c>
      <c r="U1085" s="31">
        <f t="shared" si="21"/>
        <v>243</v>
      </c>
      <c r="V1085" s="31">
        <f t="shared" si="21"/>
        <v>252</v>
      </c>
      <c r="W1085" s="31">
        <f t="shared" si="21"/>
        <v>9</v>
      </c>
      <c r="X1085" s="31">
        <f t="shared" si="21"/>
        <v>6</v>
      </c>
      <c r="Y1085" s="31">
        <f t="shared" si="21"/>
        <v>1973</v>
      </c>
      <c r="Z1085" s="31">
        <f t="shared" si="21"/>
        <v>1964</v>
      </c>
      <c r="AA1085" s="31">
        <f t="shared" si="21"/>
        <v>0</v>
      </c>
      <c r="AB1085" s="31">
        <f t="shared" si="21"/>
        <v>320173</v>
      </c>
    </row>
    <row r="1086" spans="1:28" ht="19.5" customHeight="1" x14ac:dyDescent="0.2"/>
    <row r="1087" spans="1:28" ht="29.25" customHeight="1" x14ac:dyDescent="0.25">
      <c r="A1087" s="177" t="s">
        <v>779</v>
      </c>
      <c r="B1087" s="177"/>
      <c r="C1087" s="177"/>
      <c r="D1087" s="177"/>
      <c r="E1087" s="177"/>
      <c r="F1087" s="177"/>
      <c r="G1087" s="177"/>
      <c r="H1087" s="177"/>
      <c r="I1087" s="177"/>
      <c r="J1087" s="177"/>
      <c r="K1087" s="177"/>
      <c r="L1087" s="177"/>
      <c r="M1087" s="177"/>
      <c r="N1087" s="177"/>
      <c r="O1087" s="177"/>
      <c r="P1087" s="177"/>
      <c r="Q1087" s="177"/>
      <c r="R1087" s="177"/>
      <c r="S1087" s="177"/>
      <c r="T1087" s="177"/>
      <c r="U1087" s="177"/>
      <c r="V1087" s="177"/>
      <c r="W1087" s="177"/>
      <c r="X1087" s="177"/>
    </row>
    <row r="1088" spans="1:28" ht="32.25" customHeight="1" x14ac:dyDescent="0.2">
      <c r="A1088" s="178"/>
      <c r="B1088" s="179"/>
      <c r="C1088" s="179"/>
      <c r="D1088" s="179"/>
      <c r="E1088" s="179"/>
      <c r="F1088" s="179"/>
      <c r="G1088" s="180"/>
      <c r="H1088" s="187" t="s">
        <v>15</v>
      </c>
      <c r="I1088" s="168" t="s">
        <v>1148</v>
      </c>
      <c r="J1088" s="168" t="s">
        <v>16</v>
      </c>
      <c r="K1088" s="168" t="s">
        <v>17</v>
      </c>
      <c r="L1088" s="171" t="s">
        <v>18</v>
      </c>
      <c r="M1088" s="172"/>
      <c r="N1088" s="173"/>
      <c r="O1088" s="168" t="s">
        <v>19</v>
      </c>
      <c r="P1088" s="171" t="s">
        <v>20</v>
      </c>
      <c r="Q1088" s="172"/>
      <c r="R1088" s="172"/>
      <c r="S1088" s="173"/>
      <c r="T1088" s="168" t="s">
        <v>21</v>
      </c>
      <c r="U1088" s="171" t="s">
        <v>22</v>
      </c>
      <c r="V1088" s="172"/>
      <c r="W1088" s="172"/>
      <c r="X1088" s="173"/>
      <c r="Y1088" s="171" t="s">
        <v>23</v>
      </c>
      <c r="Z1088" s="172"/>
      <c r="AA1088" s="173"/>
      <c r="AB1088" s="168" t="s">
        <v>24</v>
      </c>
    </row>
    <row r="1089" spans="1:28" ht="28.5" customHeight="1" x14ac:dyDescent="0.2">
      <c r="A1089" s="181"/>
      <c r="B1089" s="182"/>
      <c r="C1089" s="182"/>
      <c r="D1089" s="182"/>
      <c r="E1089" s="182"/>
      <c r="F1089" s="182"/>
      <c r="G1089" s="183"/>
      <c r="H1089" s="188"/>
      <c r="I1089" s="170"/>
      <c r="J1089" s="170"/>
      <c r="K1089" s="170"/>
      <c r="L1089" s="168" t="s">
        <v>25</v>
      </c>
      <c r="M1089" s="168" t="s">
        <v>26</v>
      </c>
      <c r="N1089" s="168" t="s">
        <v>27</v>
      </c>
      <c r="O1089" s="170"/>
      <c r="P1089" s="168" t="s">
        <v>28</v>
      </c>
      <c r="Q1089" s="168" t="s">
        <v>29</v>
      </c>
      <c r="R1089" s="168" t="s">
        <v>30</v>
      </c>
      <c r="S1089" s="168" t="s">
        <v>31</v>
      </c>
      <c r="T1089" s="170"/>
      <c r="U1089" s="171" t="s">
        <v>32</v>
      </c>
      <c r="V1089" s="172"/>
      <c r="W1089" s="172"/>
      <c r="X1089" s="173"/>
      <c r="Y1089" s="168" t="s">
        <v>33</v>
      </c>
      <c r="Z1089" s="171" t="s">
        <v>34</v>
      </c>
      <c r="AA1089" s="173"/>
      <c r="AB1089" s="170"/>
    </row>
    <row r="1090" spans="1:28" ht="77.25" customHeight="1" x14ac:dyDescent="0.2">
      <c r="A1090" s="184"/>
      <c r="B1090" s="185"/>
      <c r="C1090" s="185"/>
      <c r="D1090" s="185"/>
      <c r="E1090" s="185"/>
      <c r="F1090" s="185"/>
      <c r="G1090" s="186"/>
      <c r="H1090" s="189"/>
      <c r="I1090" s="169"/>
      <c r="J1090" s="169"/>
      <c r="K1090" s="169"/>
      <c r="L1090" s="169"/>
      <c r="M1090" s="169"/>
      <c r="N1090" s="169"/>
      <c r="O1090" s="169"/>
      <c r="P1090" s="169"/>
      <c r="Q1090" s="169"/>
      <c r="R1090" s="169"/>
      <c r="S1090" s="169"/>
      <c r="T1090" s="169"/>
      <c r="U1090" s="19" t="s">
        <v>35</v>
      </c>
      <c r="V1090" s="16" t="s">
        <v>36</v>
      </c>
      <c r="W1090" s="16" t="s">
        <v>37</v>
      </c>
      <c r="X1090" s="16" t="s">
        <v>38</v>
      </c>
      <c r="Y1090" s="169"/>
      <c r="Z1090" s="18" t="s">
        <v>39</v>
      </c>
      <c r="AA1090" s="17" t="s">
        <v>40</v>
      </c>
      <c r="AB1090" s="169"/>
    </row>
    <row r="1091" spans="1:28" ht="13.5" customHeight="1" x14ac:dyDescent="0.2">
      <c r="A1091" s="150" t="s">
        <v>41</v>
      </c>
      <c r="B1091" s="151"/>
      <c r="C1091" s="151"/>
      <c r="D1091" s="151"/>
      <c r="E1091" s="151"/>
      <c r="F1091" s="151"/>
      <c r="G1091" s="152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53" t="s">
        <v>43</v>
      </c>
      <c r="B1092" s="154"/>
      <c r="C1092" s="154"/>
      <c r="D1092" s="154"/>
      <c r="E1092" s="154"/>
      <c r="F1092" s="154"/>
      <c r="G1092" s="155"/>
      <c r="H1092" s="23">
        <v>1</v>
      </c>
      <c r="I1092" s="31">
        <v>22338</v>
      </c>
      <c r="J1092" s="31">
        <v>453</v>
      </c>
      <c r="K1092" s="31">
        <v>40</v>
      </c>
      <c r="L1092" s="31">
        <v>0</v>
      </c>
      <c r="M1092" s="31">
        <v>40</v>
      </c>
      <c r="N1092" s="31">
        <v>0</v>
      </c>
      <c r="O1092" s="31">
        <v>326</v>
      </c>
      <c r="P1092" s="31">
        <v>318</v>
      </c>
      <c r="Q1092" s="31">
        <v>0</v>
      </c>
      <c r="R1092" s="31">
        <v>8</v>
      </c>
      <c r="S1092" s="31">
        <v>0</v>
      </c>
      <c r="T1092" s="31">
        <v>0</v>
      </c>
      <c r="U1092" s="31">
        <v>15</v>
      </c>
      <c r="V1092" s="31">
        <v>4</v>
      </c>
      <c r="W1092" s="31">
        <v>2</v>
      </c>
      <c r="X1092" s="31">
        <v>0</v>
      </c>
      <c r="Y1092" s="31">
        <v>5</v>
      </c>
      <c r="Z1092" s="31">
        <v>5</v>
      </c>
      <c r="AA1092" s="31">
        <v>0</v>
      </c>
      <c r="AB1092" s="31">
        <v>21972</v>
      </c>
    </row>
    <row r="1093" spans="1:28" ht="20.25" customHeight="1" x14ac:dyDescent="0.2">
      <c r="A1093" s="156" t="s">
        <v>20</v>
      </c>
      <c r="B1093" s="157"/>
      <c r="C1093" s="158"/>
      <c r="D1093" s="165" t="s">
        <v>51</v>
      </c>
      <c r="E1093" s="166"/>
      <c r="F1093" s="166"/>
      <c r="G1093" s="167"/>
      <c r="H1093" s="23">
        <v>2</v>
      </c>
      <c r="I1093" s="31">
        <v>21593</v>
      </c>
      <c r="J1093" s="31">
        <v>19</v>
      </c>
      <c r="K1093" s="31">
        <v>0</v>
      </c>
      <c r="L1093" s="31">
        <v>0</v>
      </c>
      <c r="M1093" s="31">
        <v>0</v>
      </c>
      <c r="N1093" s="31">
        <v>0</v>
      </c>
      <c r="O1093" s="31">
        <v>8</v>
      </c>
      <c r="P1093" s="31">
        <v>8</v>
      </c>
      <c r="Q1093" s="31">
        <v>0</v>
      </c>
      <c r="R1093" s="31">
        <v>0</v>
      </c>
      <c r="S1093" s="31">
        <v>0</v>
      </c>
      <c r="T1093" s="31">
        <v>0</v>
      </c>
      <c r="U1093" s="31">
        <v>1</v>
      </c>
      <c r="V1093" s="31">
        <v>2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21585</v>
      </c>
    </row>
    <row r="1094" spans="1:28" ht="20.25" customHeight="1" x14ac:dyDescent="0.2">
      <c r="A1094" s="159"/>
      <c r="B1094" s="160"/>
      <c r="C1094" s="161"/>
      <c r="D1094" s="165" t="s">
        <v>52</v>
      </c>
      <c r="E1094" s="166"/>
      <c r="F1094" s="166"/>
      <c r="G1094" s="167"/>
      <c r="H1094" s="23">
        <v>3</v>
      </c>
      <c r="I1094" s="31">
        <v>443</v>
      </c>
      <c r="J1094" s="31">
        <v>298</v>
      </c>
      <c r="K1094" s="31">
        <v>39</v>
      </c>
      <c r="L1094" s="31">
        <v>0</v>
      </c>
      <c r="M1094" s="31">
        <v>39</v>
      </c>
      <c r="N1094" s="31">
        <v>0</v>
      </c>
      <c r="O1094" s="31">
        <v>208</v>
      </c>
      <c r="P1094" s="31">
        <v>200</v>
      </c>
      <c r="Q1094" s="31">
        <v>0</v>
      </c>
      <c r="R1094" s="31">
        <v>8</v>
      </c>
      <c r="S1094" s="31">
        <v>0</v>
      </c>
      <c r="T1094" s="31">
        <v>0</v>
      </c>
      <c r="U1094" s="31">
        <v>9</v>
      </c>
      <c r="V1094" s="31">
        <v>1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196</v>
      </c>
    </row>
    <row r="1095" spans="1:28" ht="20.25" customHeight="1" x14ac:dyDescent="0.2">
      <c r="A1095" s="159"/>
      <c r="B1095" s="160"/>
      <c r="C1095" s="161"/>
      <c r="D1095" s="165" t="s">
        <v>182</v>
      </c>
      <c r="E1095" s="166"/>
      <c r="F1095" s="166"/>
      <c r="G1095" s="166"/>
      <c r="H1095" s="23">
        <v>4</v>
      </c>
      <c r="I1095" s="31">
        <v>301</v>
      </c>
      <c r="J1095" s="31">
        <v>136</v>
      </c>
      <c r="K1095" s="31">
        <v>1</v>
      </c>
      <c r="L1095" s="31">
        <v>0</v>
      </c>
      <c r="M1095" s="31">
        <v>1</v>
      </c>
      <c r="N1095" s="31">
        <v>0</v>
      </c>
      <c r="O1095" s="31">
        <v>110</v>
      </c>
      <c r="P1095" s="31">
        <v>110</v>
      </c>
      <c r="Q1095" s="31">
        <v>0</v>
      </c>
      <c r="R1095" s="31">
        <v>0</v>
      </c>
      <c r="S1095" s="31">
        <v>0</v>
      </c>
      <c r="T1095" s="31">
        <v>0</v>
      </c>
      <c r="U1095" s="31">
        <v>5</v>
      </c>
      <c r="V1095" s="31">
        <v>1</v>
      </c>
      <c r="W1095" s="31">
        <v>2</v>
      </c>
      <c r="X1095" s="31">
        <v>0</v>
      </c>
      <c r="Y1095" s="31">
        <v>5</v>
      </c>
      <c r="Z1095" s="31">
        <v>5</v>
      </c>
      <c r="AA1095" s="31">
        <v>0</v>
      </c>
      <c r="AB1095" s="31">
        <v>190</v>
      </c>
    </row>
    <row r="1096" spans="1:28" ht="20.25" customHeight="1" x14ac:dyDescent="0.2">
      <c r="A1096" s="162"/>
      <c r="B1096" s="163"/>
      <c r="C1096" s="164"/>
      <c r="D1096" s="165" t="s">
        <v>49</v>
      </c>
      <c r="E1096" s="166"/>
      <c r="F1096" s="166"/>
      <c r="G1096" s="166"/>
      <c r="H1096" s="23">
        <v>5</v>
      </c>
      <c r="I1096" s="31">
        <v>1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1</v>
      </c>
    </row>
    <row r="1097" spans="1:28" ht="25.5" customHeight="1" x14ac:dyDescent="0.2">
      <c r="A1097" s="144" t="s">
        <v>165</v>
      </c>
      <c r="B1097" s="138" t="s">
        <v>780</v>
      </c>
      <c r="C1097" s="139"/>
      <c r="D1097" s="139"/>
      <c r="E1097" s="139"/>
      <c r="F1097" s="139"/>
      <c r="G1097" s="140"/>
      <c r="H1097" s="23">
        <v>6</v>
      </c>
      <c r="I1097" s="31">
        <v>8</v>
      </c>
      <c r="J1097" s="31">
        <v>6</v>
      </c>
      <c r="K1097" s="31">
        <v>0</v>
      </c>
      <c r="L1097" s="31">
        <v>0</v>
      </c>
      <c r="M1097" s="31">
        <v>0</v>
      </c>
      <c r="N1097" s="31">
        <v>0</v>
      </c>
      <c r="O1097" s="31">
        <v>4</v>
      </c>
      <c r="P1097" s="31">
        <v>4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4</v>
      </c>
    </row>
    <row r="1098" spans="1:28" ht="53.25" customHeight="1" x14ac:dyDescent="0.2">
      <c r="A1098" s="145"/>
      <c r="B1098" s="138" t="s">
        <v>781</v>
      </c>
      <c r="C1098" s="139"/>
      <c r="D1098" s="139"/>
      <c r="E1098" s="139"/>
      <c r="F1098" s="139"/>
      <c r="G1098" s="140"/>
      <c r="H1098" s="23">
        <v>7</v>
      </c>
      <c r="I1098" s="31">
        <v>138</v>
      </c>
      <c r="J1098" s="31">
        <v>100</v>
      </c>
      <c r="K1098" s="31">
        <v>0</v>
      </c>
      <c r="L1098" s="31">
        <v>0</v>
      </c>
      <c r="M1098" s="31">
        <v>0</v>
      </c>
      <c r="N1098" s="31">
        <v>0</v>
      </c>
      <c r="O1098" s="31">
        <v>89</v>
      </c>
      <c r="P1098" s="31">
        <v>82</v>
      </c>
      <c r="Q1098" s="31">
        <v>0</v>
      </c>
      <c r="R1098" s="31">
        <v>7</v>
      </c>
      <c r="S1098" s="31">
        <v>0</v>
      </c>
      <c r="T1098" s="31">
        <v>0</v>
      </c>
      <c r="U1098" s="31">
        <v>0</v>
      </c>
      <c r="V1098" s="31">
        <v>0</v>
      </c>
      <c r="W1098" s="31">
        <v>1</v>
      </c>
      <c r="X1098" s="31">
        <v>0</v>
      </c>
      <c r="Y1098" s="31">
        <v>5</v>
      </c>
      <c r="Z1098" s="31">
        <v>5</v>
      </c>
      <c r="AA1098" s="31">
        <v>0</v>
      </c>
      <c r="AB1098" s="31">
        <v>49</v>
      </c>
    </row>
    <row r="1099" spans="1:28" ht="45" customHeight="1" x14ac:dyDescent="0.2">
      <c r="A1099" s="145"/>
      <c r="B1099" s="138" t="s">
        <v>782</v>
      </c>
      <c r="C1099" s="139"/>
      <c r="D1099" s="139"/>
      <c r="E1099" s="139"/>
      <c r="F1099" s="139"/>
      <c r="G1099" s="140"/>
      <c r="H1099" s="23">
        <v>8</v>
      </c>
      <c r="I1099" s="31">
        <v>597</v>
      </c>
      <c r="J1099" s="31">
        <v>328</v>
      </c>
      <c r="K1099" s="31">
        <v>40</v>
      </c>
      <c r="L1099" s="31">
        <v>0</v>
      </c>
      <c r="M1099" s="31">
        <v>40</v>
      </c>
      <c r="N1099" s="31">
        <v>0</v>
      </c>
      <c r="O1099" s="31">
        <v>225</v>
      </c>
      <c r="P1099" s="31">
        <v>224</v>
      </c>
      <c r="Q1099" s="31">
        <v>0</v>
      </c>
      <c r="R1099" s="31">
        <v>1</v>
      </c>
      <c r="S1099" s="31">
        <v>0</v>
      </c>
      <c r="T1099" s="31">
        <v>0</v>
      </c>
      <c r="U1099" s="31">
        <v>14</v>
      </c>
      <c r="V1099" s="31">
        <v>2</v>
      </c>
      <c r="W1099" s="31">
        <v>1</v>
      </c>
      <c r="X1099" s="31">
        <v>0</v>
      </c>
      <c r="Y1099" s="31">
        <v>0</v>
      </c>
      <c r="Z1099" s="31">
        <v>0</v>
      </c>
      <c r="AA1099" s="31">
        <v>0</v>
      </c>
      <c r="AB1099" s="31">
        <v>332</v>
      </c>
    </row>
    <row r="1100" spans="1:28" ht="27.2" customHeight="1" x14ac:dyDescent="0.2">
      <c r="A1100" s="145"/>
      <c r="B1100" s="138" t="s">
        <v>1145</v>
      </c>
      <c r="C1100" s="139"/>
      <c r="D1100" s="139"/>
      <c r="E1100" s="139"/>
      <c r="F1100" s="139"/>
      <c r="G1100" s="140"/>
      <c r="H1100" s="23">
        <v>9</v>
      </c>
      <c r="I1100" s="31">
        <v>2</v>
      </c>
      <c r="J1100" s="31">
        <v>0</v>
      </c>
      <c r="K1100" s="31">
        <v>0</v>
      </c>
      <c r="L1100" s="31">
        <v>0</v>
      </c>
      <c r="M1100" s="31">
        <v>0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2</v>
      </c>
    </row>
    <row r="1101" spans="1:28" ht="25.5" customHeight="1" x14ac:dyDescent="0.2">
      <c r="A1101" s="145"/>
      <c r="B1101" s="147" t="s">
        <v>1146</v>
      </c>
      <c r="C1101" s="148"/>
      <c r="D1101" s="148"/>
      <c r="E1101" s="148"/>
      <c r="F1101" s="148"/>
      <c r="G1101" s="149"/>
      <c r="H1101" s="23">
        <v>10</v>
      </c>
      <c r="I1101" s="31">
        <v>21590</v>
      </c>
      <c r="J1101" s="31">
        <v>19</v>
      </c>
      <c r="K1101" s="31">
        <v>0</v>
      </c>
      <c r="L1101" s="31">
        <v>0</v>
      </c>
      <c r="M1101" s="31">
        <v>0</v>
      </c>
      <c r="N1101" s="31">
        <v>0</v>
      </c>
      <c r="O1101" s="31">
        <v>8</v>
      </c>
      <c r="P1101" s="31">
        <v>8</v>
      </c>
      <c r="Q1101" s="31">
        <v>0</v>
      </c>
      <c r="R1101" s="31">
        <v>0</v>
      </c>
      <c r="S1101" s="31">
        <v>0</v>
      </c>
      <c r="T1101" s="31">
        <v>0</v>
      </c>
      <c r="U1101" s="31">
        <v>1</v>
      </c>
      <c r="V1101" s="31">
        <v>2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21582</v>
      </c>
    </row>
    <row r="1102" spans="1:28" ht="30.75" customHeight="1" x14ac:dyDescent="0.2">
      <c r="A1102" s="145"/>
      <c r="B1102" s="100" t="s">
        <v>34</v>
      </c>
      <c r="C1102" s="147" t="s">
        <v>1147</v>
      </c>
      <c r="D1102" s="148"/>
      <c r="E1102" s="148"/>
      <c r="F1102" s="148"/>
      <c r="G1102" s="149"/>
      <c r="H1102" s="23">
        <v>11</v>
      </c>
      <c r="I1102" s="31">
        <v>887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887</v>
      </c>
    </row>
    <row r="1103" spans="1:28" ht="25.5" customHeight="1" x14ac:dyDescent="0.2">
      <c r="A1103" s="145"/>
      <c r="B1103" s="138" t="s">
        <v>783</v>
      </c>
      <c r="C1103" s="139"/>
      <c r="D1103" s="139"/>
      <c r="E1103" s="139"/>
      <c r="F1103" s="139"/>
      <c r="G1103" s="140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45"/>
      <c r="B1104" s="138" t="s">
        <v>784</v>
      </c>
      <c r="C1104" s="139"/>
      <c r="D1104" s="139"/>
      <c r="E1104" s="139"/>
      <c r="F1104" s="139"/>
      <c r="G1104" s="140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45"/>
      <c r="B1105" s="138" t="s">
        <v>785</v>
      </c>
      <c r="C1105" s="139"/>
      <c r="D1105" s="139"/>
      <c r="E1105" s="139"/>
      <c r="F1105" s="139"/>
      <c r="G1105" s="140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45"/>
      <c r="B1106" s="138" t="s">
        <v>786</v>
      </c>
      <c r="C1106" s="139"/>
      <c r="D1106" s="139"/>
      <c r="E1106" s="139"/>
      <c r="F1106" s="139"/>
      <c r="G1106" s="140"/>
      <c r="H1106" s="23">
        <v>15</v>
      </c>
      <c r="I1106" s="31">
        <v>2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2</v>
      </c>
    </row>
    <row r="1107" spans="1:28" ht="27.2" customHeight="1" x14ac:dyDescent="0.2">
      <c r="A1107" s="145"/>
      <c r="B1107" s="138" t="s">
        <v>787</v>
      </c>
      <c r="C1107" s="139"/>
      <c r="D1107" s="139"/>
      <c r="E1107" s="139"/>
      <c r="F1107" s="139"/>
      <c r="G1107" s="140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45"/>
      <c r="B1108" s="138" t="s">
        <v>788</v>
      </c>
      <c r="C1108" s="139"/>
      <c r="D1108" s="139"/>
      <c r="E1108" s="139"/>
      <c r="F1108" s="139"/>
      <c r="G1108" s="140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45"/>
      <c r="B1109" s="138" t="s">
        <v>789</v>
      </c>
      <c r="C1109" s="139"/>
      <c r="D1109" s="139"/>
      <c r="E1109" s="139"/>
      <c r="F1109" s="139"/>
      <c r="G1109" s="140"/>
      <c r="H1109" s="23">
        <v>18</v>
      </c>
      <c r="I1109" s="31">
        <v>1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1</v>
      </c>
    </row>
    <row r="1110" spans="1:28" ht="27.2" customHeight="1" x14ac:dyDescent="0.2">
      <c r="A1110" s="145"/>
      <c r="B1110" s="141" t="s">
        <v>790</v>
      </c>
      <c r="C1110" s="142"/>
      <c r="D1110" s="142"/>
      <c r="E1110" s="142"/>
      <c r="F1110" s="142"/>
      <c r="G1110" s="143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6"/>
      <c r="B1111" s="141" t="s">
        <v>791</v>
      </c>
      <c r="C1111" s="142"/>
      <c r="D1111" s="142"/>
      <c r="E1111" s="142"/>
      <c r="F1111" s="142"/>
      <c r="G1111" s="143"/>
      <c r="H1111" s="23">
        <v>20</v>
      </c>
      <c r="I1111" s="31">
        <v>0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0</v>
      </c>
    </row>
    <row r="1112" spans="1:28" ht="21.75" customHeight="1" x14ac:dyDescent="0.2">
      <c r="A1112" s="135" t="s">
        <v>792</v>
      </c>
      <c r="B1112" s="136"/>
      <c r="C1112" s="136"/>
      <c r="D1112" s="136"/>
      <c r="E1112" s="136"/>
      <c r="F1112" s="136"/>
      <c r="G1112" s="137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35" t="s">
        <v>115</v>
      </c>
      <c r="B1113" s="136"/>
      <c r="C1113" s="136"/>
      <c r="D1113" s="136"/>
      <c r="E1113" s="136"/>
      <c r="F1113" s="136"/>
      <c r="G1113" s="137"/>
      <c r="H1113" s="23">
        <v>22</v>
      </c>
      <c r="I1113" s="31">
        <f t="shared" ref="I1113:AB1113" si="22">SUM(I1092:I1112)</f>
        <v>67901</v>
      </c>
      <c r="J1113" s="31">
        <f t="shared" si="22"/>
        <v>1359</v>
      </c>
      <c r="K1113" s="31">
        <f t="shared" si="22"/>
        <v>120</v>
      </c>
      <c r="L1113" s="31">
        <f t="shared" si="22"/>
        <v>0</v>
      </c>
      <c r="M1113" s="31">
        <f t="shared" si="22"/>
        <v>120</v>
      </c>
      <c r="N1113" s="31">
        <f t="shared" si="22"/>
        <v>0</v>
      </c>
      <c r="O1113" s="31">
        <f t="shared" si="22"/>
        <v>978</v>
      </c>
      <c r="P1113" s="31">
        <f t="shared" si="22"/>
        <v>954</v>
      </c>
      <c r="Q1113" s="31">
        <f t="shared" si="22"/>
        <v>0</v>
      </c>
      <c r="R1113" s="31">
        <f t="shared" si="22"/>
        <v>24</v>
      </c>
      <c r="S1113" s="31">
        <f t="shared" si="22"/>
        <v>0</v>
      </c>
      <c r="T1113" s="31">
        <f t="shared" si="22"/>
        <v>0</v>
      </c>
      <c r="U1113" s="31">
        <f t="shared" si="22"/>
        <v>45</v>
      </c>
      <c r="V1113" s="31">
        <f t="shared" si="22"/>
        <v>12</v>
      </c>
      <c r="W1113" s="31">
        <f t="shared" si="22"/>
        <v>6</v>
      </c>
      <c r="X1113" s="31">
        <f t="shared" si="22"/>
        <v>0</v>
      </c>
      <c r="Y1113" s="31">
        <f t="shared" si="22"/>
        <v>15</v>
      </c>
      <c r="Z1113" s="31">
        <f t="shared" si="22"/>
        <v>15</v>
      </c>
      <c r="AA1113" s="31">
        <f t="shared" si="22"/>
        <v>0</v>
      </c>
      <c r="AB1113" s="31">
        <f t="shared" si="22"/>
        <v>66803</v>
      </c>
    </row>
    <row r="1114" spans="1:28" ht="32.25" customHeight="1" x14ac:dyDescent="0.2">
      <c r="A1114" t="s">
        <v>793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30 O230 Y230">
    <cfRule type="expression" dxfId="204" priority="0">
      <formula>SUM(I231:I232)&lt;&gt;I230</formula>
    </cfRule>
  </conditionalFormatting>
  <conditionalFormatting sqref="I382 I388:I390 I392 I395:I400 I402:I406 I417 I518:I524 I713 I767:I768 I1083">
    <cfRule type="expression" dxfId="203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415 I437:I461 I268:I317 I221:I239 I88:I138 I167:I214 I7:I58 I715:I734 I463:I500 I417:I429 I515:I557 I662:I673 I767:I779 I812:I837 I871:I904 I906:I920 I996:I1032 I1046:I1084 I60:I79 I140:I159 I859:I863">
    <cfRule type="expression" dxfId="202" priority="2">
      <formula>I7&lt;&gt;SUM(K7,O7)+T7+(Y7-Z7)+AB7</formula>
    </cfRule>
  </conditionalFormatting>
  <conditionalFormatting sqref="I7:AB7">
    <cfRule type="expression" dxfId="201" priority="3">
      <formula>SUM(I60:I79)&lt;&gt;I7</formula>
    </cfRule>
    <cfRule type="expression" dxfId="200" priority="3">
      <formula>SUM(I9:I12)&gt;I7</formula>
    </cfRule>
    <cfRule type="expression" dxfId="199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198" priority="4">
      <formula>I53&gt;I52</formula>
    </cfRule>
  </conditionalFormatting>
  <conditionalFormatting sqref="I60:AB60">
    <cfRule type="expression" dxfId="197" priority="5">
      <formula>I60&lt;&gt;SUM(I140,I196)</formula>
    </cfRule>
  </conditionalFormatting>
  <conditionalFormatting sqref="I88:AB88">
    <cfRule type="expression" dxfId="196" priority="6">
      <formula>SUM(I140:I159)&lt;&gt;I88</formula>
    </cfRule>
    <cfRule type="expression" dxfId="195" priority="6">
      <formula>SUM(I90:I92)&gt;I88</formula>
    </cfRule>
    <cfRule type="expression" dxfId="194" priority="6">
      <formula>SUM(I132,I134:I138)&gt;I88</formula>
    </cfRule>
  </conditionalFormatting>
  <conditionalFormatting sqref="I132:AB132 I278:AB278 I288:AB288">
    <cfRule type="expression" dxfId="193" priority="7">
      <formula>I133&gt;I132</formula>
    </cfRule>
  </conditionalFormatting>
  <conditionalFormatting sqref="I167:AB167">
    <cfRule type="expression" dxfId="192" priority="8">
      <formula>SUM(I196:I214)&lt;&gt;I167</formula>
    </cfRule>
    <cfRule type="expression" dxfId="191" priority="8">
      <formula>SUM(I189,I191:I195)&gt;I167</formula>
    </cfRule>
  </conditionalFormatting>
  <conditionalFormatting sqref="I221:AB221">
    <cfRule type="expression" dxfId="190" priority="9">
      <formula>SUM(I226:I230, I233:I239)&lt;&gt;I221</formula>
    </cfRule>
    <cfRule type="expression" dxfId="189" priority="9">
      <formula>SUM(I222:I225)&gt;I221</formula>
    </cfRule>
    <cfRule type="expression" dxfId="188" priority="9">
      <formula>I221&lt;&gt;I60</formula>
    </cfRule>
  </conditionalFormatting>
  <conditionalFormatting sqref="I247:AB247">
    <cfRule type="expression" dxfId="187" priority="10">
      <formula>SUM(I252,I268:I270,I273:I275,I278,I280:I283,I287:I288,I290:I291,I295:I299,I302:I306,I309:I313,I316:I317)&lt;&gt;I247</formula>
    </cfRule>
    <cfRule type="expression" dxfId="186" priority="10">
      <formula>I247&lt;&gt;I61</formula>
    </cfRule>
  </conditionalFormatting>
  <conditionalFormatting sqref="I252:AB252">
    <cfRule type="expression" dxfId="185" priority="11">
      <formula>SUM(I253:I266)&gt;I252</formula>
    </cfRule>
  </conditionalFormatting>
  <conditionalFormatting sqref="I271:AB272">
    <cfRule type="expression" dxfId="184" priority="12">
      <formula>SUM(I252,I268:I270)&lt;I271</formula>
    </cfRule>
  </conditionalFormatting>
  <conditionalFormatting sqref="I275:AB275">
    <cfRule type="expression" dxfId="183" priority="13">
      <formula>I276&gt;I275</formula>
    </cfRule>
    <cfRule type="expression" dxfId="182" priority="13">
      <formula>I277&gt;I275</formula>
    </cfRule>
  </conditionalFormatting>
  <conditionalFormatting sqref="I283:AB283 I291:AB291">
    <cfRule type="expression" dxfId="181" priority="14">
      <formula>I284&gt;I283</formula>
    </cfRule>
    <cfRule type="expression" dxfId="180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79" priority="15">
      <formula>SUM(I300:I301)&lt;&gt;I299</formula>
    </cfRule>
  </conditionalFormatting>
  <conditionalFormatting sqref="I325:AB325">
    <cfRule type="expression" dxfId="178" priority="16">
      <formula>I325&lt;&gt;I62</formula>
    </cfRule>
    <cfRule type="expression" dxfId="177" priority="16">
      <formula>SUM(I330,I332:I335,I338,I341:I344)&lt;&gt;I325</formula>
    </cfRule>
  </conditionalFormatting>
  <conditionalFormatting sqref="I335:AB335 I723:AB723 I956:AB956">
    <cfRule type="expression" dxfId="176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75" priority="18">
      <formula>SUM(I248:I251)&gt;I247</formula>
    </cfRule>
  </conditionalFormatting>
  <conditionalFormatting sqref="I352:AB352">
    <cfRule type="expression" dxfId="174" priority="19">
      <formula>SUM(I357:I359,I362:I365)&lt;&gt;I352</formula>
    </cfRule>
    <cfRule type="expression" dxfId="173" priority="19">
      <formula>I352&lt;&gt;I63</formula>
    </cfRule>
  </conditionalFormatting>
  <conditionalFormatting sqref="I373:AB373">
    <cfRule type="expression" dxfId="172" priority="20">
      <formula>I373&lt;&gt;I64</formula>
    </cfRule>
    <cfRule type="expression" dxfId="171" priority="20">
      <formula>SUM(I378:I383,I386:I387,I390:I391,I394,I397:I401,I404:I407,I410:I412,I415,I417:I422,I425,I428:I429)&lt;&gt;I373</formula>
    </cfRule>
  </conditionalFormatting>
  <conditionalFormatting sqref="I437:AB437">
    <cfRule type="expression" dxfId="170" priority="21">
      <formula>I437&lt;&gt;I65</formula>
    </cfRule>
    <cfRule type="expression" dxfId="169" priority="21">
      <formula>SUM(I442,I475:I477,I480:I481,I485,I488:I490,I492:I496,I499:I500)&lt;&gt;I437</formula>
    </cfRule>
  </conditionalFormatting>
  <conditionalFormatting sqref="I442:AB442 I454:AB454 I463:AB463 I485:AB485">
    <cfRule type="expression" dxfId="168" priority="22">
      <formula>SUM(I443:I444)&gt;I442</formula>
    </cfRule>
  </conditionalFormatting>
  <conditionalFormatting sqref="I442:AB442">
    <cfRule type="expression" dxfId="167" priority="23">
      <formula>SUM(I454,I463)&lt;&gt;I442</formula>
    </cfRule>
  </conditionalFormatting>
  <conditionalFormatting sqref="I454:AB454">
    <cfRule type="expression" dxfId="166" priority="24">
      <formula>SUM(I457:I461)&gt;I454</formula>
    </cfRule>
  </conditionalFormatting>
  <conditionalFormatting sqref="I463:AB463">
    <cfRule type="expression" dxfId="165" priority="25">
      <formula>SUM(I467:I474)&gt;I463</formula>
    </cfRule>
  </conditionalFormatting>
  <conditionalFormatting sqref="I484:AB484 I718:AB718 I726:AB726">
    <cfRule type="expression" dxfId="164" priority="26">
      <formula>I484&gt;I481</formula>
    </cfRule>
  </conditionalFormatting>
  <conditionalFormatting sqref="I508:AB508">
    <cfRule type="expression" dxfId="163" priority="27">
      <formula>I508&lt;&gt;I66</formula>
    </cfRule>
    <cfRule type="expression" dxfId="162" priority="27">
      <formula>SUM(I513,I515:I518,I521:I525,I528:I535,I538,I541:I557)&lt;&gt;I508</formula>
    </cfRule>
  </conditionalFormatting>
  <conditionalFormatting sqref="I565:AB565">
    <cfRule type="expression" dxfId="161" priority="28">
      <formula>SUM(I570:I574,I577,I580:I589,I592,I595:I597,I600,I603:I604)&lt;&gt;I565</formula>
    </cfRule>
    <cfRule type="expression" dxfId="160" priority="28">
      <formula>I565&lt;&gt;I67</formula>
    </cfRule>
  </conditionalFormatting>
  <conditionalFormatting sqref="I612:AB612">
    <cfRule type="expression" dxfId="159" priority="29">
      <formula>SUM(I617:I642,I645:I648)&lt;&gt;I612</formula>
    </cfRule>
    <cfRule type="expression" dxfId="158" priority="29">
      <formula>I612&lt;&gt;I68</formula>
    </cfRule>
  </conditionalFormatting>
  <conditionalFormatting sqref="I656:AB656">
    <cfRule type="expression" dxfId="157" priority="30">
      <formula>SUM(I662,I665,I668:I670,I673)&lt;&gt;I656</formula>
    </cfRule>
    <cfRule type="expression" dxfId="156" priority="30">
      <formula>I656&lt;&gt;I69</formula>
    </cfRule>
  </conditionalFormatting>
  <conditionalFormatting sqref="I681:AB681">
    <cfRule type="expression" dxfId="155" priority="31">
      <formula>I681&lt;&gt;I70</formula>
    </cfRule>
    <cfRule type="expression" dxfId="154" priority="31">
      <formula>SUM(I686,I689:I692,I695,I698,I701,I704,I707:I709,I711:I713,I715,I731:I734)&lt;&gt;I681</formula>
    </cfRule>
  </conditionalFormatting>
  <conditionalFormatting sqref="I715:AB715">
    <cfRule type="expression" dxfId="153" priority="32">
      <formula>SUM(I716:I717)&gt;I715</formula>
    </cfRule>
    <cfRule type="expression" dxfId="152" priority="32">
      <formula>SUM(I719:I722)&gt;I715</formula>
    </cfRule>
  </conditionalFormatting>
  <conditionalFormatting sqref="I716:AB716">
    <cfRule type="expression" dxfId="151" priority="33">
      <formula>I724:I730&gt;I716:I722</formula>
    </cfRule>
  </conditionalFormatting>
  <conditionalFormatting sqref="I718:AB722">
    <cfRule type="expression" dxfId="150" priority="34">
      <formula>I726:I732&gt;I718:I723</formula>
    </cfRule>
  </conditionalFormatting>
  <conditionalFormatting sqref="I742:AB742">
    <cfRule type="expression" dxfId="149" priority="35">
      <formula>SUM(I747:I750,I753,I755,I758,I761,I764:I765,I767:I769,I772,I774,I779)&lt;&gt;I742</formula>
    </cfRule>
    <cfRule type="expression" dxfId="148" priority="35">
      <formula>I742&lt;&gt;I71</formula>
    </cfRule>
  </conditionalFormatting>
  <conditionalFormatting sqref="I787:AB787">
    <cfRule type="expression" dxfId="147" priority="36">
      <formula>SUM(I792:I794,I799:I800,I803,I806,I809:I810,I812:I813,I815:I816,I818,I820,I823:I824,I827:I830,I833:I837)&lt;&gt;I787</formula>
    </cfRule>
    <cfRule type="expression" dxfId="146" priority="36">
      <formula>I787&lt;&gt;I72</formula>
    </cfRule>
  </conditionalFormatting>
  <conditionalFormatting sqref="I794:AB794">
    <cfRule type="expression" dxfId="145" priority="37">
      <formula>SUM(I797:I798)&gt;I794</formula>
    </cfRule>
  </conditionalFormatting>
  <conditionalFormatting sqref="I845:AB845">
    <cfRule type="expression" dxfId="144" priority="38">
      <formula>SUM(I850:I857,I859:I863)&lt;&gt;I845</formula>
    </cfRule>
    <cfRule type="expression" dxfId="143" priority="38">
      <formula>I845&lt;&gt;I73</formula>
    </cfRule>
  </conditionalFormatting>
  <conditionalFormatting sqref="I928:AB928">
    <cfRule type="expression" dxfId="142" priority="39">
      <formula>I928&lt;&gt;I75</formula>
    </cfRule>
    <cfRule type="expression" dxfId="141" priority="39">
      <formula>SUM(I933:I939)&lt;&gt;I928</formula>
    </cfRule>
  </conditionalFormatting>
  <conditionalFormatting sqref="I947:AB947">
    <cfRule type="expression" dxfId="140" priority="40">
      <formula>I947&lt;&gt;I76</formula>
    </cfRule>
    <cfRule type="expression" dxfId="139" priority="40">
      <formula>SUM(I952,I954:I956,I959:I973)&lt;&gt;I947</formula>
    </cfRule>
  </conditionalFormatting>
  <conditionalFormatting sqref="I981:AB981">
    <cfRule type="expression" dxfId="138" priority="41">
      <formula>I981&gt;I77</formula>
    </cfRule>
    <cfRule type="expression" dxfId="137" priority="41">
      <formula>SUM(I986,I989:I994,I996:I1000,I1003:I1005,I1008,I1011:I1029,I1032)&lt;&gt;I981</formula>
    </cfRule>
  </conditionalFormatting>
  <conditionalFormatting sqref="I1040:AB1040">
    <cfRule type="expression" dxfId="136" priority="42">
      <formula>SUM(I1046:I1056,I1059:I1080,I1083,I1084)&lt;&gt;I1040</formula>
    </cfRule>
    <cfRule type="expression" dxfId="135" priority="42">
      <formula>I1040&lt;&gt;I78</formula>
    </cfRule>
  </conditionalFormatting>
  <conditionalFormatting sqref="I1092:AB1092">
    <cfRule type="expression" dxfId="134" priority="43">
      <formula>I1092&lt;&gt;I79</formula>
    </cfRule>
    <cfRule type="expression" dxfId="133" priority="43">
      <formula>SUM(I1097:I1101, I1103:I1112)&lt;&gt;I1092</formula>
    </cfRule>
  </conditionalFormatting>
  <conditionalFormatting sqref="J871:AB871">
    <cfRule type="expression" dxfId="132" priority="44">
      <formula>SUM(J876:J880,J883:J894,J897:J901,J904,J906,J909:J910,J913,J916:J917,J920)&lt;&gt;J871</formula>
    </cfRule>
    <cfRule type="expression" dxfId="131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0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29" priority="46">
      <formula>SUM(P7:S7)&lt;&gt;O7</formula>
    </cfRule>
  </conditionalFormatting>
  <conditionalFormatting sqref="O382">
    <cfRule type="expression" dxfId="128" priority="47">
      <formula>SUM(P382:S382)&lt;&gt;O382</formula>
    </cfRule>
  </conditionalFormatting>
  <conditionalFormatting sqref="O388:O390 O395:O400">
    <cfRule type="expression" dxfId="127" priority="48">
      <formula>SUM(P388:S388)&lt;&gt;O388</formula>
    </cfRule>
  </conditionalFormatting>
  <conditionalFormatting sqref="O392">
    <cfRule type="expression" dxfId="126" priority="49">
      <formula>SUM(P392:S392)&lt;&gt;O392</formula>
    </cfRule>
  </conditionalFormatting>
  <conditionalFormatting sqref="O402:O415 O417 O518:O557 O713 O767:O768 O1083">
    <cfRule type="expression" dxfId="125" priority="50">
      <formula>SUM(P402:S402)&lt;&gt;O402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24" priority="51">
      <formula>SUM(Z7+AA7)&gt;Y7</formula>
    </cfRule>
  </conditionalFormatting>
  <conditionalFormatting sqref="Y382">
    <cfRule type="expression" dxfId="123" priority="52">
      <formula>SUM(Z382+AA382)&gt;Y382</formula>
    </cfRule>
  </conditionalFormatting>
  <conditionalFormatting sqref="Y383:Y415 Y417:Y429 Y515:Y557 Y681:Y713 Y767:Y779 Y1046:Y1084">
    <cfRule type="expression" dxfId="122" priority="53">
      <formula>SUM(Z383+AA383)&gt;Y383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10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794</v>
      </c>
      <c r="G2" s="71"/>
      <c r="H2" s="72"/>
    </row>
    <row r="3" spans="1:28" ht="19.5" customHeight="1" x14ac:dyDescent="0.25">
      <c r="A3" s="14" t="s">
        <v>795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8"/>
      <c r="B4" s="179"/>
      <c r="C4" s="179"/>
      <c r="D4" s="179"/>
      <c r="E4" s="179"/>
      <c r="F4" s="179"/>
      <c r="G4" s="180"/>
      <c r="H4" s="187" t="s">
        <v>15</v>
      </c>
      <c r="I4" s="168" t="s">
        <v>1148</v>
      </c>
      <c r="J4" s="168" t="s">
        <v>16</v>
      </c>
      <c r="K4" s="168" t="s">
        <v>17</v>
      </c>
      <c r="L4" s="171" t="s">
        <v>18</v>
      </c>
      <c r="M4" s="172"/>
      <c r="N4" s="173"/>
      <c r="O4" s="168" t="s">
        <v>19</v>
      </c>
      <c r="P4" s="171" t="s">
        <v>20</v>
      </c>
      <c r="Q4" s="172"/>
      <c r="R4" s="172"/>
      <c r="S4" s="173"/>
      <c r="T4" s="168" t="s">
        <v>21</v>
      </c>
      <c r="U4" s="171" t="s">
        <v>22</v>
      </c>
      <c r="V4" s="172"/>
      <c r="W4" s="172"/>
      <c r="X4" s="173"/>
      <c r="Y4" s="171" t="s">
        <v>23</v>
      </c>
      <c r="Z4" s="172"/>
      <c r="AA4" s="173"/>
      <c r="AB4" s="168" t="s">
        <v>24</v>
      </c>
    </row>
    <row r="5" spans="1:28" ht="27" customHeight="1" x14ac:dyDescent="0.2">
      <c r="A5" s="181"/>
      <c r="B5" s="182"/>
      <c r="C5" s="182"/>
      <c r="D5" s="182"/>
      <c r="E5" s="182"/>
      <c r="F5" s="182"/>
      <c r="G5" s="183"/>
      <c r="H5" s="188"/>
      <c r="I5" s="170"/>
      <c r="J5" s="170"/>
      <c r="K5" s="170"/>
      <c r="L5" s="168" t="s">
        <v>25</v>
      </c>
      <c r="M5" s="168" t="s">
        <v>26</v>
      </c>
      <c r="N5" s="168" t="s">
        <v>27</v>
      </c>
      <c r="O5" s="170"/>
      <c r="P5" s="168" t="s">
        <v>28</v>
      </c>
      <c r="Q5" s="168" t="s">
        <v>29</v>
      </c>
      <c r="R5" s="168" t="s">
        <v>30</v>
      </c>
      <c r="S5" s="168" t="s">
        <v>31</v>
      </c>
      <c r="T5" s="170"/>
      <c r="U5" s="171" t="s">
        <v>32</v>
      </c>
      <c r="V5" s="172"/>
      <c r="W5" s="172"/>
      <c r="X5" s="173"/>
      <c r="Y5" s="168" t="s">
        <v>33</v>
      </c>
      <c r="Z5" s="171" t="s">
        <v>34</v>
      </c>
      <c r="AA5" s="173"/>
      <c r="AB5" s="170"/>
    </row>
    <row r="6" spans="1:28" ht="80.25" customHeight="1" x14ac:dyDescent="0.2">
      <c r="A6" s="184"/>
      <c r="B6" s="185"/>
      <c r="C6" s="185"/>
      <c r="D6" s="185"/>
      <c r="E6" s="185"/>
      <c r="F6" s="185"/>
      <c r="G6" s="186"/>
      <c r="H6" s="18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9" t="s">
        <v>35</v>
      </c>
      <c r="V6" s="16" t="s">
        <v>36</v>
      </c>
      <c r="W6" s="16" t="s">
        <v>37</v>
      </c>
      <c r="X6" s="16" t="s">
        <v>38</v>
      </c>
      <c r="Y6" s="169"/>
      <c r="Z6" s="18" t="s">
        <v>39</v>
      </c>
      <c r="AA6" s="17" t="s">
        <v>40</v>
      </c>
      <c r="AB6" s="169"/>
    </row>
    <row r="7" spans="1:28" ht="14.25" customHeight="1" x14ac:dyDescent="0.2">
      <c r="A7" s="150" t="s">
        <v>796</v>
      </c>
      <c r="B7" s="151"/>
      <c r="C7" s="151"/>
      <c r="D7" s="151"/>
      <c r="E7" s="151"/>
      <c r="F7" s="151"/>
      <c r="G7" s="152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53" t="s">
        <v>43</v>
      </c>
      <c r="B8" s="154"/>
      <c r="C8" s="154"/>
      <c r="D8" s="154"/>
      <c r="E8" s="154"/>
      <c r="F8" s="154"/>
      <c r="G8" s="155"/>
      <c r="H8" s="23">
        <v>1</v>
      </c>
      <c r="I8" s="31">
        <v>42245</v>
      </c>
      <c r="J8" s="31">
        <v>10342</v>
      </c>
      <c r="K8" s="31">
        <v>28</v>
      </c>
      <c r="L8" s="31">
        <v>0</v>
      </c>
      <c r="M8" s="31">
        <v>21</v>
      </c>
      <c r="N8" s="31">
        <v>0</v>
      </c>
      <c r="O8" s="31">
        <v>9638</v>
      </c>
      <c r="P8" s="31">
        <v>9491</v>
      </c>
      <c r="Q8" s="31">
        <v>9</v>
      </c>
      <c r="R8" s="31">
        <v>95</v>
      </c>
      <c r="S8" s="31">
        <v>43</v>
      </c>
      <c r="T8" s="31">
        <v>0</v>
      </c>
      <c r="U8" s="31">
        <v>1605</v>
      </c>
      <c r="V8" s="31">
        <v>66</v>
      </c>
      <c r="W8" s="31">
        <v>1674</v>
      </c>
      <c r="X8" s="31">
        <v>169</v>
      </c>
      <c r="Y8" s="31">
        <v>47392</v>
      </c>
      <c r="Z8" s="31">
        <v>47347</v>
      </c>
      <c r="AA8" s="31">
        <v>0</v>
      </c>
      <c r="AB8" s="31">
        <v>32534</v>
      </c>
    </row>
    <row r="9" spans="1:28" ht="21" customHeight="1" x14ac:dyDescent="0.2">
      <c r="A9" s="156" t="s">
        <v>181</v>
      </c>
      <c r="B9" s="158"/>
      <c r="C9" s="165" t="s">
        <v>51</v>
      </c>
      <c r="D9" s="166"/>
      <c r="E9" s="166"/>
      <c r="F9" s="166"/>
      <c r="G9" s="167"/>
      <c r="H9" s="23">
        <v>2</v>
      </c>
      <c r="I9" s="31">
        <v>27900</v>
      </c>
      <c r="J9" s="31">
        <v>419</v>
      </c>
      <c r="K9" s="31">
        <v>1</v>
      </c>
      <c r="L9" s="31">
        <v>0</v>
      </c>
      <c r="M9" s="31">
        <v>1</v>
      </c>
      <c r="N9" s="31">
        <v>0</v>
      </c>
      <c r="O9" s="31">
        <v>235</v>
      </c>
      <c r="P9" s="31">
        <v>213</v>
      </c>
      <c r="Q9" s="31">
        <v>0</v>
      </c>
      <c r="R9" s="31">
        <v>22</v>
      </c>
      <c r="S9" s="31">
        <v>0</v>
      </c>
      <c r="T9" s="31">
        <v>0</v>
      </c>
      <c r="U9" s="31">
        <v>56</v>
      </c>
      <c r="V9" s="31">
        <v>9</v>
      </c>
      <c r="W9" s="31">
        <v>107</v>
      </c>
      <c r="X9" s="31">
        <v>7</v>
      </c>
      <c r="Y9" s="31">
        <v>40796</v>
      </c>
      <c r="Z9" s="31">
        <v>40778</v>
      </c>
      <c r="AA9" s="31">
        <v>0</v>
      </c>
      <c r="AB9" s="31">
        <v>27646</v>
      </c>
    </row>
    <row r="10" spans="1:28" ht="21" customHeight="1" x14ac:dyDescent="0.2">
      <c r="A10" s="159"/>
      <c r="B10" s="161"/>
      <c r="C10" s="165" t="s">
        <v>52</v>
      </c>
      <c r="D10" s="166"/>
      <c r="E10" s="166"/>
      <c r="F10" s="166"/>
      <c r="G10" s="167"/>
      <c r="H10" s="23">
        <v>3</v>
      </c>
      <c r="I10" s="31">
        <v>817</v>
      </c>
      <c r="J10" s="31">
        <v>680</v>
      </c>
      <c r="K10" s="31">
        <v>6</v>
      </c>
      <c r="L10" s="31">
        <v>0</v>
      </c>
      <c r="M10" s="31">
        <v>2</v>
      </c>
      <c r="N10" s="31">
        <v>0</v>
      </c>
      <c r="O10" s="31">
        <v>439</v>
      </c>
      <c r="P10" s="31">
        <v>427</v>
      </c>
      <c r="Q10" s="31">
        <v>0</v>
      </c>
      <c r="R10" s="31">
        <v>10</v>
      </c>
      <c r="S10" s="31">
        <v>2</v>
      </c>
      <c r="T10" s="31">
        <v>0</v>
      </c>
      <c r="U10" s="31">
        <v>90</v>
      </c>
      <c r="V10" s="31">
        <v>12</v>
      </c>
      <c r="W10" s="31">
        <v>168</v>
      </c>
      <c r="X10" s="31">
        <v>16</v>
      </c>
      <c r="Y10" s="31">
        <v>31</v>
      </c>
      <c r="Z10" s="31">
        <v>29</v>
      </c>
      <c r="AA10" s="31">
        <v>0</v>
      </c>
      <c r="AB10" s="31">
        <v>370</v>
      </c>
    </row>
    <row r="11" spans="1:28" ht="21" customHeight="1" x14ac:dyDescent="0.2">
      <c r="A11" s="159"/>
      <c r="B11" s="161"/>
      <c r="C11" s="165" t="s">
        <v>182</v>
      </c>
      <c r="D11" s="166"/>
      <c r="E11" s="166"/>
      <c r="F11" s="166"/>
      <c r="G11" s="167"/>
      <c r="H11" s="23">
        <v>4</v>
      </c>
      <c r="I11" s="31">
        <v>3076</v>
      </c>
      <c r="J11" s="31">
        <v>1701</v>
      </c>
      <c r="K11" s="31">
        <v>10</v>
      </c>
      <c r="L11" s="31">
        <v>0</v>
      </c>
      <c r="M11" s="31">
        <v>8</v>
      </c>
      <c r="N11" s="31">
        <v>0</v>
      </c>
      <c r="O11" s="31">
        <v>1527</v>
      </c>
      <c r="P11" s="31">
        <v>1505</v>
      </c>
      <c r="Q11" s="31">
        <v>3</v>
      </c>
      <c r="R11" s="31">
        <v>18</v>
      </c>
      <c r="S11" s="31">
        <v>1</v>
      </c>
      <c r="T11" s="31">
        <v>0</v>
      </c>
      <c r="U11" s="31">
        <v>372</v>
      </c>
      <c r="V11" s="31">
        <v>10</v>
      </c>
      <c r="W11" s="31">
        <v>338</v>
      </c>
      <c r="X11" s="31">
        <v>19</v>
      </c>
      <c r="Y11" s="31">
        <v>1001</v>
      </c>
      <c r="Z11" s="31">
        <v>992</v>
      </c>
      <c r="AA11" s="31">
        <v>0</v>
      </c>
      <c r="AB11" s="31">
        <v>1530</v>
      </c>
    </row>
    <row r="12" spans="1:28" ht="21" customHeight="1" x14ac:dyDescent="0.2">
      <c r="A12" s="162"/>
      <c r="B12" s="164"/>
      <c r="C12" s="165" t="s">
        <v>49</v>
      </c>
      <c r="D12" s="166"/>
      <c r="E12" s="166"/>
      <c r="F12" s="166"/>
      <c r="G12" s="167"/>
      <c r="H12" s="23">
        <v>5</v>
      </c>
      <c r="I12" s="31">
        <v>10451</v>
      </c>
      <c r="J12" s="31">
        <v>7542</v>
      </c>
      <c r="K12" s="31">
        <v>11</v>
      </c>
      <c r="L12" s="31">
        <v>0</v>
      </c>
      <c r="M12" s="31">
        <v>10</v>
      </c>
      <c r="N12" s="31">
        <v>0</v>
      </c>
      <c r="O12" s="31">
        <v>7437</v>
      </c>
      <c r="P12" s="31">
        <v>7346</v>
      </c>
      <c r="Q12" s="31">
        <v>6</v>
      </c>
      <c r="R12" s="31">
        <v>45</v>
      </c>
      <c r="S12" s="31">
        <v>40</v>
      </c>
      <c r="T12" s="31">
        <v>0</v>
      </c>
      <c r="U12" s="31">
        <v>1087</v>
      </c>
      <c r="V12" s="31">
        <v>35</v>
      </c>
      <c r="W12" s="31">
        <v>1061</v>
      </c>
      <c r="X12" s="31">
        <v>127</v>
      </c>
      <c r="Y12" s="31">
        <v>5564</v>
      </c>
      <c r="Z12" s="31">
        <v>5548</v>
      </c>
      <c r="AA12" s="31">
        <v>0</v>
      </c>
      <c r="AB12" s="31">
        <v>2987</v>
      </c>
    </row>
    <row r="13" spans="1:28" ht="27.2" customHeight="1" x14ac:dyDescent="0.2">
      <c r="A13" s="144" t="s">
        <v>165</v>
      </c>
      <c r="B13" s="138" t="s">
        <v>183</v>
      </c>
      <c r="C13" s="139"/>
      <c r="D13" s="139"/>
      <c r="E13" s="139"/>
      <c r="F13" s="139"/>
      <c r="G13" s="140"/>
      <c r="H13" s="23">
        <v>6</v>
      </c>
      <c r="I13" s="31">
        <v>27900</v>
      </c>
      <c r="J13" s="31">
        <v>419</v>
      </c>
      <c r="K13" s="31">
        <v>1</v>
      </c>
      <c r="L13" s="31">
        <v>0</v>
      </c>
      <c r="M13" s="31">
        <v>1</v>
      </c>
      <c r="N13" s="31">
        <v>0</v>
      </c>
      <c r="O13" s="31">
        <v>235</v>
      </c>
      <c r="P13" s="31">
        <v>213</v>
      </c>
      <c r="Q13" s="31">
        <v>0</v>
      </c>
      <c r="R13" s="31">
        <v>22</v>
      </c>
      <c r="S13" s="31">
        <v>0</v>
      </c>
      <c r="T13" s="31">
        <v>0</v>
      </c>
      <c r="U13" s="31">
        <v>56</v>
      </c>
      <c r="V13" s="31">
        <v>9</v>
      </c>
      <c r="W13" s="31">
        <v>107</v>
      </c>
      <c r="X13" s="31">
        <v>7</v>
      </c>
      <c r="Y13" s="31">
        <v>40796</v>
      </c>
      <c r="Z13" s="31">
        <v>40778</v>
      </c>
      <c r="AA13" s="31">
        <v>0</v>
      </c>
      <c r="AB13" s="31">
        <v>27646</v>
      </c>
    </row>
    <row r="14" spans="1:28" ht="27.2" customHeight="1" x14ac:dyDescent="0.2">
      <c r="A14" s="145"/>
      <c r="B14" s="216" t="s">
        <v>32</v>
      </c>
      <c r="C14" s="135" t="s">
        <v>184</v>
      </c>
      <c r="D14" s="136"/>
      <c r="E14" s="136"/>
      <c r="F14" s="136"/>
      <c r="G14" s="137"/>
      <c r="H14" s="23">
        <v>7</v>
      </c>
      <c r="I14" s="31">
        <v>1842</v>
      </c>
      <c r="J14" s="31">
        <v>23</v>
      </c>
      <c r="K14" s="31">
        <v>0</v>
      </c>
      <c r="L14" s="31">
        <v>0</v>
      </c>
      <c r="M14" s="31">
        <v>0</v>
      </c>
      <c r="N14" s="31">
        <v>0</v>
      </c>
      <c r="O14" s="31">
        <v>5</v>
      </c>
      <c r="P14" s="31">
        <v>4</v>
      </c>
      <c r="Q14" s="31">
        <v>0</v>
      </c>
      <c r="R14" s="31">
        <v>1</v>
      </c>
      <c r="S14" s="31">
        <v>0</v>
      </c>
      <c r="T14" s="31">
        <v>0</v>
      </c>
      <c r="U14" s="31">
        <v>2</v>
      </c>
      <c r="V14" s="31">
        <v>0</v>
      </c>
      <c r="W14" s="31">
        <v>3</v>
      </c>
      <c r="X14" s="31">
        <v>0</v>
      </c>
      <c r="Y14" s="31">
        <v>90</v>
      </c>
      <c r="Z14" s="31">
        <v>87</v>
      </c>
      <c r="AA14" s="31">
        <v>0</v>
      </c>
      <c r="AB14" s="31">
        <v>1834</v>
      </c>
    </row>
    <row r="15" spans="1:28" ht="27.2" customHeight="1" x14ac:dyDescent="0.2">
      <c r="A15" s="145"/>
      <c r="B15" s="233"/>
      <c r="C15" s="135" t="s">
        <v>185</v>
      </c>
      <c r="D15" s="136"/>
      <c r="E15" s="136"/>
      <c r="F15" s="136"/>
      <c r="G15" s="137"/>
      <c r="H15" s="23">
        <v>8</v>
      </c>
      <c r="I15" s="31">
        <v>120</v>
      </c>
      <c r="J15" s="31">
        <v>9</v>
      </c>
      <c r="K15" s="31">
        <v>0</v>
      </c>
      <c r="L15" s="31">
        <v>0</v>
      </c>
      <c r="M15" s="31">
        <v>0</v>
      </c>
      <c r="N15" s="31">
        <v>0</v>
      </c>
      <c r="O15" s="31">
        <v>4</v>
      </c>
      <c r="P15" s="31">
        <v>4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2</v>
      </c>
      <c r="X15" s="31">
        <v>0</v>
      </c>
      <c r="Y15" s="31">
        <v>285</v>
      </c>
      <c r="Z15" s="31">
        <v>283</v>
      </c>
      <c r="AA15" s="31">
        <v>0</v>
      </c>
      <c r="AB15" s="31">
        <v>114</v>
      </c>
    </row>
    <row r="16" spans="1:28" ht="27.2" customHeight="1" x14ac:dyDescent="0.2">
      <c r="A16" s="145"/>
      <c r="B16" s="233"/>
      <c r="C16" s="135" t="s">
        <v>186</v>
      </c>
      <c r="D16" s="136"/>
      <c r="E16" s="136"/>
      <c r="F16" s="136"/>
      <c r="G16" s="137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45"/>
      <c r="B17" s="233"/>
      <c r="C17" s="135" t="s">
        <v>187</v>
      </c>
      <c r="D17" s="136"/>
      <c r="E17" s="136"/>
      <c r="F17" s="136"/>
      <c r="G17" s="137"/>
      <c r="H17" s="23">
        <v>10</v>
      </c>
      <c r="I17" s="31">
        <v>3</v>
      </c>
      <c r="J17" s="31">
        <v>3</v>
      </c>
      <c r="K17" s="31">
        <v>0</v>
      </c>
      <c r="L17" s="31">
        <v>0</v>
      </c>
      <c r="M17" s="31">
        <v>0</v>
      </c>
      <c r="N17" s="31">
        <v>0</v>
      </c>
      <c r="O17" s="31">
        <v>1</v>
      </c>
      <c r="P17" s="31">
        <v>1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1</v>
      </c>
      <c r="X17" s="31">
        <v>0</v>
      </c>
      <c r="Y17" s="31">
        <v>0</v>
      </c>
      <c r="Z17" s="31">
        <v>0</v>
      </c>
      <c r="AA17" s="31">
        <v>0</v>
      </c>
      <c r="AB17" s="31">
        <v>2</v>
      </c>
    </row>
    <row r="18" spans="1:28" ht="27.2" customHeight="1" x14ac:dyDescent="0.2">
      <c r="A18" s="145"/>
      <c r="B18" s="233"/>
      <c r="C18" s="135" t="s">
        <v>188</v>
      </c>
      <c r="D18" s="136"/>
      <c r="E18" s="136"/>
      <c r="F18" s="136"/>
      <c r="G18" s="137"/>
      <c r="H18" s="23">
        <v>11</v>
      </c>
      <c r="I18" s="31">
        <v>13</v>
      </c>
      <c r="J18" s="31">
        <v>11</v>
      </c>
      <c r="K18" s="31">
        <v>0</v>
      </c>
      <c r="L18" s="31">
        <v>0</v>
      </c>
      <c r="M18" s="31">
        <v>0</v>
      </c>
      <c r="N18" s="31">
        <v>0</v>
      </c>
      <c r="O18" s="31">
        <v>2</v>
      </c>
      <c r="P18" s="31">
        <v>2</v>
      </c>
      <c r="Q18" s="31">
        <v>0</v>
      </c>
      <c r="R18" s="31">
        <v>0</v>
      </c>
      <c r="S18" s="31">
        <v>0</v>
      </c>
      <c r="T18" s="31">
        <v>0</v>
      </c>
      <c r="U18" s="31">
        <v>1</v>
      </c>
      <c r="V18" s="31">
        <v>0</v>
      </c>
      <c r="W18" s="31">
        <v>1</v>
      </c>
      <c r="X18" s="31">
        <v>0</v>
      </c>
      <c r="Y18" s="31">
        <v>3</v>
      </c>
      <c r="Z18" s="31">
        <v>1</v>
      </c>
      <c r="AA18" s="31">
        <v>0</v>
      </c>
      <c r="AB18" s="31">
        <v>9</v>
      </c>
    </row>
    <row r="19" spans="1:28" ht="27.2" customHeight="1" x14ac:dyDescent="0.2">
      <c r="A19" s="145"/>
      <c r="B19" s="233"/>
      <c r="C19" s="135" t="s">
        <v>189</v>
      </c>
      <c r="D19" s="136"/>
      <c r="E19" s="136"/>
      <c r="F19" s="136"/>
      <c r="G19" s="137"/>
      <c r="H19" s="23">
        <v>12</v>
      </c>
      <c r="I19" s="31">
        <v>13</v>
      </c>
      <c r="J19" s="31">
        <v>12</v>
      </c>
      <c r="K19" s="31">
        <v>0</v>
      </c>
      <c r="L19" s="31">
        <v>0</v>
      </c>
      <c r="M19" s="31">
        <v>0</v>
      </c>
      <c r="N19" s="31">
        <v>0</v>
      </c>
      <c r="O19" s="31">
        <v>8</v>
      </c>
      <c r="P19" s="31">
        <v>7</v>
      </c>
      <c r="Q19" s="31">
        <v>0</v>
      </c>
      <c r="R19" s="31">
        <v>1</v>
      </c>
      <c r="S19" s="31">
        <v>0</v>
      </c>
      <c r="T19" s="31">
        <v>0</v>
      </c>
      <c r="U19" s="31">
        <v>4</v>
      </c>
      <c r="V19" s="31">
        <v>0</v>
      </c>
      <c r="W19" s="31">
        <v>1</v>
      </c>
      <c r="X19" s="31">
        <v>2</v>
      </c>
      <c r="Y19" s="31">
        <v>0</v>
      </c>
      <c r="Z19" s="31">
        <v>0</v>
      </c>
      <c r="AA19" s="31">
        <v>0</v>
      </c>
      <c r="AB19" s="31">
        <v>5</v>
      </c>
    </row>
    <row r="20" spans="1:28" ht="21.75" customHeight="1" x14ac:dyDescent="0.2">
      <c r="A20" s="145"/>
      <c r="B20" s="233"/>
      <c r="C20" s="135" t="s">
        <v>190</v>
      </c>
      <c r="D20" s="136"/>
      <c r="E20" s="136"/>
      <c r="F20" s="136"/>
      <c r="G20" s="137"/>
      <c r="H20" s="23">
        <v>13</v>
      </c>
      <c r="I20" s="31">
        <v>5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3</v>
      </c>
      <c r="P20" s="31">
        <v>3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2</v>
      </c>
      <c r="W20" s="31">
        <v>3</v>
      </c>
      <c r="X20" s="31">
        <v>0</v>
      </c>
      <c r="Y20" s="31">
        <v>0</v>
      </c>
      <c r="Z20" s="31">
        <v>0</v>
      </c>
      <c r="AA20" s="31">
        <v>0</v>
      </c>
      <c r="AB20" s="31">
        <v>2</v>
      </c>
    </row>
    <row r="21" spans="1:28" ht="39" customHeight="1" x14ac:dyDescent="0.2">
      <c r="A21" s="145"/>
      <c r="B21" s="233"/>
      <c r="C21" s="135" t="s">
        <v>191</v>
      </c>
      <c r="D21" s="136"/>
      <c r="E21" s="136"/>
      <c r="F21" s="136"/>
      <c r="G21" s="137"/>
      <c r="H21" s="23">
        <v>14</v>
      </c>
      <c r="I21" s="31">
        <v>5</v>
      </c>
      <c r="J21" s="31">
        <v>5</v>
      </c>
      <c r="K21" s="31">
        <v>0</v>
      </c>
      <c r="L21" s="31">
        <v>0</v>
      </c>
      <c r="M21" s="31">
        <v>0</v>
      </c>
      <c r="N21" s="31">
        <v>0</v>
      </c>
      <c r="O21" s="31">
        <v>2</v>
      </c>
      <c r="P21" s="31">
        <v>2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1</v>
      </c>
      <c r="X21" s="31">
        <v>0</v>
      </c>
      <c r="Y21" s="31">
        <v>0</v>
      </c>
      <c r="Z21" s="31">
        <v>0</v>
      </c>
      <c r="AA21" s="31">
        <v>0</v>
      </c>
      <c r="AB21" s="31">
        <v>3</v>
      </c>
    </row>
    <row r="22" spans="1:28" ht="28.5" customHeight="1" x14ac:dyDescent="0.2">
      <c r="A22" s="145"/>
      <c r="B22" s="233"/>
      <c r="C22" s="135" t="s">
        <v>192</v>
      </c>
      <c r="D22" s="136"/>
      <c r="E22" s="136"/>
      <c r="F22" s="136"/>
      <c r="G22" s="137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45"/>
      <c r="B23" s="233"/>
      <c r="C23" s="135" t="s">
        <v>193</v>
      </c>
      <c r="D23" s="136"/>
      <c r="E23" s="136"/>
      <c r="F23" s="136"/>
      <c r="G23" s="137"/>
      <c r="H23" s="23">
        <v>16</v>
      </c>
      <c r="I23" s="31">
        <v>1</v>
      </c>
      <c r="J23" s="31">
        <v>1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</v>
      </c>
    </row>
    <row r="24" spans="1:28" ht="21.75" customHeight="1" x14ac:dyDescent="0.2">
      <c r="A24" s="145"/>
      <c r="B24" s="233"/>
      <c r="C24" s="135" t="s">
        <v>194</v>
      </c>
      <c r="D24" s="136"/>
      <c r="E24" s="136"/>
      <c r="F24" s="136"/>
      <c r="G24" s="137"/>
      <c r="H24" s="23">
        <v>17</v>
      </c>
      <c r="I24" s="31">
        <v>5</v>
      </c>
      <c r="J24" s="31">
        <v>4</v>
      </c>
      <c r="K24" s="31">
        <v>0</v>
      </c>
      <c r="L24" s="31">
        <v>0</v>
      </c>
      <c r="M24" s="31">
        <v>0</v>
      </c>
      <c r="N24" s="31">
        <v>0</v>
      </c>
      <c r="O24" s="31">
        <v>1</v>
      </c>
      <c r="P24" s="31">
        <v>1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4</v>
      </c>
    </row>
    <row r="25" spans="1:28" ht="21.75" customHeight="1" x14ac:dyDescent="0.2">
      <c r="A25" s="145"/>
      <c r="B25" s="233"/>
      <c r="C25" s="135" t="s">
        <v>195</v>
      </c>
      <c r="D25" s="136"/>
      <c r="E25" s="136"/>
      <c r="F25" s="136"/>
      <c r="G25" s="137"/>
      <c r="H25" s="23">
        <v>18</v>
      </c>
      <c r="I25" s="31">
        <v>21</v>
      </c>
      <c r="J25" s="31">
        <v>16</v>
      </c>
      <c r="K25" s="31">
        <v>0</v>
      </c>
      <c r="L25" s="31">
        <v>0</v>
      </c>
      <c r="M25" s="31">
        <v>0</v>
      </c>
      <c r="N25" s="31">
        <v>0</v>
      </c>
      <c r="O25" s="31">
        <v>7</v>
      </c>
      <c r="P25" s="31">
        <v>7</v>
      </c>
      <c r="Q25" s="31">
        <v>0</v>
      </c>
      <c r="R25" s="31">
        <v>0</v>
      </c>
      <c r="S25" s="31">
        <v>0</v>
      </c>
      <c r="T25" s="31">
        <v>0</v>
      </c>
      <c r="U25" s="31">
        <v>2</v>
      </c>
      <c r="V25" s="31">
        <v>6</v>
      </c>
      <c r="W25" s="31">
        <v>2</v>
      </c>
      <c r="X25" s="31">
        <v>2</v>
      </c>
      <c r="Y25" s="31">
        <v>0</v>
      </c>
      <c r="Z25" s="31">
        <v>0</v>
      </c>
      <c r="AA25" s="31">
        <v>0</v>
      </c>
      <c r="AB25" s="31">
        <v>14</v>
      </c>
    </row>
    <row r="26" spans="1:28" ht="41.25" customHeight="1" x14ac:dyDescent="0.2">
      <c r="A26" s="145"/>
      <c r="B26" s="233"/>
      <c r="C26" s="135" t="s">
        <v>196</v>
      </c>
      <c r="D26" s="136"/>
      <c r="E26" s="136"/>
      <c r="F26" s="136"/>
      <c r="G26" s="137"/>
      <c r="H26" s="23">
        <v>19</v>
      </c>
      <c r="I26" s="31">
        <v>14</v>
      </c>
      <c r="J26" s="31">
        <v>14</v>
      </c>
      <c r="K26" s="31">
        <v>0</v>
      </c>
      <c r="L26" s="31">
        <v>0</v>
      </c>
      <c r="M26" s="31">
        <v>0</v>
      </c>
      <c r="N26" s="31">
        <v>0</v>
      </c>
      <c r="O26" s="31">
        <v>11</v>
      </c>
      <c r="P26" s="31">
        <v>11</v>
      </c>
      <c r="Q26" s="31">
        <v>0</v>
      </c>
      <c r="R26" s="31">
        <v>0</v>
      </c>
      <c r="S26" s="31">
        <v>0</v>
      </c>
      <c r="T26" s="31">
        <v>0</v>
      </c>
      <c r="U26" s="31">
        <v>10</v>
      </c>
      <c r="V26" s="31">
        <v>0</v>
      </c>
      <c r="W26" s="31">
        <v>6</v>
      </c>
      <c r="X26" s="31">
        <v>0</v>
      </c>
      <c r="Y26" s="31">
        <v>0</v>
      </c>
      <c r="Z26" s="31">
        <v>0</v>
      </c>
      <c r="AA26" s="31">
        <v>0</v>
      </c>
      <c r="AB26" s="31">
        <v>3</v>
      </c>
    </row>
    <row r="27" spans="1:28" ht="27.2" customHeight="1" x14ac:dyDescent="0.2">
      <c r="A27" s="145"/>
      <c r="B27" s="217"/>
      <c r="C27" s="165" t="s">
        <v>197</v>
      </c>
      <c r="D27" s="166"/>
      <c r="E27" s="166"/>
      <c r="F27" s="166"/>
      <c r="G27" s="167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45"/>
      <c r="B28" s="138" t="s">
        <v>198</v>
      </c>
      <c r="C28" s="139"/>
      <c r="D28" s="139"/>
      <c r="E28" s="139"/>
      <c r="F28" s="139"/>
      <c r="G28" s="140"/>
      <c r="H28" s="23">
        <v>21</v>
      </c>
      <c r="I28" s="31">
        <v>2</v>
      </c>
      <c r="J28" s="31">
        <v>2</v>
      </c>
      <c r="K28" s="31">
        <v>0</v>
      </c>
      <c r="L28" s="31">
        <v>0</v>
      </c>
      <c r="M28" s="31">
        <v>0</v>
      </c>
      <c r="N28" s="31">
        <v>0</v>
      </c>
      <c r="O28" s="31">
        <v>2</v>
      </c>
      <c r="P28" s="31">
        <v>2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45"/>
      <c r="B29" s="138" t="s">
        <v>199</v>
      </c>
      <c r="C29" s="139"/>
      <c r="D29" s="139"/>
      <c r="E29" s="139"/>
      <c r="F29" s="139"/>
      <c r="G29" s="140"/>
      <c r="H29" s="23">
        <v>22</v>
      </c>
      <c r="I29" s="31">
        <v>5</v>
      </c>
      <c r="J29" s="31">
        <v>5</v>
      </c>
      <c r="K29" s="31">
        <v>0</v>
      </c>
      <c r="L29" s="31">
        <v>0</v>
      </c>
      <c r="M29" s="31">
        <v>0</v>
      </c>
      <c r="N29" s="31">
        <v>0</v>
      </c>
      <c r="O29" s="31">
        <v>5</v>
      </c>
      <c r="P29" s="31">
        <v>5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2</v>
      </c>
      <c r="Z29" s="31">
        <v>2</v>
      </c>
      <c r="AA29" s="31">
        <v>0</v>
      </c>
      <c r="AB29" s="31">
        <v>0</v>
      </c>
    </row>
    <row r="30" spans="1:28" ht="41.25" customHeight="1" x14ac:dyDescent="0.2">
      <c r="A30" s="145"/>
      <c r="B30" s="138" t="s">
        <v>200</v>
      </c>
      <c r="C30" s="139"/>
      <c r="D30" s="139"/>
      <c r="E30" s="139"/>
      <c r="F30" s="139"/>
      <c r="G30" s="140"/>
      <c r="H30" s="23">
        <v>23</v>
      </c>
      <c r="I30" s="31">
        <v>3</v>
      </c>
      <c r="J30" s="31">
        <v>2</v>
      </c>
      <c r="K30" s="31">
        <v>0</v>
      </c>
      <c r="L30" s="31">
        <v>0</v>
      </c>
      <c r="M30" s="31">
        <v>0</v>
      </c>
      <c r="N30" s="31">
        <v>0</v>
      </c>
      <c r="O30" s="31">
        <v>2</v>
      </c>
      <c r="P30" s="31">
        <v>2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1</v>
      </c>
      <c r="X30" s="31">
        <v>0</v>
      </c>
      <c r="Y30" s="31">
        <v>1</v>
      </c>
      <c r="Z30" s="31">
        <v>1</v>
      </c>
      <c r="AA30" s="31">
        <v>0</v>
      </c>
      <c r="AB30" s="31">
        <v>1</v>
      </c>
    </row>
    <row r="31" spans="1:28" ht="27.2" customHeight="1" x14ac:dyDescent="0.2">
      <c r="A31" s="145"/>
      <c r="B31" s="220" t="s">
        <v>34</v>
      </c>
      <c r="C31" s="138" t="s">
        <v>201</v>
      </c>
      <c r="D31" s="139"/>
      <c r="E31" s="139"/>
      <c r="F31" s="139"/>
      <c r="G31" s="140"/>
      <c r="H31" s="23">
        <v>24</v>
      </c>
      <c r="I31" s="31">
        <v>5640</v>
      </c>
      <c r="J31" s="31">
        <v>428</v>
      </c>
      <c r="K31" s="31">
        <v>1</v>
      </c>
      <c r="L31" s="31">
        <v>0</v>
      </c>
      <c r="M31" s="31">
        <v>1</v>
      </c>
      <c r="N31" s="31">
        <v>0</v>
      </c>
      <c r="O31" s="31">
        <v>244</v>
      </c>
      <c r="P31" s="31">
        <v>222</v>
      </c>
      <c r="Q31" s="31">
        <v>0</v>
      </c>
      <c r="R31" s="31">
        <v>22</v>
      </c>
      <c r="S31" s="31">
        <v>0</v>
      </c>
      <c r="T31" s="31">
        <v>0</v>
      </c>
      <c r="U31" s="31">
        <v>56</v>
      </c>
      <c r="V31" s="31">
        <v>9</v>
      </c>
      <c r="W31" s="31">
        <v>108</v>
      </c>
      <c r="X31" s="31">
        <v>7</v>
      </c>
      <c r="Y31" s="31">
        <v>27</v>
      </c>
      <c r="Z31" s="31">
        <v>10</v>
      </c>
      <c r="AA31" s="31">
        <v>0</v>
      </c>
      <c r="AB31" s="31">
        <v>5378</v>
      </c>
    </row>
    <row r="32" spans="1:28" ht="27.2" customHeight="1" x14ac:dyDescent="0.2">
      <c r="A32" s="145"/>
      <c r="B32" s="222"/>
      <c r="C32" s="49" t="s">
        <v>32</v>
      </c>
      <c r="D32" s="138" t="s">
        <v>797</v>
      </c>
      <c r="E32" s="139"/>
      <c r="F32" s="139"/>
      <c r="G32" s="140"/>
      <c r="H32" s="23">
        <v>25</v>
      </c>
      <c r="I32" s="31">
        <v>5183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5</v>
      </c>
      <c r="Z32" s="31">
        <v>5</v>
      </c>
      <c r="AA32" s="31">
        <v>0</v>
      </c>
      <c r="AB32" s="31">
        <v>5183</v>
      </c>
    </row>
    <row r="33" spans="1:28" ht="27.2" customHeight="1" x14ac:dyDescent="0.2">
      <c r="A33" s="145"/>
      <c r="B33" s="138" t="s">
        <v>203</v>
      </c>
      <c r="C33" s="139"/>
      <c r="D33" s="139"/>
      <c r="E33" s="139"/>
      <c r="F33" s="139"/>
      <c r="G33" s="140"/>
      <c r="H33" s="23">
        <v>26</v>
      </c>
      <c r="I33" s="31">
        <v>26</v>
      </c>
      <c r="J33" s="31">
        <v>18</v>
      </c>
      <c r="K33" s="31">
        <v>0</v>
      </c>
      <c r="L33" s="31">
        <v>0</v>
      </c>
      <c r="M33" s="31">
        <v>0</v>
      </c>
      <c r="N33" s="31">
        <v>0</v>
      </c>
      <c r="O33" s="31">
        <v>13</v>
      </c>
      <c r="P33" s="31">
        <v>13</v>
      </c>
      <c r="Q33" s="31">
        <v>0</v>
      </c>
      <c r="R33" s="31">
        <v>0</v>
      </c>
      <c r="S33" s="31">
        <v>0</v>
      </c>
      <c r="T33" s="31">
        <v>0</v>
      </c>
      <c r="U33" s="31">
        <v>2</v>
      </c>
      <c r="V33" s="31">
        <v>0</v>
      </c>
      <c r="W33" s="31">
        <v>4</v>
      </c>
      <c r="X33" s="31">
        <v>1</v>
      </c>
      <c r="Y33" s="31">
        <v>1</v>
      </c>
      <c r="Z33" s="31">
        <v>1</v>
      </c>
      <c r="AA33" s="31">
        <v>0</v>
      </c>
      <c r="AB33" s="31">
        <v>13</v>
      </c>
    </row>
    <row r="34" spans="1:28" ht="27.2" customHeight="1" x14ac:dyDescent="0.2">
      <c r="A34" s="145"/>
      <c r="B34" s="138" t="s">
        <v>204</v>
      </c>
      <c r="C34" s="139"/>
      <c r="D34" s="139"/>
      <c r="E34" s="139"/>
      <c r="F34" s="139"/>
      <c r="G34" s="140"/>
      <c r="H34" s="23">
        <v>27</v>
      </c>
      <c r="I34" s="31">
        <v>36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1</v>
      </c>
      <c r="P34" s="31">
        <v>0</v>
      </c>
      <c r="Q34" s="31">
        <v>0</v>
      </c>
      <c r="R34" s="31">
        <v>0</v>
      </c>
      <c r="S34" s="31">
        <v>1</v>
      </c>
      <c r="T34" s="31">
        <v>0</v>
      </c>
      <c r="U34" s="31">
        <v>0</v>
      </c>
      <c r="V34" s="31">
        <v>0</v>
      </c>
      <c r="W34" s="31">
        <v>0</v>
      </c>
      <c r="X34" s="31">
        <v>1</v>
      </c>
      <c r="Y34" s="31">
        <v>24</v>
      </c>
      <c r="Z34" s="31">
        <v>24</v>
      </c>
      <c r="AA34" s="31">
        <v>0</v>
      </c>
      <c r="AB34" s="31">
        <v>35</v>
      </c>
    </row>
    <row r="35" spans="1:28" ht="27.2" customHeight="1" x14ac:dyDescent="0.2">
      <c r="A35" s="145"/>
      <c r="B35" s="138" t="s">
        <v>205</v>
      </c>
      <c r="C35" s="139"/>
      <c r="D35" s="139"/>
      <c r="E35" s="139"/>
      <c r="F35" s="139"/>
      <c r="G35" s="140"/>
      <c r="H35" s="23">
        <v>28</v>
      </c>
      <c r="I35" s="31">
        <v>658</v>
      </c>
      <c r="J35" s="31">
        <v>645</v>
      </c>
      <c r="K35" s="31">
        <v>5</v>
      </c>
      <c r="L35" s="31">
        <v>0</v>
      </c>
      <c r="M35" s="31">
        <v>1</v>
      </c>
      <c r="N35" s="31">
        <v>0</v>
      </c>
      <c r="O35" s="31">
        <v>413</v>
      </c>
      <c r="P35" s="31">
        <v>403</v>
      </c>
      <c r="Q35" s="31">
        <v>0</v>
      </c>
      <c r="R35" s="31">
        <v>10</v>
      </c>
      <c r="S35" s="31">
        <v>0</v>
      </c>
      <c r="T35" s="31">
        <v>0</v>
      </c>
      <c r="U35" s="31">
        <v>86</v>
      </c>
      <c r="V35" s="31">
        <v>3</v>
      </c>
      <c r="W35" s="31">
        <v>165</v>
      </c>
      <c r="X35" s="31">
        <v>8</v>
      </c>
      <c r="Y35" s="31">
        <v>15</v>
      </c>
      <c r="Z35" s="31">
        <v>13</v>
      </c>
      <c r="AA35" s="31">
        <v>0</v>
      </c>
      <c r="AB35" s="31">
        <v>238</v>
      </c>
    </row>
    <row r="36" spans="1:28" ht="27.2" customHeight="1" x14ac:dyDescent="0.2">
      <c r="A36" s="145"/>
      <c r="B36" s="216" t="s">
        <v>34</v>
      </c>
      <c r="C36" s="242" t="s">
        <v>206</v>
      </c>
      <c r="D36" s="243"/>
      <c r="E36" s="243"/>
      <c r="F36" s="243"/>
      <c r="G36" s="244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45"/>
      <c r="B37" s="217"/>
      <c r="C37" s="138" t="s">
        <v>798</v>
      </c>
      <c r="D37" s="139"/>
      <c r="E37" s="139"/>
      <c r="F37" s="139"/>
      <c r="G37" s="140"/>
      <c r="H37" s="23">
        <v>30</v>
      </c>
      <c r="I37" s="31">
        <v>164</v>
      </c>
      <c r="J37" s="31">
        <v>161</v>
      </c>
      <c r="K37" s="31">
        <v>0</v>
      </c>
      <c r="L37" s="31">
        <v>0</v>
      </c>
      <c r="M37" s="31">
        <v>0</v>
      </c>
      <c r="N37" s="31">
        <v>0</v>
      </c>
      <c r="O37" s="31">
        <v>112</v>
      </c>
      <c r="P37" s="31">
        <v>110</v>
      </c>
      <c r="Q37" s="31">
        <v>0</v>
      </c>
      <c r="R37" s="31">
        <v>2</v>
      </c>
      <c r="S37" s="31">
        <v>0</v>
      </c>
      <c r="T37" s="31">
        <v>0</v>
      </c>
      <c r="U37" s="31">
        <v>29</v>
      </c>
      <c r="V37" s="31">
        <v>3</v>
      </c>
      <c r="W37" s="31">
        <v>44</v>
      </c>
      <c r="X37" s="31">
        <v>1</v>
      </c>
      <c r="Y37" s="31">
        <v>2</v>
      </c>
      <c r="Z37" s="31">
        <v>0</v>
      </c>
      <c r="AA37" s="31">
        <v>0</v>
      </c>
      <c r="AB37" s="31">
        <v>50</v>
      </c>
    </row>
    <row r="38" spans="1:28" ht="27.2" customHeight="1" x14ac:dyDescent="0.2">
      <c r="A38" s="145"/>
      <c r="B38" s="138" t="s">
        <v>208</v>
      </c>
      <c r="C38" s="139"/>
      <c r="D38" s="139"/>
      <c r="E38" s="139"/>
      <c r="F38" s="139"/>
      <c r="G38" s="140"/>
      <c r="H38" s="23">
        <v>31</v>
      </c>
      <c r="I38" s="31">
        <v>1017</v>
      </c>
      <c r="J38" s="31">
        <v>497</v>
      </c>
      <c r="K38" s="31">
        <v>5</v>
      </c>
      <c r="L38" s="31">
        <v>0</v>
      </c>
      <c r="M38" s="31">
        <v>5</v>
      </c>
      <c r="N38" s="31">
        <v>0</v>
      </c>
      <c r="O38" s="31">
        <v>438</v>
      </c>
      <c r="P38" s="31">
        <v>434</v>
      </c>
      <c r="Q38" s="31">
        <v>1</v>
      </c>
      <c r="R38" s="31">
        <v>3</v>
      </c>
      <c r="S38" s="31">
        <v>0</v>
      </c>
      <c r="T38" s="31">
        <v>0</v>
      </c>
      <c r="U38" s="31">
        <v>77</v>
      </c>
      <c r="V38" s="31">
        <v>7</v>
      </c>
      <c r="W38" s="31">
        <v>74</v>
      </c>
      <c r="X38" s="31">
        <v>14</v>
      </c>
      <c r="Y38" s="31">
        <v>421</v>
      </c>
      <c r="Z38" s="31">
        <v>420</v>
      </c>
      <c r="AA38" s="31">
        <v>0</v>
      </c>
      <c r="AB38" s="31">
        <v>573</v>
      </c>
    </row>
    <row r="39" spans="1:28" ht="27.2" customHeight="1" x14ac:dyDescent="0.2">
      <c r="A39" s="145"/>
      <c r="B39" s="33" t="s">
        <v>34</v>
      </c>
      <c r="C39" s="242" t="s">
        <v>206</v>
      </c>
      <c r="D39" s="243"/>
      <c r="E39" s="243"/>
      <c r="F39" s="243"/>
      <c r="G39" s="244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45"/>
      <c r="B40" s="138" t="s">
        <v>209</v>
      </c>
      <c r="C40" s="139"/>
      <c r="D40" s="139"/>
      <c r="E40" s="139"/>
      <c r="F40" s="139"/>
      <c r="G40" s="140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45"/>
      <c r="B41" s="138" t="s">
        <v>210</v>
      </c>
      <c r="C41" s="139"/>
      <c r="D41" s="139"/>
      <c r="E41" s="139"/>
      <c r="F41" s="139"/>
      <c r="G41" s="140"/>
      <c r="H41" s="23">
        <v>34</v>
      </c>
      <c r="I41" s="31">
        <v>22</v>
      </c>
      <c r="J41" s="31">
        <v>10</v>
      </c>
      <c r="K41" s="31">
        <v>0</v>
      </c>
      <c r="L41" s="31">
        <v>0</v>
      </c>
      <c r="M41" s="31">
        <v>0</v>
      </c>
      <c r="N41" s="31">
        <v>0</v>
      </c>
      <c r="O41" s="31">
        <v>10</v>
      </c>
      <c r="P41" s="31">
        <v>10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3</v>
      </c>
      <c r="X41" s="31">
        <v>0</v>
      </c>
      <c r="Y41" s="31">
        <v>10</v>
      </c>
      <c r="Z41" s="31">
        <v>10</v>
      </c>
      <c r="AA41" s="31">
        <v>0</v>
      </c>
      <c r="AB41" s="31">
        <v>12</v>
      </c>
    </row>
    <row r="42" spans="1:28" ht="27.2" customHeight="1" x14ac:dyDescent="0.2">
      <c r="A42" s="145"/>
      <c r="B42" s="245" t="s">
        <v>211</v>
      </c>
      <c r="C42" s="246"/>
      <c r="D42" s="246"/>
      <c r="E42" s="246"/>
      <c r="F42" s="246"/>
      <c r="G42" s="247"/>
      <c r="H42" s="23">
        <v>35</v>
      </c>
      <c r="I42" s="53">
        <v>8878</v>
      </c>
      <c r="J42" s="53">
        <v>6388</v>
      </c>
      <c r="K42" s="53">
        <v>9</v>
      </c>
      <c r="L42" s="53">
        <v>0</v>
      </c>
      <c r="M42" s="53">
        <v>8</v>
      </c>
      <c r="N42" s="53">
        <v>0</v>
      </c>
      <c r="O42" s="53">
        <v>6293</v>
      </c>
      <c r="P42" s="53">
        <v>6222</v>
      </c>
      <c r="Q42" s="53">
        <v>3</v>
      </c>
      <c r="R42" s="53">
        <v>38</v>
      </c>
      <c r="S42" s="53">
        <v>30</v>
      </c>
      <c r="T42" s="53">
        <v>0</v>
      </c>
      <c r="U42" s="53">
        <v>933</v>
      </c>
      <c r="V42" s="53">
        <v>35</v>
      </c>
      <c r="W42" s="53">
        <v>984</v>
      </c>
      <c r="X42" s="53">
        <v>113</v>
      </c>
      <c r="Y42" s="53">
        <v>4952</v>
      </c>
      <c r="Z42" s="53">
        <v>4937</v>
      </c>
      <c r="AA42" s="53">
        <v>0</v>
      </c>
      <c r="AB42" s="53">
        <v>2561</v>
      </c>
    </row>
    <row r="43" spans="1:28" ht="27.2" customHeight="1" x14ac:dyDescent="0.2">
      <c r="A43" s="145"/>
      <c r="B43" s="138" t="s">
        <v>212</v>
      </c>
      <c r="C43" s="139"/>
      <c r="D43" s="139"/>
      <c r="E43" s="139"/>
      <c r="F43" s="139"/>
      <c r="G43" s="140"/>
      <c r="H43" s="23">
        <v>36</v>
      </c>
      <c r="I43" s="31">
        <v>1282</v>
      </c>
      <c r="J43" s="31">
        <v>1040</v>
      </c>
      <c r="K43" s="31">
        <v>0</v>
      </c>
      <c r="L43" s="31">
        <v>0</v>
      </c>
      <c r="M43" s="31">
        <v>0</v>
      </c>
      <c r="N43" s="31">
        <v>0</v>
      </c>
      <c r="O43" s="31">
        <v>1041</v>
      </c>
      <c r="P43" s="31">
        <v>1023</v>
      </c>
      <c r="Q43" s="31">
        <v>2</v>
      </c>
      <c r="R43" s="31">
        <v>6</v>
      </c>
      <c r="S43" s="31">
        <v>10</v>
      </c>
      <c r="T43" s="31">
        <v>0</v>
      </c>
      <c r="U43" s="31">
        <v>131</v>
      </c>
      <c r="V43" s="31">
        <v>1</v>
      </c>
      <c r="W43" s="31">
        <v>63</v>
      </c>
      <c r="X43" s="31">
        <v>13</v>
      </c>
      <c r="Y43" s="31">
        <v>380</v>
      </c>
      <c r="Z43" s="31">
        <v>380</v>
      </c>
      <c r="AA43" s="31">
        <v>0</v>
      </c>
      <c r="AB43" s="31">
        <v>241</v>
      </c>
    </row>
    <row r="44" spans="1:28" ht="27.75" customHeight="1" x14ac:dyDescent="0.2">
      <c r="A44" s="145"/>
      <c r="B44" s="216" t="s">
        <v>32</v>
      </c>
      <c r="C44" s="242" t="s">
        <v>213</v>
      </c>
      <c r="D44" s="243"/>
      <c r="E44" s="243"/>
      <c r="F44" s="243"/>
      <c r="G44" s="244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45"/>
      <c r="B45" s="233"/>
      <c r="C45" s="138" t="s">
        <v>214</v>
      </c>
      <c r="D45" s="139"/>
      <c r="E45" s="139"/>
      <c r="F45" s="139"/>
      <c r="G45" s="140"/>
      <c r="H45" s="23">
        <v>38</v>
      </c>
      <c r="I45" s="31">
        <v>1249</v>
      </c>
      <c r="J45" s="31">
        <v>1038</v>
      </c>
      <c r="K45" s="31">
        <v>0</v>
      </c>
      <c r="L45" s="31">
        <v>0</v>
      </c>
      <c r="M45" s="31">
        <v>0</v>
      </c>
      <c r="N45" s="31">
        <v>0</v>
      </c>
      <c r="O45" s="31">
        <v>1039</v>
      </c>
      <c r="P45" s="31">
        <v>1021</v>
      </c>
      <c r="Q45" s="31">
        <v>2</v>
      </c>
      <c r="R45" s="31">
        <v>6</v>
      </c>
      <c r="S45" s="31">
        <v>10</v>
      </c>
      <c r="T45" s="31">
        <v>0</v>
      </c>
      <c r="U45" s="31">
        <v>131</v>
      </c>
      <c r="V45" s="31">
        <v>0</v>
      </c>
      <c r="W45" s="31">
        <v>62</v>
      </c>
      <c r="X45" s="31">
        <v>13</v>
      </c>
      <c r="Y45" s="31">
        <v>374</v>
      </c>
      <c r="Z45" s="31">
        <v>374</v>
      </c>
      <c r="AA45" s="31">
        <v>0</v>
      </c>
      <c r="AB45" s="31">
        <v>210</v>
      </c>
    </row>
    <row r="46" spans="1:28" ht="27.2" customHeight="1" x14ac:dyDescent="0.2">
      <c r="A46" s="145"/>
      <c r="B46" s="217"/>
      <c r="C46" s="138" t="s">
        <v>215</v>
      </c>
      <c r="D46" s="139"/>
      <c r="E46" s="139"/>
      <c r="F46" s="139"/>
      <c r="G46" s="140"/>
      <c r="H46" s="23">
        <v>39</v>
      </c>
      <c r="I46" s="54">
        <v>33</v>
      </c>
      <c r="J46" s="54">
        <v>2</v>
      </c>
      <c r="K46" s="54">
        <v>0</v>
      </c>
      <c r="L46" s="54">
        <v>0</v>
      </c>
      <c r="M46" s="31">
        <v>0</v>
      </c>
      <c r="N46" s="31">
        <v>0</v>
      </c>
      <c r="O46" s="31">
        <v>2</v>
      </c>
      <c r="P46" s="31">
        <v>2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1</v>
      </c>
      <c r="W46" s="31">
        <v>1</v>
      </c>
      <c r="X46" s="31">
        <v>0</v>
      </c>
      <c r="Y46" s="31">
        <v>6</v>
      </c>
      <c r="Z46" s="31">
        <v>6</v>
      </c>
      <c r="AA46" s="31">
        <v>0</v>
      </c>
      <c r="AB46" s="31">
        <v>31</v>
      </c>
    </row>
    <row r="47" spans="1:28" ht="27.2" customHeight="1" x14ac:dyDescent="0.2">
      <c r="A47" s="145"/>
      <c r="B47" s="138" t="s">
        <v>216</v>
      </c>
      <c r="C47" s="139"/>
      <c r="D47" s="139"/>
      <c r="E47" s="139"/>
      <c r="F47" s="139"/>
      <c r="G47" s="140"/>
      <c r="H47" s="23">
        <v>40</v>
      </c>
      <c r="I47" s="54">
        <v>1252</v>
      </c>
      <c r="J47" s="54">
        <v>987</v>
      </c>
      <c r="K47" s="54">
        <v>5</v>
      </c>
      <c r="L47" s="54">
        <v>0</v>
      </c>
      <c r="M47" s="31">
        <v>3</v>
      </c>
      <c r="N47" s="31">
        <v>0</v>
      </c>
      <c r="O47" s="31">
        <v>893</v>
      </c>
      <c r="P47" s="31">
        <v>880</v>
      </c>
      <c r="Q47" s="31">
        <v>0</v>
      </c>
      <c r="R47" s="31">
        <v>13</v>
      </c>
      <c r="S47" s="31">
        <v>0</v>
      </c>
      <c r="T47" s="31">
        <v>0</v>
      </c>
      <c r="U47" s="31">
        <v>278</v>
      </c>
      <c r="V47" s="31">
        <v>2</v>
      </c>
      <c r="W47" s="31">
        <v>214</v>
      </c>
      <c r="X47" s="31">
        <v>0</v>
      </c>
      <c r="Y47" s="31">
        <v>205</v>
      </c>
      <c r="Z47" s="31">
        <v>199</v>
      </c>
      <c r="AA47" s="31">
        <v>0</v>
      </c>
      <c r="AB47" s="31">
        <v>348</v>
      </c>
    </row>
    <row r="48" spans="1:28" ht="24" customHeight="1" x14ac:dyDescent="0.2">
      <c r="A48" s="145"/>
      <c r="B48" s="138" t="s">
        <v>217</v>
      </c>
      <c r="C48" s="139"/>
      <c r="D48" s="139"/>
      <c r="E48" s="139"/>
      <c r="F48" s="139"/>
      <c r="G48" s="140"/>
      <c r="H48" s="23">
        <v>41</v>
      </c>
      <c r="I48" s="31">
        <v>44</v>
      </c>
      <c r="J48" s="31">
        <v>24</v>
      </c>
      <c r="K48" s="31">
        <v>0</v>
      </c>
      <c r="L48" s="31">
        <v>0</v>
      </c>
      <c r="M48" s="31">
        <v>0</v>
      </c>
      <c r="N48" s="31">
        <v>0</v>
      </c>
      <c r="O48" s="31">
        <v>17</v>
      </c>
      <c r="P48" s="31">
        <v>16</v>
      </c>
      <c r="Q48" s="31">
        <v>0</v>
      </c>
      <c r="R48" s="31">
        <v>0</v>
      </c>
      <c r="S48" s="31">
        <v>1</v>
      </c>
      <c r="T48" s="31">
        <v>0</v>
      </c>
      <c r="U48" s="31">
        <v>2</v>
      </c>
      <c r="V48" s="31">
        <v>8</v>
      </c>
      <c r="W48" s="31">
        <v>1</v>
      </c>
      <c r="X48" s="31">
        <v>7</v>
      </c>
      <c r="Y48" s="31">
        <v>7</v>
      </c>
      <c r="Z48" s="31">
        <v>7</v>
      </c>
      <c r="AA48" s="31">
        <v>0</v>
      </c>
      <c r="AB48" s="31">
        <v>27</v>
      </c>
    </row>
    <row r="49" spans="1:28" ht="24" customHeight="1" x14ac:dyDescent="0.2">
      <c r="A49" s="145"/>
      <c r="B49" s="33" t="s">
        <v>34</v>
      </c>
      <c r="C49" s="242" t="s">
        <v>206</v>
      </c>
      <c r="D49" s="243"/>
      <c r="E49" s="243"/>
      <c r="F49" s="243"/>
      <c r="G49" s="244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45"/>
      <c r="B50" s="138" t="s">
        <v>218</v>
      </c>
      <c r="C50" s="139"/>
      <c r="D50" s="139"/>
      <c r="E50" s="139"/>
      <c r="F50" s="139"/>
      <c r="G50" s="140"/>
      <c r="H50" s="23">
        <v>43</v>
      </c>
      <c r="I50" s="31">
        <v>352</v>
      </c>
      <c r="J50" s="31">
        <v>119</v>
      </c>
      <c r="K50" s="31">
        <v>0</v>
      </c>
      <c r="L50" s="31">
        <v>0</v>
      </c>
      <c r="M50" s="31">
        <v>0</v>
      </c>
      <c r="N50" s="31">
        <v>0</v>
      </c>
      <c r="O50" s="31">
        <v>108</v>
      </c>
      <c r="P50" s="31">
        <v>103</v>
      </c>
      <c r="Q50" s="31">
        <v>2</v>
      </c>
      <c r="R50" s="31">
        <v>2</v>
      </c>
      <c r="S50" s="31">
        <v>1</v>
      </c>
      <c r="T50" s="31">
        <v>0</v>
      </c>
      <c r="U50" s="31">
        <v>9</v>
      </c>
      <c r="V50" s="31">
        <v>0</v>
      </c>
      <c r="W50" s="31">
        <v>18</v>
      </c>
      <c r="X50" s="31">
        <v>4</v>
      </c>
      <c r="Y50" s="31">
        <v>288</v>
      </c>
      <c r="Z50" s="31">
        <v>287</v>
      </c>
      <c r="AA50" s="31">
        <v>0</v>
      </c>
      <c r="AB50" s="31">
        <v>243</v>
      </c>
    </row>
    <row r="51" spans="1:28" ht="27.2" customHeight="1" x14ac:dyDescent="0.2">
      <c r="A51" s="145"/>
      <c r="B51" s="138" t="s">
        <v>219</v>
      </c>
      <c r="C51" s="139"/>
      <c r="D51" s="139"/>
      <c r="E51" s="139"/>
      <c r="F51" s="139"/>
      <c r="G51" s="140"/>
      <c r="H51" s="23">
        <v>44</v>
      </c>
      <c r="I51" s="31">
        <v>319</v>
      </c>
      <c r="J51" s="31">
        <v>116</v>
      </c>
      <c r="K51" s="31">
        <v>2</v>
      </c>
      <c r="L51" s="31">
        <v>0</v>
      </c>
      <c r="M51" s="31">
        <v>2</v>
      </c>
      <c r="N51" s="31">
        <v>0</v>
      </c>
      <c r="O51" s="31">
        <v>105</v>
      </c>
      <c r="P51" s="31">
        <v>103</v>
      </c>
      <c r="Q51" s="31">
        <v>1</v>
      </c>
      <c r="R51" s="31">
        <v>1</v>
      </c>
      <c r="S51" s="31">
        <v>0</v>
      </c>
      <c r="T51" s="31">
        <v>0</v>
      </c>
      <c r="U51" s="31">
        <v>23</v>
      </c>
      <c r="V51" s="31">
        <v>0</v>
      </c>
      <c r="W51" s="31">
        <v>15</v>
      </c>
      <c r="X51" s="31">
        <v>1</v>
      </c>
      <c r="Y51" s="31">
        <v>234</v>
      </c>
      <c r="Z51" s="31">
        <v>233</v>
      </c>
      <c r="AA51" s="31">
        <v>0</v>
      </c>
      <c r="AB51" s="31">
        <v>211</v>
      </c>
    </row>
    <row r="52" spans="1:28" ht="27.2" customHeight="1" x14ac:dyDescent="0.2">
      <c r="A52" s="145"/>
      <c r="B52" s="216" t="s">
        <v>32</v>
      </c>
      <c r="C52" s="138" t="s">
        <v>220</v>
      </c>
      <c r="D52" s="139"/>
      <c r="E52" s="139"/>
      <c r="F52" s="139"/>
      <c r="G52" s="140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45"/>
      <c r="B53" s="233"/>
      <c r="C53" s="138" t="s">
        <v>221</v>
      </c>
      <c r="D53" s="139"/>
      <c r="E53" s="139"/>
      <c r="F53" s="139"/>
      <c r="G53" s="140"/>
      <c r="H53" s="23">
        <v>46</v>
      </c>
      <c r="I53" s="54">
        <v>318</v>
      </c>
      <c r="J53" s="54">
        <v>116</v>
      </c>
      <c r="K53" s="54">
        <v>2</v>
      </c>
      <c r="L53" s="54">
        <v>0</v>
      </c>
      <c r="M53" s="31">
        <v>2</v>
      </c>
      <c r="N53" s="31">
        <v>0</v>
      </c>
      <c r="O53" s="31">
        <v>105</v>
      </c>
      <c r="P53" s="31">
        <v>103</v>
      </c>
      <c r="Q53" s="31">
        <v>1</v>
      </c>
      <c r="R53" s="31">
        <v>1</v>
      </c>
      <c r="S53" s="31">
        <v>0</v>
      </c>
      <c r="T53" s="31">
        <v>0</v>
      </c>
      <c r="U53" s="31">
        <v>23</v>
      </c>
      <c r="V53" s="31">
        <v>0</v>
      </c>
      <c r="W53" s="31">
        <v>15</v>
      </c>
      <c r="X53" s="31">
        <v>1</v>
      </c>
      <c r="Y53" s="31">
        <v>234</v>
      </c>
      <c r="Z53" s="31">
        <v>233</v>
      </c>
      <c r="AA53" s="31">
        <v>0</v>
      </c>
      <c r="AB53" s="31">
        <v>210</v>
      </c>
    </row>
    <row r="54" spans="1:28" ht="27.2" customHeight="1" x14ac:dyDescent="0.2">
      <c r="A54" s="145"/>
      <c r="B54" s="217"/>
      <c r="C54" s="138" t="s">
        <v>222</v>
      </c>
      <c r="D54" s="139"/>
      <c r="E54" s="139"/>
      <c r="F54" s="139"/>
      <c r="G54" s="140"/>
      <c r="H54" s="23">
        <v>47</v>
      </c>
      <c r="I54" s="31">
        <v>1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</v>
      </c>
    </row>
    <row r="55" spans="1:28" ht="33" customHeight="1" x14ac:dyDescent="0.2">
      <c r="A55" s="146"/>
      <c r="B55" s="138" t="s">
        <v>223</v>
      </c>
      <c r="C55" s="139"/>
      <c r="D55" s="139"/>
      <c r="E55" s="139"/>
      <c r="F55" s="139"/>
      <c r="G55" s="140"/>
      <c r="H55" s="23">
        <v>48</v>
      </c>
      <c r="I55" s="31">
        <v>1</v>
      </c>
      <c r="J55" s="31">
        <v>1</v>
      </c>
      <c r="K55" s="31">
        <v>0</v>
      </c>
      <c r="L55" s="31">
        <v>0</v>
      </c>
      <c r="M55" s="31">
        <v>0</v>
      </c>
      <c r="N55" s="31">
        <v>0</v>
      </c>
      <c r="O55" s="31">
        <v>1</v>
      </c>
      <c r="P55" s="31">
        <v>1</v>
      </c>
      <c r="Q55" s="31">
        <v>0</v>
      </c>
      <c r="R55" s="31">
        <v>0</v>
      </c>
      <c r="S55" s="31">
        <v>0</v>
      </c>
      <c r="T55" s="31">
        <v>0</v>
      </c>
      <c r="U55" s="31">
        <v>1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13.5" customHeight="1" x14ac:dyDescent="0.2">
      <c r="A56" s="150" t="s">
        <v>41</v>
      </c>
      <c r="B56" s="151"/>
      <c r="C56" s="151"/>
      <c r="D56" s="151"/>
      <c r="E56" s="151"/>
      <c r="F56" s="151"/>
      <c r="G56" s="152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44" t="s">
        <v>165</v>
      </c>
      <c r="B57" s="138" t="s">
        <v>799</v>
      </c>
      <c r="C57" s="139"/>
      <c r="D57" s="139"/>
      <c r="E57" s="139"/>
      <c r="F57" s="139"/>
      <c r="G57" s="140"/>
      <c r="H57" s="23">
        <v>49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62.25" customHeight="1" x14ac:dyDescent="0.2">
      <c r="A58" s="145"/>
      <c r="B58" s="138" t="s">
        <v>225</v>
      </c>
      <c r="C58" s="139"/>
      <c r="D58" s="139"/>
      <c r="E58" s="139"/>
      <c r="F58" s="139"/>
      <c r="G58" s="140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45"/>
      <c r="B59" s="138" t="s">
        <v>226</v>
      </c>
      <c r="C59" s="139"/>
      <c r="D59" s="139"/>
      <c r="E59" s="139"/>
      <c r="F59" s="139"/>
      <c r="G59" s="140"/>
      <c r="H59" s="23">
        <v>51</v>
      </c>
      <c r="I59" s="31">
        <v>1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</v>
      </c>
    </row>
    <row r="60" spans="1:28" ht="27.2" customHeight="1" x14ac:dyDescent="0.2">
      <c r="A60" s="145"/>
      <c r="B60" s="138" t="s">
        <v>227</v>
      </c>
      <c r="C60" s="139"/>
      <c r="D60" s="139"/>
      <c r="E60" s="139"/>
      <c r="F60" s="139"/>
      <c r="G60" s="140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45"/>
      <c r="B61" s="220" t="s">
        <v>800</v>
      </c>
      <c r="C61" s="138" t="s">
        <v>801</v>
      </c>
      <c r="D61" s="139"/>
      <c r="E61" s="139"/>
      <c r="F61" s="139"/>
      <c r="G61" s="140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45"/>
      <c r="B62" s="222"/>
      <c r="C62" s="138" t="s">
        <v>229</v>
      </c>
      <c r="D62" s="139"/>
      <c r="E62" s="139"/>
      <c r="F62" s="139"/>
      <c r="G62" s="140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45"/>
      <c r="B63" s="138" t="s">
        <v>230</v>
      </c>
      <c r="C63" s="139"/>
      <c r="D63" s="139"/>
      <c r="E63" s="139"/>
      <c r="F63" s="139"/>
      <c r="G63" s="140"/>
      <c r="H63" s="23">
        <v>55</v>
      </c>
      <c r="I63" s="31">
        <v>111</v>
      </c>
      <c r="J63" s="31">
        <v>67</v>
      </c>
      <c r="K63" s="31">
        <v>1</v>
      </c>
      <c r="L63" s="31">
        <v>0</v>
      </c>
      <c r="M63" s="31">
        <v>1</v>
      </c>
      <c r="N63" s="31">
        <v>0</v>
      </c>
      <c r="O63" s="31">
        <v>60</v>
      </c>
      <c r="P63" s="31">
        <v>60</v>
      </c>
      <c r="Q63" s="31">
        <v>0</v>
      </c>
      <c r="R63" s="31">
        <v>0</v>
      </c>
      <c r="S63" s="31">
        <v>0</v>
      </c>
      <c r="T63" s="31">
        <v>0</v>
      </c>
      <c r="U63" s="31">
        <v>7</v>
      </c>
      <c r="V63" s="31">
        <v>1</v>
      </c>
      <c r="W63" s="31">
        <v>24</v>
      </c>
      <c r="X63" s="31">
        <v>0</v>
      </c>
      <c r="Y63" s="31">
        <v>8</v>
      </c>
      <c r="Z63" s="31">
        <v>7</v>
      </c>
      <c r="AA63" s="31">
        <v>0</v>
      </c>
      <c r="AB63" s="31">
        <v>49</v>
      </c>
    </row>
    <row r="64" spans="1:28" ht="27.2" customHeight="1" x14ac:dyDescent="0.2">
      <c r="A64" s="145"/>
      <c r="B64" s="138" t="s">
        <v>231</v>
      </c>
      <c r="C64" s="139"/>
      <c r="D64" s="139"/>
      <c r="E64" s="139"/>
      <c r="F64" s="139"/>
      <c r="G64" s="140"/>
      <c r="H64" s="23">
        <v>56</v>
      </c>
      <c r="I64" s="31">
        <v>4</v>
      </c>
      <c r="J64" s="31">
        <v>1</v>
      </c>
      <c r="K64" s="31">
        <v>0</v>
      </c>
      <c r="L64" s="31">
        <v>0</v>
      </c>
      <c r="M64" s="31">
        <v>0</v>
      </c>
      <c r="N64" s="31">
        <v>0</v>
      </c>
      <c r="O64" s="31">
        <v>1</v>
      </c>
      <c r="P64" s="31">
        <v>1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1</v>
      </c>
      <c r="X64" s="31">
        <v>0</v>
      </c>
      <c r="Y64" s="31">
        <v>2</v>
      </c>
      <c r="Z64" s="31">
        <v>2</v>
      </c>
      <c r="AA64" s="31">
        <v>0</v>
      </c>
      <c r="AB64" s="31">
        <v>3</v>
      </c>
    </row>
    <row r="65" spans="1:28" ht="27.2" customHeight="1" x14ac:dyDescent="0.2">
      <c r="A65" s="145"/>
      <c r="B65" s="138" t="s">
        <v>232</v>
      </c>
      <c r="C65" s="139"/>
      <c r="D65" s="139"/>
      <c r="E65" s="139"/>
      <c r="F65" s="139"/>
      <c r="G65" s="140"/>
      <c r="H65" s="23">
        <v>57</v>
      </c>
      <c r="I65" s="31">
        <v>19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5</v>
      </c>
      <c r="Z65" s="31">
        <v>5</v>
      </c>
      <c r="AA65" s="31">
        <v>0</v>
      </c>
      <c r="AB65" s="31">
        <v>19</v>
      </c>
    </row>
    <row r="66" spans="1:28" ht="27.2" customHeight="1" x14ac:dyDescent="0.2">
      <c r="A66" s="145"/>
      <c r="B66" s="138" t="s">
        <v>233</v>
      </c>
      <c r="C66" s="139"/>
      <c r="D66" s="139"/>
      <c r="E66" s="139"/>
      <c r="F66" s="139"/>
      <c r="G66" s="140"/>
      <c r="H66" s="23">
        <v>58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1</v>
      </c>
      <c r="Z66" s="31">
        <v>1</v>
      </c>
      <c r="AA66" s="31">
        <v>0</v>
      </c>
      <c r="AB66" s="31">
        <v>1</v>
      </c>
    </row>
    <row r="67" spans="1:28" ht="27.2" customHeight="1" x14ac:dyDescent="0.2">
      <c r="A67" s="145"/>
      <c r="B67" s="138" t="s">
        <v>234</v>
      </c>
      <c r="C67" s="139"/>
      <c r="D67" s="139"/>
      <c r="E67" s="139"/>
      <c r="F67" s="139"/>
      <c r="G67" s="140"/>
      <c r="H67" s="23">
        <v>59</v>
      </c>
      <c r="I67" s="31">
        <v>10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4</v>
      </c>
      <c r="Z67" s="31">
        <v>4</v>
      </c>
      <c r="AA67" s="31">
        <v>0</v>
      </c>
      <c r="AB67" s="31">
        <v>10</v>
      </c>
    </row>
    <row r="68" spans="1:28" ht="27.2" customHeight="1" x14ac:dyDescent="0.2">
      <c r="A68" s="145"/>
      <c r="B68" s="220" t="s">
        <v>800</v>
      </c>
      <c r="C68" s="138" t="s">
        <v>235</v>
      </c>
      <c r="D68" s="139"/>
      <c r="E68" s="139"/>
      <c r="F68" s="139"/>
      <c r="G68" s="140"/>
      <c r="H68" s="23">
        <v>60</v>
      </c>
      <c r="I68" s="31">
        <v>6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4</v>
      </c>
      <c r="Z68" s="31">
        <v>4</v>
      </c>
      <c r="AA68" s="31">
        <v>0</v>
      </c>
      <c r="AB68" s="31">
        <v>6</v>
      </c>
    </row>
    <row r="69" spans="1:28" ht="27.2" customHeight="1" x14ac:dyDescent="0.2">
      <c r="A69" s="145"/>
      <c r="B69" s="222"/>
      <c r="C69" s="138" t="s">
        <v>236</v>
      </c>
      <c r="D69" s="139"/>
      <c r="E69" s="139"/>
      <c r="F69" s="139"/>
      <c r="G69" s="140"/>
      <c r="H69" s="23">
        <v>61</v>
      </c>
      <c r="I69" s="54">
        <v>4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4</v>
      </c>
    </row>
    <row r="70" spans="1:28" ht="27.2" customHeight="1" x14ac:dyDescent="0.2">
      <c r="A70" s="145"/>
      <c r="B70" s="138" t="s">
        <v>237</v>
      </c>
      <c r="C70" s="139"/>
      <c r="D70" s="139"/>
      <c r="E70" s="139"/>
      <c r="F70" s="139"/>
      <c r="G70" s="140"/>
      <c r="H70" s="23">
        <v>62</v>
      </c>
      <c r="I70" s="31">
        <v>228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34</v>
      </c>
      <c r="Z70" s="31">
        <v>34</v>
      </c>
      <c r="AA70" s="31">
        <v>0</v>
      </c>
      <c r="AB70" s="31">
        <v>228</v>
      </c>
    </row>
    <row r="71" spans="1:28" ht="27.2" customHeight="1" x14ac:dyDescent="0.2">
      <c r="A71" s="145"/>
      <c r="B71" s="138" t="s">
        <v>238</v>
      </c>
      <c r="C71" s="139"/>
      <c r="D71" s="139"/>
      <c r="E71" s="139"/>
      <c r="F71" s="139"/>
      <c r="G71" s="140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45"/>
      <c r="B72" s="138" t="s">
        <v>239</v>
      </c>
      <c r="C72" s="139"/>
      <c r="D72" s="139"/>
      <c r="E72" s="139"/>
      <c r="F72" s="139"/>
      <c r="G72" s="140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45"/>
      <c r="B73" s="138" t="s">
        <v>240</v>
      </c>
      <c r="C73" s="139"/>
      <c r="D73" s="139"/>
      <c r="E73" s="139"/>
      <c r="F73" s="139"/>
      <c r="G73" s="140"/>
      <c r="H73" s="23">
        <v>65</v>
      </c>
      <c r="I73" s="31">
        <v>73</v>
      </c>
      <c r="J73" s="31">
        <v>1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2</v>
      </c>
      <c r="Z73" s="31">
        <v>2</v>
      </c>
      <c r="AA73" s="31">
        <v>0</v>
      </c>
      <c r="AB73" s="31">
        <v>73</v>
      </c>
    </row>
    <row r="74" spans="1:28" ht="27.2" customHeight="1" x14ac:dyDescent="0.2">
      <c r="A74" s="145"/>
      <c r="B74" s="138" t="s">
        <v>241</v>
      </c>
      <c r="C74" s="139"/>
      <c r="D74" s="139"/>
      <c r="E74" s="139"/>
      <c r="F74" s="139"/>
      <c r="G74" s="140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45"/>
      <c r="B75" s="220" t="s">
        <v>32</v>
      </c>
      <c r="C75" s="138" t="s">
        <v>242</v>
      </c>
      <c r="D75" s="139"/>
      <c r="E75" s="139"/>
      <c r="F75" s="139"/>
      <c r="G75" s="140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45"/>
      <c r="B76" s="222"/>
      <c r="C76" s="138" t="s">
        <v>243</v>
      </c>
      <c r="D76" s="139"/>
      <c r="E76" s="139"/>
      <c r="F76" s="139"/>
      <c r="G76" s="140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45"/>
      <c r="B77" s="138" t="s">
        <v>244</v>
      </c>
      <c r="C77" s="139"/>
      <c r="D77" s="139"/>
      <c r="E77" s="139"/>
      <c r="F77" s="139"/>
      <c r="G77" s="140"/>
      <c r="H77" s="23">
        <v>69</v>
      </c>
      <c r="I77" s="31">
        <v>1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</v>
      </c>
    </row>
    <row r="78" spans="1:28" ht="27.2" customHeight="1" x14ac:dyDescent="0.2">
      <c r="A78" s="146"/>
      <c r="B78" s="138" t="s">
        <v>179</v>
      </c>
      <c r="C78" s="139"/>
      <c r="D78" s="139"/>
      <c r="E78" s="139"/>
      <c r="F78" s="139"/>
      <c r="G78" s="140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8" t="s">
        <v>115</v>
      </c>
      <c r="B79" s="139"/>
      <c r="C79" s="139"/>
      <c r="D79" s="139"/>
      <c r="E79" s="139"/>
      <c r="F79" s="139"/>
      <c r="G79" s="140"/>
      <c r="H79" s="23">
        <v>71</v>
      </c>
      <c r="I79" s="31">
        <f t="shared" ref="I79:AB79" si="0">SUM(I8:I55,I57:I78)</f>
        <v>141374</v>
      </c>
      <c r="J79" s="31">
        <f t="shared" si="0"/>
        <v>32874</v>
      </c>
      <c r="K79" s="31">
        <f t="shared" si="0"/>
        <v>87</v>
      </c>
      <c r="L79" s="31">
        <f t="shared" si="0"/>
        <v>0</v>
      </c>
      <c r="M79" s="31">
        <f t="shared" si="0"/>
        <v>66</v>
      </c>
      <c r="N79" s="31">
        <f t="shared" si="0"/>
        <v>0</v>
      </c>
      <c r="O79" s="31">
        <f t="shared" si="0"/>
        <v>30460</v>
      </c>
      <c r="P79" s="31">
        <f t="shared" si="0"/>
        <v>29973</v>
      </c>
      <c r="Q79" s="31">
        <f t="shared" si="0"/>
        <v>30</v>
      </c>
      <c r="R79" s="31">
        <f t="shared" si="0"/>
        <v>318</v>
      </c>
      <c r="S79" s="31">
        <f t="shared" si="0"/>
        <v>139</v>
      </c>
      <c r="T79" s="31">
        <f t="shared" si="0"/>
        <v>0</v>
      </c>
      <c r="U79" s="31">
        <f t="shared" si="0"/>
        <v>5073</v>
      </c>
      <c r="V79" s="31">
        <f t="shared" si="0"/>
        <v>219</v>
      </c>
      <c r="W79" s="31">
        <f t="shared" si="0"/>
        <v>5272</v>
      </c>
      <c r="X79" s="31">
        <f t="shared" si="0"/>
        <v>533</v>
      </c>
      <c r="Y79" s="31">
        <f t="shared" si="0"/>
        <v>143206</v>
      </c>
      <c r="Z79" s="31">
        <f t="shared" si="0"/>
        <v>143044</v>
      </c>
      <c r="AA79" s="31">
        <f t="shared" si="0"/>
        <v>0</v>
      </c>
      <c r="AB79" s="31">
        <f t="shared" si="0"/>
        <v>110665</v>
      </c>
    </row>
    <row r="80" spans="1:28" ht="19.5" customHeight="1" x14ac:dyDescent="0.2"/>
    <row r="81" spans="1:28" ht="29.25" customHeight="1" x14ac:dyDescent="0.25">
      <c r="A81" s="241" t="s">
        <v>802</v>
      </c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  <c r="AA81" s="241"/>
      <c r="AB81" s="57"/>
    </row>
    <row r="82" spans="1:28" ht="31.5" customHeight="1" x14ac:dyDescent="0.2">
      <c r="A82" s="178"/>
      <c r="B82" s="179"/>
      <c r="C82" s="179"/>
      <c r="D82" s="179"/>
      <c r="E82" s="179"/>
      <c r="F82" s="179"/>
      <c r="G82" s="180"/>
      <c r="H82" s="187" t="s">
        <v>15</v>
      </c>
      <c r="I82" s="168" t="s">
        <v>1148</v>
      </c>
      <c r="J82" s="168" t="s">
        <v>16</v>
      </c>
      <c r="K82" s="168" t="s">
        <v>17</v>
      </c>
      <c r="L82" s="171" t="s">
        <v>18</v>
      </c>
      <c r="M82" s="172"/>
      <c r="N82" s="173"/>
      <c r="O82" s="168" t="s">
        <v>19</v>
      </c>
      <c r="P82" s="171" t="s">
        <v>20</v>
      </c>
      <c r="Q82" s="172"/>
      <c r="R82" s="172"/>
      <c r="S82" s="173"/>
      <c r="T82" s="168" t="s">
        <v>21</v>
      </c>
      <c r="U82" s="171" t="s">
        <v>22</v>
      </c>
      <c r="V82" s="172"/>
      <c r="W82" s="172"/>
      <c r="X82" s="173"/>
      <c r="Y82" s="171" t="s">
        <v>23</v>
      </c>
      <c r="Z82" s="172"/>
      <c r="AA82" s="173"/>
      <c r="AB82" s="168" t="s">
        <v>24</v>
      </c>
    </row>
    <row r="83" spans="1:28" ht="22.5" customHeight="1" x14ac:dyDescent="0.2">
      <c r="A83" s="181"/>
      <c r="B83" s="182"/>
      <c r="C83" s="182"/>
      <c r="D83" s="182"/>
      <c r="E83" s="182"/>
      <c r="F83" s="182"/>
      <c r="G83" s="183"/>
      <c r="H83" s="188"/>
      <c r="I83" s="170"/>
      <c r="J83" s="170"/>
      <c r="K83" s="170"/>
      <c r="L83" s="168" t="s">
        <v>25</v>
      </c>
      <c r="M83" s="168" t="s">
        <v>26</v>
      </c>
      <c r="N83" s="168" t="s">
        <v>27</v>
      </c>
      <c r="O83" s="170"/>
      <c r="P83" s="168" t="s">
        <v>28</v>
      </c>
      <c r="Q83" s="168" t="s">
        <v>29</v>
      </c>
      <c r="R83" s="168" t="s">
        <v>30</v>
      </c>
      <c r="S83" s="168" t="s">
        <v>31</v>
      </c>
      <c r="T83" s="170"/>
      <c r="U83" s="171" t="s">
        <v>32</v>
      </c>
      <c r="V83" s="172"/>
      <c r="W83" s="172"/>
      <c r="X83" s="173"/>
      <c r="Y83" s="168" t="s">
        <v>33</v>
      </c>
      <c r="Z83" s="171" t="s">
        <v>34</v>
      </c>
      <c r="AA83" s="173"/>
      <c r="AB83" s="170"/>
    </row>
    <row r="84" spans="1:28" ht="79.5" customHeight="1" x14ac:dyDescent="0.2">
      <c r="A84" s="184"/>
      <c r="B84" s="185"/>
      <c r="C84" s="185"/>
      <c r="D84" s="185"/>
      <c r="E84" s="185"/>
      <c r="F84" s="185"/>
      <c r="G84" s="186"/>
      <c r="H84" s="18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9" t="s">
        <v>35</v>
      </c>
      <c r="V84" s="16" t="s">
        <v>36</v>
      </c>
      <c r="W84" s="16" t="s">
        <v>37</v>
      </c>
      <c r="X84" s="16" t="s">
        <v>38</v>
      </c>
      <c r="Y84" s="169"/>
      <c r="Z84" s="18" t="s">
        <v>39</v>
      </c>
      <c r="AA84" s="17" t="s">
        <v>40</v>
      </c>
      <c r="AB84" s="169"/>
    </row>
    <row r="85" spans="1:28" ht="13.5" customHeight="1" x14ac:dyDescent="0.2">
      <c r="A85" s="150" t="s">
        <v>41</v>
      </c>
      <c r="B85" s="151"/>
      <c r="C85" s="151"/>
      <c r="D85" s="151"/>
      <c r="E85" s="151"/>
      <c r="F85" s="151"/>
      <c r="G85" s="152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53" t="s">
        <v>43</v>
      </c>
      <c r="B86" s="154"/>
      <c r="C86" s="154"/>
      <c r="D86" s="154"/>
      <c r="E86" s="154"/>
      <c r="F86" s="154"/>
      <c r="G86" s="155"/>
      <c r="H86" s="23">
        <v>1</v>
      </c>
      <c r="I86" s="31">
        <v>318</v>
      </c>
      <c r="J86" s="31">
        <v>133</v>
      </c>
      <c r="K86" s="31">
        <v>4</v>
      </c>
      <c r="L86" s="31">
        <v>0</v>
      </c>
      <c r="M86" s="31">
        <v>4</v>
      </c>
      <c r="N86" s="31">
        <v>0</v>
      </c>
      <c r="O86" s="31">
        <v>72</v>
      </c>
      <c r="P86" s="31">
        <v>71</v>
      </c>
      <c r="Q86" s="31">
        <v>0</v>
      </c>
      <c r="R86" s="31">
        <v>1</v>
      </c>
      <c r="S86" s="31">
        <v>0</v>
      </c>
      <c r="T86" s="31">
        <v>0</v>
      </c>
      <c r="U86" s="31">
        <v>17</v>
      </c>
      <c r="V86" s="31">
        <v>30</v>
      </c>
      <c r="W86" s="31">
        <v>6</v>
      </c>
      <c r="X86" s="31">
        <v>2</v>
      </c>
      <c r="Y86" s="31">
        <v>166</v>
      </c>
      <c r="Z86" s="31">
        <v>166</v>
      </c>
      <c r="AA86" s="31">
        <v>0</v>
      </c>
      <c r="AB86" s="31">
        <v>242</v>
      </c>
    </row>
    <row r="87" spans="1:28" ht="22.5" customHeight="1" x14ac:dyDescent="0.2">
      <c r="A87" s="156" t="s">
        <v>181</v>
      </c>
      <c r="B87" s="158"/>
      <c r="C87" s="165" t="s">
        <v>51</v>
      </c>
      <c r="D87" s="166"/>
      <c r="E87" s="166"/>
      <c r="F87" s="166"/>
      <c r="G87" s="167"/>
      <c r="H87" s="23">
        <v>2</v>
      </c>
      <c r="I87" s="31">
        <v>100</v>
      </c>
      <c r="J87" s="31">
        <v>57</v>
      </c>
      <c r="K87" s="31">
        <v>4</v>
      </c>
      <c r="L87" s="31">
        <v>0</v>
      </c>
      <c r="M87" s="31">
        <v>4</v>
      </c>
      <c r="N87" s="31">
        <v>0</v>
      </c>
      <c r="O87" s="31">
        <v>32</v>
      </c>
      <c r="P87" s="31">
        <v>32</v>
      </c>
      <c r="Q87" s="31">
        <v>0</v>
      </c>
      <c r="R87" s="31">
        <v>0</v>
      </c>
      <c r="S87" s="31">
        <v>0</v>
      </c>
      <c r="T87" s="31">
        <v>0</v>
      </c>
      <c r="U87" s="31">
        <v>6</v>
      </c>
      <c r="V87" s="31">
        <v>12</v>
      </c>
      <c r="W87" s="31">
        <v>1</v>
      </c>
      <c r="X87" s="31">
        <v>0</v>
      </c>
      <c r="Y87" s="31">
        <v>2</v>
      </c>
      <c r="Z87" s="31">
        <v>2</v>
      </c>
      <c r="AA87" s="31">
        <v>0</v>
      </c>
      <c r="AB87" s="31">
        <v>64</v>
      </c>
    </row>
    <row r="88" spans="1:28" ht="22.5" customHeight="1" x14ac:dyDescent="0.2">
      <c r="A88" s="159"/>
      <c r="B88" s="161"/>
      <c r="C88" s="165" t="s">
        <v>52</v>
      </c>
      <c r="D88" s="166"/>
      <c r="E88" s="166"/>
      <c r="F88" s="166"/>
      <c r="G88" s="167"/>
      <c r="H88" s="23">
        <v>3</v>
      </c>
      <c r="I88" s="31">
        <v>25</v>
      </c>
      <c r="J88" s="31">
        <v>14</v>
      </c>
      <c r="K88" s="31">
        <v>0</v>
      </c>
      <c r="L88" s="31">
        <v>0</v>
      </c>
      <c r="M88" s="31">
        <v>0</v>
      </c>
      <c r="N88" s="31">
        <v>0</v>
      </c>
      <c r="O88" s="31">
        <v>7</v>
      </c>
      <c r="P88" s="31">
        <v>6</v>
      </c>
      <c r="Q88" s="31">
        <v>0</v>
      </c>
      <c r="R88" s="31">
        <v>1</v>
      </c>
      <c r="S88" s="31">
        <v>0</v>
      </c>
      <c r="T88" s="31">
        <v>0</v>
      </c>
      <c r="U88" s="31">
        <v>1</v>
      </c>
      <c r="V88" s="31">
        <v>0</v>
      </c>
      <c r="W88" s="31">
        <v>0</v>
      </c>
      <c r="X88" s="31">
        <v>0</v>
      </c>
      <c r="Y88" s="31">
        <v>6</v>
      </c>
      <c r="Z88" s="31">
        <v>6</v>
      </c>
      <c r="AA88" s="31">
        <v>0</v>
      </c>
      <c r="AB88" s="31">
        <v>18</v>
      </c>
    </row>
    <row r="89" spans="1:28" ht="22.5" customHeight="1" x14ac:dyDescent="0.2">
      <c r="A89" s="159"/>
      <c r="B89" s="161"/>
      <c r="C89" s="165" t="s">
        <v>182</v>
      </c>
      <c r="D89" s="166"/>
      <c r="E89" s="166"/>
      <c r="F89" s="166"/>
      <c r="G89" s="167"/>
      <c r="H89" s="23">
        <v>4</v>
      </c>
      <c r="I89" s="31">
        <v>193</v>
      </c>
      <c r="J89" s="31">
        <v>62</v>
      </c>
      <c r="K89" s="31">
        <v>0</v>
      </c>
      <c r="L89" s="31">
        <v>0</v>
      </c>
      <c r="M89" s="31">
        <v>0</v>
      </c>
      <c r="N89" s="31">
        <v>0</v>
      </c>
      <c r="O89" s="31">
        <v>33</v>
      </c>
      <c r="P89" s="31">
        <v>33</v>
      </c>
      <c r="Q89" s="31">
        <v>0</v>
      </c>
      <c r="R89" s="31">
        <v>0</v>
      </c>
      <c r="S89" s="31">
        <v>0</v>
      </c>
      <c r="T89" s="31">
        <v>0</v>
      </c>
      <c r="U89" s="31">
        <v>10</v>
      </c>
      <c r="V89" s="31">
        <v>18</v>
      </c>
      <c r="W89" s="31">
        <v>5</v>
      </c>
      <c r="X89" s="31">
        <v>2</v>
      </c>
      <c r="Y89" s="31">
        <v>158</v>
      </c>
      <c r="Z89" s="31">
        <v>158</v>
      </c>
      <c r="AA89" s="31">
        <v>0</v>
      </c>
      <c r="AB89" s="31">
        <v>160</v>
      </c>
    </row>
    <row r="90" spans="1:28" ht="22.5" customHeight="1" x14ac:dyDescent="0.2">
      <c r="A90" s="162"/>
      <c r="B90" s="164"/>
      <c r="C90" s="165" t="s">
        <v>49</v>
      </c>
      <c r="D90" s="166"/>
      <c r="E90" s="166"/>
      <c r="F90" s="166"/>
      <c r="G90" s="167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7.2" customHeight="1" x14ac:dyDescent="0.2">
      <c r="A91" s="144" t="s">
        <v>165</v>
      </c>
      <c r="B91" s="138" t="s">
        <v>246</v>
      </c>
      <c r="C91" s="139"/>
      <c r="D91" s="139"/>
      <c r="E91" s="139"/>
      <c r="F91" s="139"/>
      <c r="G91" s="140"/>
      <c r="H91" s="23">
        <v>6</v>
      </c>
      <c r="I91" s="31">
        <v>169</v>
      </c>
      <c r="J91" s="31">
        <v>64</v>
      </c>
      <c r="K91" s="31">
        <v>0</v>
      </c>
      <c r="L91" s="31">
        <v>0</v>
      </c>
      <c r="M91" s="31">
        <v>0</v>
      </c>
      <c r="N91" s="31">
        <v>0</v>
      </c>
      <c r="O91" s="31">
        <v>33</v>
      </c>
      <c r="P91" s="31">
        <v>33</v>
      </c>
      <c r="Q91" s="31">
        <v>0</v>
      </c>
      <c r="R91" s="31">
        <v>0</v>
      </c>
      <c r="S91" s="31">
        <v>0</v>
      </c>
      <c r="T91" s="31">
        <v>0</v>
      </c>
      <c r="U91" s="31">
        <v>10</v>
      </c>
      <c r="V91" s="31">
        <v>18</v>
      </c>
      <c r="W91" s="31">
        <v>5</v>
      </c>
      <c r="X91" s="31">
        <v>1</v>
      </c>
      <c r="Y91" s="31">
        <v>139</v>
      </c>
      <c r="Z91" s="31">
        <v>139</v>
      </c>
      <c r="AA91" s="31">
        <v>0</v>
      </c>
      <c r="AB91" s="31">
        <v>136</v>
      </c>
    </row>
    <row r="92" spans="1:28" ht="27.2" customHeight="1" x14ac:dyDescent="0.2">
      <c r="A92" s="145"/>
      <c r="B92" s="49" t="s">
        <v>32</v>
      </c>
      <c r="C92" s="139" t="s">
        <v>247</v>
      </c>
      <c r="D92" s="139"/>
      <c r="E92" s="139"/>
      <c r="F92" s="139"/>
      <c r="G92" s="140"/>
      <c r="H92" s="23">
        <v>7</v>
      </c>
      <c r="I92" s="31">
        <v>4</v>
      </c>
      <c r="J92" s="31">
        <v>3</v>
      </c>
      <c r="K92" s="31">
        <v>0</v>
      </c>
      <c r="L92" s="31">
        <v>0</v>
      </c>
      <c r="M92" s="31">
        <v>0</v>
      </c>
      <c r="N92" s="31">
        <v>0</v>
      </c>
      <c r="O92" s="31">
        <v>1</v>
      </c>
      <c r="P92" s="31">
        <v>1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1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3</v>
      </c>
    </row>
    <row r="93" spans="1:28" ht="27.2" customHeight="1" x14ac:dyDescent="0.2">
      <c r="A93" s="145"/>
      <c r="B93" s="138" t="s">
        <v>248</v>
      </c>
      <c r="C93" s="139"/>
      <c r="D93" s="139"/>
      <c r="E93" s="139"/>
      <c r="F93" s="139"/>
      <c r="G93" s="140"/>
      <c r="H93" s="23">
        <v>8</v>
      </c>
      <c r="I93" s="54">
        <v>30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22</v>
      </c>
      <c r="Z93" s="31">
        <v>22</v>
      </c>
      <c r="AA93" s="31">
        <v>0</v>
      </c>
      <c r="AB93" s="31">
        <v>30</v>
      </c>
    </row>
    <row r="94" spans="1:28" ht="27.2" customHeight="1" x14ac:dyDescent="0.2">
      <c r="A94" s="145"/>
      <c r="B94" s="138" t="s">
        <v>249</v>
      </c>
      <c r="C94" s="139"/>
      <c r="D94" s="139"/>
      <c r="E94" s="139"/>
      <c r="F94" s="139"/>
      <c r="G94" s="140"/>
      <c r="H94" s="23">
        <v>9</v>
      </c>
      <c r="I94" s="31">
        <v>3</v>
      </c>
      <c r="J94" s="31">
        <v>3</v>
      </c>
      <c r="K94" s="31">
        <v>0</v>
      </c>
      <c r="L94" s="31">
        <v>0</v>
      </c>
      <c r="M94" s="31">
        <v>0</v>
      </c>
      <c r="N94" s="31">
        <v>0</v>
      </c>
      <c r="O94" s="31">
        <v>2</v>
      </c>
      <c r="P94" s="31">
        <v>1</v>
      </c>
      <c r="Q94" s="31">
        <v>0</v>
      </c>
      <c r="R94" s="31">
        <v>1</v>
      </c>
      <c r="S94" s="31">
        <v>0</v>
      </c>
      <c r="T94" s="31">
        <v>0</v>
      </c>
      <c r="U94" s="31">
        <v>0</v>
      </c>
      <c r="V94" s="31">
        <v>0</v>
      </c>
      <c r="W94" s="31">
        <v>1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45"/>
      <c r="B95" s="138" t="s">
        <v>250</v>
      </c>
      <c r="C95" s="139"/>
      <c r="D95" s="139"/>
      <c r="E95" s="139"/>
      <c r="F95" s="139"/>
      <c r="G95" s="140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45"/>
      <c r="B96" s="138" t="s">
        <v>251</v>
      </c>
      <c r="C96" s="139"/>
      <c r="D96" s="139"/>
      <c r="E96" s="139"/>
      <c r="F96" s="139"/>
      <c r="G96" s="140"/>
      <c r="H96" s="23">
        <v>11</v>
      </c>
      <c r="I96" s="31">
        <v>112</v>
      </c>
      <c r="J96" s="31">
        <v>65</v>
      </c>
      <c r="K96" s="31">
        <v>4</v>
      </c>
      <c r="L96" s="31">
        <v>0</v>
      </c>
      <c r="M96" s="31">
        <v>4</v>
      </c>
      <c r="N96" s="31">
        <v>0</v>
      </c>
      <c r="O96" s="31">
        <v>36</v>
      </c>
      <c r="P96" s="31">
        <v>36</v>
      </c>
      <c r="Q96" s="31">
        <v>0</v>
      </c>
      <c r="R96" s="31">
        <v>0</v>
      </c>
      <c r="S96" s="31">
        <v>0</v>
      </c>
      <c r="T96" s="31">
        <v>0</v>
      </c>
      <c r="U96" s="31">
        <v>7</v>
      </c>
      <c r="V96" s="31">
        <v>12</v>
      </c>
      <c r="W96" s="31">
        <v>0</v>
      </c>
      <c r="X96" s="31">
        <v>0</v>
      </c>
      <c r="Y96" s="31">
        <v>2</v>
      </c>
      <c r="Z96" s="31">
        <v>2</v>
      </c>
      <c r="AA96" s="31">
        <v>0</v>
      </c>
      <c r="AB96" s="31">
        <v>72</v>
      </c>
    </row>
    <row r="97" spans="1:28" ht="27.2" customHeight="1" x14ac:dyDescent="0.2">
      <c r="A97" s="145"/>
      <c r="B97" s="220" t="s">
        <v>32</v>
      </c>
      <c r="C97" s="138" t="s">
        <v>252</v>
      </c>
      <c r="D97" s="139"/>
      <c r="E97" s="139"/>
      <c r="F97" s="139"/>
      <c r="G97" s="140"/>
      <c r="H97" s="23">
        <v>12</v>
      </c>
      <c r="I97" s="31">
        <v>75</v>
      </c>
      <c r="J97" s="31">
        <v>39</v>
      </c>
      <c r="K97" s="31">
        <v>4</v>
      </c>
      <c r="L97" s="31">
        <v>0</v>
      </c>
      <c r="M97" s="31">
        <v>4</v>
      </c>
      <c r="N97" s="31">
        <v>0</v>
      </c>
      <c r="O97" s="31">
        <v>17</v>
      </c>
      <c r="P97" s="31">
        <v>17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4</v>
      </c>
      <c r="W97" s="31">
        <v>0</v>
      </c>
      <c r="X97" s="31">
        <v>0</v>
      </c>
      <c r="Y97" s="31">
        <v>2</v>
      </c>
      <c r="Z97" s="31">
        <v>2</v>
      </c>
      <c r="AA97" s="31">
        <v>0</v>
      </c>
      <c r="AB97" s="31">
        <v>54</v>
      </c>
    </row>
    <row r="98" spans="1:28" ht="27.2" customHeight="1" x14ac:dyDescent="0.2">
      <c r="A98" s="145"/>
      <c r="B98" s="222"/>
      <c r="C98" s="138" t="s">
        <v>253</v>
      </c>
      <c r="D98" s="139"/>
      <c r="E98" s="139"/>
      <c r="F98" s="139"/>
      <c r="G98" s="140"/>
      <c r="H98" s="23">
        <v>13</v>
      </c>
      <c r="I98" s="31">
        <v>23</v>
      </c>
      <c r="J98" s="31">
        <v>16</v>
      </c>
      <c r="K98" s="31">
        <v>0</v>
      </c>
      <c r="L98" s="31">
        <v>0</v>
      </c>
      <c r="M98" s="31">
        <v>0</v>
      </c>
      <c r="N98" s="31">
        <v>0</v>
      </c>
      <c r="O98" s="31">
        <v>14</v>
      </c>
      <c r="P98" s="31">
        <v>14</v>
      </c>
      <c r="Q98" s="31">
        <v>0</v>
      </c>
      <c r="R98" s="31">
        <v>0</v>
      </c>
      <c r="S98" s="31">
        <v>0</v>
      </c>
      <c r="T98" s="31">
        <v>0</v>
      </c>
      <c r="U98" s="31">
        <v>6</v>
      </c>
      <c r="V98" s="31">
        <v>8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9</v>
      </c>
    </row>
    <row r="99" spans="1:28" ht="27.2" customHeight="1" x14ac:dyDescent="0.2">
      <c r="A99" s="145"/>
      <c r="B99" s="138" t="s">
        <v>254</v>
      </c>
      <c r="C99" s="139"/>
      <c r="D99" s="139"/>
      <c r="E99" s="139"/>
      <c r="F99" s="139"/>
      <c r="G99" s="140"/>
      <c r="H99" s="23">
        <v>14</v>
      </c>
      <c r="I99" s="31">
        <v>1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1</v>
      </c>
    </row>
    <row r="100" spans="1:28" ht="27.2" customHeight="1" x14ac:dyDescent="0.2">
      <c r="A100" s="145"/>
      <c r="B100" s="220" t="s">
        <v>32</v>
      </c>
      <c r="C100" s="138" t="s">
        <v>255</v>
      </c>
      <c r="D100" s="139"/>
      <c r="E100" s="139"/>
      <c r="F100" s="139"/>
      <c r="G100" s="140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2" customHeight="1" x14ac:dyDescent="0.2">
      <c r="A101" s="145"/>
      <c r="B101" s="222"/>
      <c r="C101" s="138" t="s">
        <v>256</v>
      </c>
      <c r="D101" s="139"/>
      <c r="E101" s="139"/>
      <c r="F101" s="139"/>
      <c r="G101" s="140"/>
      <c r="H101" s="23">
        <v>16</v>
      </c>
      <c r="I101" s="54">
        <v>1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1</v>
      </c>
    </row>
    <row r="102" spans="1:28" ht="27.75" customHeight="1" x14ac:dyDescent="0.2">
      <c r="A102" s="145"/>
      <c r="B102" s="138" t="s">
        <v>257</v>
      </c>
      <c r="C102" s="139"/>
      <c r="D102" s="139"/>
      <c r="E102" s="139"/>
      <c r="F102" s="139"/>
      <c r="G102" s="140"/>
      <c r="H102" s="23">
        <v>17</v>
      </c>
      <c r="I102" s="31">
        <v>1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1</v>
      </c>
      <c r="P102" s="31">
        <v>1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1</v>
      </c>
      <c r="Y102" s="31">
        <v>1</v>
      </c>
      <c r="Z102" s="31">
        <v>1</v>
      </c>
      <c r="AA102" s="31">
        <v>0</v>
      </c>
      <c r="AB102" s="31">
        <v>0</v>
      </c>
    </row>
    <row r="103" spans="1:28" ht="27.2" customHeight="1" x14ac:dyDescent="0.2">
      <c r="A103" s="145"/>
      <c r="B103" s="138" t="s">
        <v>258</v>
      </c>
      <c r="C103" s="139"/>
      <c r="D103" s="139"/>
      <c r="E103" s="139"/>
      <c r="F103" s="139"/>
      <c r="G103" s="140"/>
      <c r="H103" s="23">
        <v>18</v>
      </c>
      <c r="I103" s="31">
        <v>2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2</v>
      </c>
      <c r="Z103" s="31">
        <v>2</v>
      </c>
      <c r="AA103" s="31">
        <v>0</v>
      </c>
      <c r="AB103" s="31">
        <v>2</v>
      </c>
    </row>
    <row r="104" spans="1:28" ht="27.2" customHeight="1" x14ac:dyDescent="0.2">
      <c r="A104" s="145"/>
      <c r="B104" s="138" t="s">
        <v>259</v>
      </c>
      <c r="C104" s="139"/>
      <c r="D104" s="139"/>
      <c r="E104" s="139"/>
      <c r="F104" s="139"/>
      <c r="G104" s="140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6"/>
      <c r="B105" s="138" t="s">
        <v>179</v>
      </c>
      <c r="C105" s="139"/>
      <c r="D105" s="139"/>
      <c r="E105" s="139"/>
      <c r="F105" s="139"/>
      <c r="G105" s="140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8" t="s">
        <v>115</v>
      </c>
      <c r="B106" s="139"/>
      <c r="C106" s="139"/>
      <c r="D106" s="139"/>
      <c r="E106" s="139"/>
      <c r="F106" s="139"/>
      <c r="G106" s="140"/>
      <c r="H106" s="23">
        <v>21</v>
      </c>
      <c r="I106" s="31">
        <f t="shared" ref="I106:AB106" si="1">SUM(I86:I105)</f>
        <v>1057</v>
      </c>
      <c r="J106" s="31">
        <f t="shared" si="1"/>
        <v>457</v>
      </c>
      <c r="K106" s="31">
        <f t="shared" si="1"/>
        <v>16</v>
      </c>
      <c r="L106" s="31">
        <f t="shared" si="1"/>
        <v>0</v>
      </c>
      <c r="M106" s="31">
        <f t="shared" si="1"/>
        <v>16</v>
      </c>
      <c r="N106" s="31">
        <f t="shared" si="1"/>
        <v>0</v>
      </c>
      <c r="O106" s="31">
        <f t="shared" si="1"/>
        <v>248</v>
      </c>
      <c r="P106" s="31">
        <f t="shared" si="1"/>
        <v>245</v>
      </c>
      <c r="Q106" s="31">
        <f t="shared" si="1"/>
        <v>0</v>
      </c>
      <c r="R106" s="31">
        <f t="shared" si="1"/>
        <v>3</v>
      </c>
      <c r="S106" s="31">
        <f t="shared" si="1"/>
        <v>0</v>
      </c>
      <c r="T106" s="31">
        <f t="shared" si="1"/>
        <v>0</v>
      </c>
      <c r="U106" s="31">
        <f t="shared" si="1"/>
        <v>57</v>
      </c>
      <c r="V106" s="31">
        <f t="shared" si="1"/>
        <v>103</v>
      </c>
      <c r="W106" s="31">
        <f t="shared" si="1"/>
        <v>18</v>
      </c>
      <c r="X106" s="31">
        <f t="shared" si="1"/>
        <v>6</v>
      </c>
      <c r="Y106" s="31">
        <f t="shared" si="1"/>
        <v>501</v>
      </c>
      <c r="Z106" s="31">
        <f t="shared" si="1"/>
        <v>501</v>
      </c>
      <c r="AA106" s="31">
        <f t="shared" si="1"/>
        <v>0</v>
      </c>
      <c r="AB106" s="31">
        <f t="shared" si="1"/>
        <v>793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40" t="s">
        <v>803</v>
      </c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  <c r="AA108" s="240"/>
      <c r="AB108" s="57"/>
    </row>
    <row r="109" spans="1:28" ht="29.25" customHeight="1" x14ac:dyDescent="0.2">
      <c r="A109" s="178"/>
      <c r="B109" s="179"/>
      <c r="C109" s="179"/>
      <c r="D109" s="179"/>
      <c r="E109" s="179"/>
      <c r="F109" s="179"/>
      <c r="G109" s="180"/>
      <c r="H109" s="187" t="s">
        <v>15</v>
      </c>
      <c r="I109" s="168" t="s">
        <v>1148</v>
      </c>
      <c r="J109" s="168" t="s">
        <v>16</v>
      </c>
      <c r="K109" s="168" t="s">
        <v>17</v>
      </c>
      <c r="L109" s="171" t="s">
        <v>18</v>
      </c>
      <c r="M109" s="172"/>
      <c r="N109" s="173"/>
      <c r="O109" s="168" t="s">
        <v>19</v>
      </c>
      <c r="P109" s="171" t="s">
        <v>20</v>
      </c>
      <c r="Q109" s="172"/>
      <c r="R109" s="172"/>
      <c r="S109" s="173"/>
      <c r="T109" s="168" t="s">
        <v>21</v>
      </c>
      <c r="U109" s="171" t="s">
        <v>22</v>
      </c>
      <c r="V109" s="172"/>
      <c r="W109" s="172"/>
      <c r="X109" s="173"/>
      <c r="Y109" s="171" t="s">
        <v>23</v>
      </c>
      <c r="Z109" s="172"/>
      <c r="AA109" s="173"/>
      <c r="AB109" s="168" t="s">
        <v>24</v>
      </c>
    </row>
    <row r="110" spans="1:28" ht="20.25" customHeight="1" x14ac:dyDescent="0.2">
      <c r="A110" s="181"/>
      <c r="B110" s="182"/>
      <c r="C110" s="182"/>
      <c r="D110" s="182"/>
      <c r="E110" s="182"/>
      <c r="F110" s="182"/>
      <c r="G110" s="183"/>
      <c r="H110" s="188"/>
      <c r="I110" s="170"/>
      <c r="J110" s="170"/>
      <c r="K110" s="170"/>
      <c r="L110" s="168" t="s">
        <v>25</v>
      </c>
      <c r="M110" s="168" t="s">
        <v>26</v>
      </c>
      <c r="N110" s="168" t="s">
        <v>27</v>
      </c>
      <c r="O110" s="170"/>
      <c r="P110" s="168" t="s">
        <v>28</v>
      </c>
      <c r="Q110" s="168" t="s">
        <v>29</v>
      </c>
      <c r="R110" s="168" t="s">
        <v>30</v>
      </c>
      <c r="S110" s="168" t="s">
        <v>31</v>
      </c>
      <c r="T110" s="170"/>
      <c r="U110" s="171" t="s">
        <v>32</v>
      </c>
      <c r="V110" s="172"/>
      <c r="W110" s="172"/>
      <c r="X110" s="173"/>
      <c r="Y110" s="168" t="s">
        <v>33</v>
      </c>
      <c r="Z110" s="171" t="s">
        <v>34</v>
      </c>
      <c r="AA110" s="173"/>
      <c r="AB110" s="170"/>
    </row>
    <row r="111" spans="1:28" ht="81.75" customHeight="1" x14ac:dyDescent="0.2">
      <c r="A111" s="184"/>
      <c r="B111" s="185"/>
      <c r="C111" s="185"/>
      <c r="D111" s="185"/>
      <c r="E111" s="185"/>
      <c r="F111" s="185"/>
      <c r="G111" s="186"/>
      <c r="H111" s="18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9" t="s">
        <v>35</v>
      </c>
      <c r="V111" s="16" t="s">
        <v>36</v>
      </c>
      <c r="W111" s="16" t="s">
        <v>37</v>
      </c>
      <c r="X111" s="16" t="s">
        <v>38</v>
      </c>
      <c r="Y111" s="169"/>
      <c r="Z111" s="18" t="s">
        <v>39</v>
      </c>
      <c r="AA111" s="17" t="s">
        <v>40</v>
      </c>
      <c r="AB111" s="169"/>
    </row>
    <row r="112" spans="1:28" ht="15" customHeight="1" x14ac:dyDescent="0.2">
      <c r="A112" s="150" t="s">
        <v>41</v>
      </c>
      <c r="B112" s="151"/>
      <c r="C112" s="151"/>
      <c r="D112" s="151"/>
      <c r="E112" s="151"/>
      <c r="F112" s="151"/>
      <c r="G112" s="152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53" t="s">
        <v>43</v>
      </c>
      <c r="B113" s="154"/>
      <c r="C113" s="154"/>
      <c r="D113" s="154"/>
      <c r="E113" s="154"/>
      <c r="F113" s="154"/>
      <c r="G113" s="155"/>
      <c r="H113" s="23">
        <v>1</v>
      </c>
      <c r="I113" s="31">
        <v>581</v>
      </c>
      <c r="J113" s="31">
        <v>458</v>
      </c>
      <c r="K113" s="31">
        <v>7</v>
      </c>
      <c r="L113" s="31">
        <v>0</v>
      </c>
      <c r="M113" s="31">
        <v>3</v>
      </c>
      <c r="N113" s="31">
        <v>4</v>
      </c>
      <c r="O113" s="31">
        <v>337</v>
      </c>
      <c r="P113" s="31">
        <v>325</v>
      </c>
      <c r="Q113" s="31">
        <v>0</v>
      </c>
      <c r="R113" s="31">
        <v>5</v>
      </c>
      <c r="S113" s="31">
        <v>7</v>
      </c>
      <c r="T113" s="31">
        <v>0</v>
      </c>
      <c r="U113" s="31">
        <v>53</v>
      </c>
      <c r="V113" s="31">
        <v>2</v>
      </c>
      <c r="W113" s="31">
        <v>30</v>
      </c>
      <c r="X113" s="31">
        <v>47</v>
      </c>
      <c r="Y113" s="31">
        <v>78</v>
      </c>
      <c r="Z113" s="31">
        <v>74</v>
      </c>
      <c r="AA113" s="31">
        <v>0</v>
      </c>
      <c r="AB113" s="31">
        <v>233</v>
      </c>
    </row>
    <row r="114" spans="1:28" ht="21" customHeight="1" x14ac:dyDescent="0.2">
      <c r="A114" s="156" t="s">
        <v>181</v>
      </c>
      <c r="B114" s="158"/>
      <c r="C114" s="165" t="s">
        <v>51</v>
      </c>
      <c r="D114" s="166"/>
      <c r="E114" s="166"/>
      <c r="F114" s="166"/>
      <c r="G114" s="167"/>
      <c r="H114" s="23">
        <v>2</v>
      </c>
      <c r="I114" s="31">
        <v>234</v>
      </c>
      <c r="J114" s="31">
        <v>214</v>
      </c>
      <c r="K114" s="31">
        <v>6</v>
      </c>
      <c r="L114" s="31">
        <v>0</v>
      </c>
      <c r="M114" s="31">
        <v>2</v>
      </c>
      <c r="N114" s="31">
        <v>4</v>
      </c>
      <c r="O114" s="31">
        <v>152</v>
      </c>
      <c r="P114" s="31">
        <v>143</v>
      </c>
      <c r="Q114" s="31">
        <v>0</v>
      </c>
      <c r="R114" s="31">
        <v>2</v>
      </c>
      <c r="S114" s="31">
        <v>7</v>
      </c>
      <c r="T114" s="31">
        <v>0</v>
      </c>
      <c r="U114" s="31">
        <v>19</v>
      </c>
      <c r="V114" s="31">
        <v>2</v>
      </c>
      <c r="W114" s="31">
        <v>18</v>
      </c>
      <c r="X114" s="31">
        <v>39</v>
      </c>
      <c r="Y114" s="31">
        <v>27</v>
      </c>
      <c r="Z114" s="31">
        <v>23</v>
      </c>
      <c r="AA114" s="31">
        <v>0</v>
      </c>
      <c r="AB114" s="31">
        <v>72</v>
      </c>
    </row>
    <row r="115" spans="1:28" ht="21" customHeight="1" x14ac:dyDescent="0.2">
      <c r="A115" s="159"/>
      <c r="B115" s="161"/>
      <c r="C115" s="165" t="s">
        <v>52</v>
      </c>
      <c r="D115" s="166"/>
      <c r="E115" s="166"/>
      <c r="F115" s="166"/>
      <c r="G115" s="167"/>
      <c r="H115" s="23">
        <v>3</v>
      </c>
      <c r="I115" s="31">
        <v>188</v>
      </c>
      <c r="J115" s="31">
        <v>133</v>
      </c>
      <c r="K115" s="31">
        <v>1</v>
      </c>
      <c r="L115" s="31">
        <v>0</v>
      </c>
      <c r="M115" s="31">
        <v>1</v>
      </c>
      <c r="N115" s="31">
        <v>0</v>
      </c>
      <c r="O115" s="31">
        <v>94</v>
      </c>
      <c r="P115" s="31">
        <v>93</v>
      </c>
      <c r="Q115" s="31">
        <v>0</v>
      </c>
      <c r="R115" s="31">
        <v>1</v>
      </c>
      <c r="S115" s="31">
        <v>0</v>
      </c>
      <c r="T115" s="31">
        <v>0</v>
      </c>
      <c r="U115" s="31">
        <v>10</v>
      </c>
      <c r="V115" s="31">
        <v>0</v>
      </c>
      <c r="W115" s="31">
        <v>9</v>
      </c>
      <c r="X115" s="31">
        <v>8</v>
      </c>
      <c r="Y115" s="31">
        <v>20</v>
      </c>
      <c r="Z115" s="31">
        <v>20</v>
      </c>
      <c r="AA115" s="31">
        <v>0</v>
      </c>
      <c r="AB115" s="31">
        <v>93</v>
      </c>
    </row>
    <row r="116" spans="1:28" ht="21" customHeight="1" x14ac:dyDescent="0.2">
      <c r="A116" s="159"/>
      <c r="B116" s="161"/>
      <c r="C116" s="165" t="s">
        <v>182</v>
      </c>
      <c r="D116" s="166"/>
      <c r="E116" s="166"/>
      <c r="F116" s="166"/>
      <c r="G116" s="167"/>
      <c r="H116" s="23">
        <v>4</v>
      </c>
      <c r="I116" s="31">
        <v>156</v>
      </c>
      <c r="J116" s="31">
        <v>110</v>
      </c>
      <c r="K116" s="31">
        <v>0</v>
      </c>
      <c r="L116" s="31">
        <v>0</v>
      </c>
      <c r="M116" s="31">
        <v>0</v>
      </c>
      <c r="N116" s="31">
        <v>0</v>
      </c>
      <c r="O116" s="31">
        <v>90</v>
      </c>
      <c r="P116" s="31">
        <v>88</v>
      </c>
      <c r="Q116" s="31">
        <v>0</v>
      </c>
      <c r="R116" s="31">
        <v>2</v>
      </c>
      <c r="S116" s="31">
        <v>0</v>
      </c>
      <c r="T116" s="31">
        <v>0</v>
      </c>
      <c r="U116" s="31">
        <v>24</v>
      </c>
      <c r="V116" s="31">
        <v>0</v>
      </c>
      <c r="W116" s="31">
        <v>3</v>
      </c>
      <c r="X116" s="31">
        <v>0</v>
      </c>
      <c r="Y116" s="31">
        <v>28</v>
      </c>
      <c r="Z116" s="31">
        <v>28</v>
      </c>
      <c r="AA116" s="31">
        <v>0</v>
      </c>
      <c r="AB116" s="31">
        <v>66</v>
      </c>
    </row>
    <row r="117" spans="1:28" ht="21" customHeight="1" x14ac:dyDescent="0.2">
      <c r="A117" s="162"/>
      <c r="B117" s="164"/>
      <c r="C117" s="165" t="s">
        <v>49</v>
      </c>
      <c r="D117" s="166"/>
      <c r="E117" s="166"/>
      <c r="F117" s="166"/>
      <c r="G117" s="167"/>
      <c r="H117" s="23">
        <v>5</v>
      </c>
      <c r="I117" s="31">
        <v>3</v>
      </c>
      <c r="J117" s="31">
        <v>1</v>
      </c>
      <c r="K117" s="31">
        <v>0</v>
      </c>
      <c r="L117" s="31">
        <v>0</v>
      </c>
      <c r="M117" s="31">
        <v>0</v>
      </c>
      <c r="N117" s="31">
        <v>0</v>
      </c>
      <c r="O117" s="31">
        <v>1</v>
      </c>
      <c r="P117" s="31">
        <v>1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2</v>
      </c>
      <c r="Z117" s="31">
        <v>2</v>
      </c>
      <c r="AA117" s="31">
        <v>0</v>
      </c>
      <c r="AB117" s="31">
        <v>2</v>
      </c>
    </row>
    <row r="118" spans="1:28" ht="27.2" customHeight="1" x14ac:dyDescent="0.2">
      <c r="A118" s="144" t="s">
        <v>165</v>
      </c>
      <c r="B118" s="138" t="s">
        <v>261</v>
      </c>
      <c r="C118" s="139"/>
      <c r="D118" s="139"/>
      <c r="E118" s="139"/>
      <c r="F118" s="139"/>
      <c r="G118" s="140"/>
      <c r="H118" s="23">
        <v>6</v>
      </c>
      <c r="I118" s="31">
        <v>242</v>
      </c>
      <c r="J118" s="31">
        <v>221</v>
      </c>
      <c r="K118" s="31">
        <v>4</v>
      </c>
      <c r="L118" s="31">
        <v>0</v>
      </c>
      <c r="M118" s="31">
        <v>2</v>
      </c>
      <c r="N118" s="31">
        <v>2</v>
      </c>
      <c r="O118" s="31">
        <v>157</v>
      </c>
      <c r="P118" s="31">
        <v>147</v>
      </c>
      <c r="Q118" s="31">
        <v>0</v>
      </c>
      <c r="R118" s="31">
        <v>3</v>
      </c>
      <c r="S118" s="31">
        <v>7</v>
      </c>
      <c r="T118" s="31">
        <v>0</v>
      </c>
      <c r="U118" s="31">
        <v>31</v>
      </c>
      <c r="V118" s="31">
        <v>2</v>
      </c>
      <c r="W118" s="31">
        <v>23</v>
      </c>
      <c r="X118" s="31">
        <v>37</v>
      </c>
      <c r="Y118" s="31">
        <v>35</v>
      </c>
      <c r="Z118" s="31">
        <v>31</v>
      </c>
      <c r="AA118" s="31">
        <v>0</v>
      </c>
      <c r="AB118" s="31">
        <v>77</v>
      </c>
    </row>
    <row r="119" spans="1:28" ht="27.2" customHeight="1" x14ac:dyDescent="0.2">
      <c r="A119" s="145"/>
      <c r="B119" s="237" t="s">
        <v>262</v>
      </c>
      <c r="C119" s="238"/>
      <c r="D119" s="238"/>
      <c r="E119" s="238"/>
      <c r="F119" s="238"/>
      <c r="G119" s="239"/>
      <c r="H119" s="23">
        <v>7</v>
      </c>
      <c r="I119" s="31">
        <v>108</v>
      </c>
      <c r="J119" s="31">
        <v>65</v>
      </c>
      <c r="K119" s="31">
        <v>2</v>
      </c>
      <c r="L119" s="31">
        <v>0</v>
      </c>
      <c r="M119" s="31">
        <v>0</v>
      </c>
      <c r="N119" s="31">
        <v>2</v>
      </c>
      <c r="O119" s="31">
        <v>42</v>
      </c>
      <c r="P119" s="31">
        <v>42</v>
      </c>
      <c r="Q119" s="31">
        <v>0</v>
      </c>
      <c r="R119" s="31">
        <v>0</v>
      </c>
      <c r="S119" s="31">
        <v>0</v>
      </c>
      <c r="T119" s="31">
        <v>0</v>
      </c>
      <c r="U119" s="31">
        <v>4</v>
      </c>
      <c r="V119" s="31">
        <v>0</v>
      </c>
      <c r="W119" s="31">
        <v>4</v>
      </c>
      <c r="X119" s="31">
        <v>6</v>
      </c>
      <c r="Y119" s="31">
        <v>10</v>
      </c>
      <c r="Z119" s="31">
        <v>10</v>
      </c>
      <c r="AA119" s="31">
        <v>0</v>
      </c>
      <c r="AB119" s="31">
        <v>64</v>
      </c>
    </row>
    <row r="120" spans="1:28" ht="27.2" customHeight="1" x14ac:dyDescent="0.2">
      <c r="A120" s="145"/>
      <c r="B120" s="138" t="s">
        <v>263</v>
      </c>
      <c r="C120" s="139"/>
      <c r="D120" s="139"/>
      <c r="E120" s="139"/>
      <c r="F120" s="139"/>
      <c r="G120" s="140"/>
      <c r="H120" s="23">
        <v>8</v>
      </c>
      <c r="I120" s="31">
        <v>3</v>
      </c>
      <c r="J120" s="31">
        <v>1</v>
      </c>
      <c r="K120" s="31">
        <v>0</v>
      </c>
      <c r="L120" s="31">
        <v>0</v>
      </c>
      <c r="M120" s="31">
        <v>0</v>
      </c>
      <c r="N120" s="31">
        <v>0</v>
      </c>
      <c r="O120" s="31">
        <v>1</v>
      </c>
      <c r="P120" s="31">
        <v>1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2</v>
      </c>
      <c r="Z120" s="31">
        <v>2</v>
      </c>
      <c r="AA120" s="31">
        <v>0</v>
      </c>
      <c r="AB120" s="31">
        <v>2</v>
      </c>
    </row>
    <row r="121" spans="1:28" ht="27.2" customHeight="1" x14ac:dyDescent="0.2">
      <c r="A121" s="145"/>
      <c r="B121" s="216" t="s">
        <v>32</v>
      </c>
      <c r="C121" s="138" t="s">
        <v>264</v>
      </c>
      <c r="D121" s="139"/>
      <c r="E121" s="139"/>
      <c r="F121" s="139"/>
      <c r="G121" s="140"/>
      <c r="H121" s="23">
        <v>9</v>
      </c>
      <c r="I121" s="31">
        <v>3</v>
      </c>
      <c r="J121" s="31">
        <v>1</v>
      </c>
      <c r="K121" s="31">
        <v>0</v>
      </c>
      <c r="L121" s="31">
        <v>0</v>
      </c>
      <c r="M121" s="31">
        <v>0</v>
      </c>
      <c r="N121" s="31">
        <v>0</v>
      </c>
      <c r="O121" s="31">
        <v>1</v>
      </c>
      <c r="P121" s="31">
        <v>1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2</v>
      </c>
      <c r="Z121" s="31">
        <v>2</v>
      </c>
      <c r="AA121" s="31">
        <v>0</v>
      </c>
      <c r="AB121" s="31">
        <v>2</v>
      </c>
    </row>
    <row r="122" spans="1:28" ht="27.2" customHeight="1" x14ac:dyDescent="0.2">
      <c r="A122" s="145"/>
      <c r="B122" s="217"/>
      <c r="C122" s="138" t="s">
        <v>265</v>
      </c>
      <c r="D122" s="139"/>
      <c r="E122" s="139"/>
      <c r="F122" s="139"/>
      <c r="G122" s="140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45"/>
      <c r="B123" s="141" t="s">
        <v>804</v>
      </c>
      <c r="C123" s="142"/>
      <c r="D123" s="142"/>
      <c r="E123" s="142"/>
      <c r="F123" s="142"/>
      <c r="G123" s="143"/>
      <c r="H123" s="23">
        <v>11</v>
      </c>
      <c r="I123" s="31">
        <v>120</v>
      </c>
      <c r="J123" s="31">
        <v>78</v>
      </c>
      <c r="K123" s="31">
        <v>0</v>
      </c>
      <c r="L123" s="31">
        <v>0</v>
      </c>
      <c r="M123" s="31">
        <v>0</v>
      </c>
      <c r="N123" s="31">
        <v>0</v>
      </c>
      <c r="O123" s="31">
        <v>68</v>
      </c>
      <c r="P123" s="31">
        <v>66</v>
      </c>
      <c r="Q123" s="31">
        <v>0</v>
      </c>
      <c r="R123" s="31">
        <v>2</v>
      </c>
      <c r="S123" s="31">
        <v>0</v>
      </c>
      <c r="T123" s="31">
        <v>0</v>
      </c>
      <c r="U123" s="31">
        <v>17</v>
      </c>
      <c r="V123" s="31">
        <v>0</v>
      </c>
      <c r="W123" s="31">
        <v>3</v>
      </c>
      <c r="X123" s="31">
        <v>0</v>
      </c>
      <c r="Y123" s="31">
        <v>11</v>
      </c>
      <c r="Z123" s="31">
        <v>11</v>
      </c>
      <c r="AA123" s="31">
        <v>0</v>
      </c>
      <c r="AB123" s="31">
        <v>52</v>
      </c>
    </row>
    <row r="124" spans="1:28" ht="27.2" customHeight="1" x14ac:dyDescent="0.2">
      <c r="A124" s="145"/>
      <c r="B124" s="138" t="s">
        <v>267</v>
      </c>
      <c r="C124" s="139"/>
      <c r="D124" s="139"/>
      <c r="E124" s="139"/>
      <c r="F124" s="139"/>
      <c r="G124" s="140"/>
      <c r="H124" s="23">
        <v>12</v>
      </c>
      <c r="I124" s="31">
        <v>99</v>
      </c>
      <c r="J124" s="31">
        <v>84</v>
      </c>
      <c r="K124" s="31">
        <v>1</v>
      </c>
      <c r="L124" s="31">
        <v>0</v>
      </c>
      <c r="M124" s="31">
        <v>1</v>
      </c>
      <c r="N124" s="31">
        <v>0</v>
      </c>
      <c r="O124" s="31">
        <v>64</v>
      </c>
      <c r="P124" s="31">
        <v>64</v>
      </c>
      <c r="Q124" s="31">
        <v>0</v>
      </c>
      <c r="R124" s="31">
        <v>0</v>
      </c>
      <c r="S124" s="31">
        <v>0</v>
      </c>
      <c r="T124" s="31">
        <v>0</v>
      </c>
      <c r="U124" s="31">
        <v>1</v>
      </c>
      <c r="V124" s="31">
        <v>0</v>
      </c>
      <c r="W124" s="31">
        <v>0</v>
      </c>
      <c r="X124" s="31">
        <v>4</v>
      </c>
      <c r="Y124" s="31">
        <v>18</v>
      </c>
      <c r="Z124" s="31">
        <v>18</v>
      </c>
      <c r="AA124" s="31">
        <v>0</v>
      </c>
      <c r="AB124" s="31">
        <v>34</v>
      </c>
    </row>
    <row r="125" spans="1:28" ht="25.5" customHeight="1" x14ac:dyDescent="0.2">
      <c r="A125" s="146"/>
      <c r="B125" s="138" t="s">
        <v>179</v>
      </c>
      <c r="C125" s="139"/>
      <c r="D125" s="139"/>
      <c r="E125" s="139"/>
      <c r="F125" s="139"/>
      <c r="G125" s="140"/>
      <c r="H125" s="23">
        <v>13</v>
      </c>
      <c r="I125" s="31">
        <v>9</v>
      </c>
      <c r="J125" s="31">
        <v>9</v>
      </c>
      <c r="K125" s="31">
        <v>0</v>
      </c>
      <c r="L125" s="31">
        <v>0</v>
      </c>
      <c r="M125" s="31">
        <v>0</v>
      </c>
      <c r="N125" s="31">
        <v>0</v>
      </c>
      <c r="O125" s="31">
        <v>5</v>
      </c>
      <c r="P125" s="31">
        <v>5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2</v>
      </c>
      <c r="Z125" s="31">
        <v>2</v>
      </c>
      <c r="AA125" s="31">
        <v>0</v>
      </c>
      <c r="AB125" s="31">
        <v>4</v>
      </c>
    </row>
    <row r="126" spans="1:28" ht="28.5" customHeight="1" x14ac:dyDescent="0.2">
      <c r="A126" s="138" t="s">
        <v>115</v>
      </c>
      <c r="B126" s="139"/>
      <c r="C126" s="139"/>
      <c r="D126" s="139"/>
      <c r="E126" s="139"/>
      <c r="F126" s="139"/>
      <c r="G126" s="140"/>
      <c r="H126" s="23">
        <v>14</v>
      </c>
      <c r="I126" s="31">
        <f t="shared" ref="I126:AB126" si="2">SUM(I113:I125)</f>
        <v>1746</v>
      </c>
      <c r="J126" s="31">
        <f t="shared" si="2"/>
        <v>1375</v>
      </c>
      <c r="K126" s="31">
        <f t="shared" si="2"/>
        <v>21</v>
      </c>
      <c r="L126" s="31">
        <f t="shared" si="2"/>
        <v>0</v>
      </c>
      <c r="M126" s="31">
        <f t="shared" si="2"/>
        <v>9</v>
      </c>
      <c r="N126" s="31">
        <f t="shared" si="2"/>
        <v>12</v>
      </c>
      <c r="O126" s="31">
        <f t="shared" si="2"/>
        <v>1012</v>
      </c>
      <c r="P126" s="31">
        <f t="shared" si="2"/>
        <v>976</v>
      </c>
      <c r="Q126" s="31">
        <f t="shared" si="2"/>
        <v>0</v>
      </c>
      <c r="R126" s="31">
        <f t="shared" si="2"/>
        <v>15</v>
      </c>
      <c r="S126" s="31">
        <f t="shared" si="2"/>
        <v>21</v>
      </c>
      <c r="T126" s="31">
        <f t="shared" si="2"/>
        <v>0</v>
      </c>
      <c r="U126" s="31">
        <f t="shared" si="2"/>
        <v>159</v>
      </c>
      <c r="V126" s="31">
        <f t="shared" si="2"/>
        <v>6</v>
      </c>
      <c r="W126" s="31">
        <f t="shared" si="2"/>
        <v>90</v>
      </c>
      <c r="X126" s="31">
        <f t="shared" si="2"/>
        <v>141</v>
      </c>
      <c r="Y126" s="31">
        <f t="shared" si="2"/>
        <v>235</v>
      </c>
      <c r="Z126" s="31">
        <f t="shared" si="2"/>
        <v>223</v>
      </c>
      <c r="AA126" s="31">
        <f t="shared" si="2"/>
        <v>0</v>
      </c>
      <c r="AB126" s="31">
        <f t="shared" si="2"/>
        <v>701</v>
      </c>
    </row>
    <row r="127" spans="1:28" ht="9.75" customHeight="1" x14ac:dyDescent="0.2"/>
    <row r="128" spans="1:28" ht="22.5" customHeight="1" x14ac:dyDescent="0.25">
      <c r="A128" s="177" t="s">
        <v>805</v>
      </c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</row>
    <row r="129" spans="1:28" ht="33" customHeight="1" x14ac:dyDescent="0.2">
      <c r="A129" s="178"/>
      <c r="B129" s="179"/>
      <c r="C129" s="179"/>
      <c r="D129" s="179"/>
      <c r="E129" s="179"/>
      <c r="F129" s="179"/>
      <c r="G129" s="180"/>
      <c r="H129" s="187" t="s">
        <v>15</v>
      </c>
      <c r="I129" s="168" t="s">
        <v>1148</v>
      </c>
      <c r="J129" s="168" t="s">
        <v>16</v>
      </c>
      <c r="K129" s="168" t="s">
        <v>17</v>
      </c>
      <c r="L129" s="171" t="s">
        <v>18</v>
      </c>
      <c r="M129" s="172"/>
      <c r="N129" s="173"/>
      <c r="O129" s="168" t="s">
        <v>19</v>
      </c>
      <c r="P129" s="171" t="s">
        <v>20</v>
      </c>
      <c r="Q129" s="172"/>
      <c r="R129" s="172"/>
      <c r="S129" s="173"/>
      <c r="T129" s="168" t="s">
        <v>21</v>
      </c>
      <c r="U129" s="171" t="s">
        <v>22</v>
      </c>
      <c r="V129" s="172"/>
      <c r="W129" s="172"/>
      <c r="X129" s="173"/>
      <c r="Y129" s="171" t="s">
        <v>23</v>
      </c>
      <c r="Z129" s="172"/>
      <c r="AA129" s="173"/>
      <c r="AB129" s="168" t="s">
        <v>24</v>
      </c>
    </row>
    <row r="130" spans="1:28" ht="21.75" customHeight="1" x14ac:dyDescent="0.2">
      <c r="A130" s="181"/>
      <c r="B130" s="182"/>
      <c r="C130" s="182"/>
      <c r="D130" s="182"/>
      <c r="E130" s="182"/>
      <c r="F130" s="182"/>
      <c r="G130" s="183"/>
      <c r="H130" s="188"/>
      <c r="I130" s="170"/>
      <c r="J130" s="170"/>
      <c r="K130" s="170"/>
      <c r="L130" s="168" t="s">
        <v>25</v>
      </c>
      <c r="M130" s="168" t="s">
        <v>26</v>
      </c>
      <c r="N130" s="168" t="s">
        <v>27</v>
      </c>
      <c r="O130" s="170"/>
      <c r="P130" s="168" t="s">
        <v>28</v>
      </c>
      <c r="Q130" s="168" t="s">
        <v>29</v>
      </c>
      <c r="R130" s="168" t="s">
        <v>30</v>
      </c>
      <c r="S130" s="168" t="s">
        <v>31</v>
      </c>
      <c r="T130" s="170"/>
      <c r="U130" s="171" t="s">
        <v>32</v>
      </c>
      <c r="V130" s="172"/>
      <c r="W130" s="172"/>
      <c r="X130" s="173"/>
      <c r="Y130" s="168" t="s">
        <v>33</v>
      </c>
      <c r="Z130" s="171" t="s">
        <v>34</v>
      </c>
      <c r="AA130" s="173"/>
      <c r="AB130" s="170"/>
    </row>
    <row r="131" spans="1:28" ht="89.25" customHeight="1" x14ac:dyDescent="0.2">
      <c r="A131" s="184"/>
      <c r="B131" s="185"/>
      <c r="C131" s="185"/>
      <c r="D131" s="185"/>
      <c r="E131" s="185"/>
      <c r="F131" s="185"/>
      <c r="G131" s="186"/>
      <c r="H131" s="18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9" t="s">
        <v>35</v>
      </c>
      <c r="V131" s="16" t="s">
        <v>36</v>
      </c>
      <c r="W131" s="16" t="s">
        <v>37</v>
      </c>
      <c r="X131" s="16" t="s">
        <v>38</v>
      </c>
      <c r="Y131" s="169"/>
      <c r="Z131" s="18" t="s">
        <v>39</v>
      </c>
      <c r="AA131" s="17" t="s">
        <v>40</v>
      </c>
      <c r="AB131" s="169"/>
    </row>
    <row r="132" spans="1:28" ht="14.25" customHeight="1" x14ac:dyDescent="0.2">
      <c r="A132" s="150" t="s">
        <v>41</v>
      </c>
      <c r="B132" s="151"/>
      <c r="C132" s="151"/>
      <c r="D132" s="151"/>
      <c r="E132" s="151"/>
      <c r="F132" s="151"/>
      <c r="G132" s="152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53" t="s">
        <v>43</v>
      </c>
      <c r="B133" s="154"/>
      <c r="C133" s="154"/>
      <c r="D133" s="154"/>
      <c r="E133" s="154"/>
      <c r="F133" s="154"/>
      <c r="G133" s="155"/>
      <c r="H133" s="23">
        <v>1</v>
      </c>
      <c r="I133" s="31">
        <v>3157</v>
      </c>
      <c r="J133" s="31">
        <v>1824</v>
      </c>
      <c r="K133" s="31">
        <v>4</v>
      </c>
      <c r="L133" s="31">
        <v>0</v>
      </c>
      <c r="M133" s="31">
        <v>4</v>
      </c>
      <c r="N133" s="31">
        <v>0</v>
      </c>
      <c r="O133" s="31">
        <v>1751</v>
      </c>
      <c r="P133" s="31">
        <v>1705</v>
      </c>
      <c r="Q133" s="31">
        <v>15</v>
      </c>
      <c r="R133" s="31">
        <v>30</v>
      </c>
      <c r="S133" s="31">
        <v>1</v>
      </c>
      <c r="T133" s="31">
        <v>0</v>
      </c>
      <c r="U133" s="31">
        <v>445</v>
      </c>
      <c r="V133" s="31">
        <v>22</v>
      </c>
      <c r="W133" s="31">
        <v>91</v>
      </c>
      <c r="X133" s="31">
        <v>12</v>
      </c>
      <c r="Y133" s="31">
        <v>962</v>
      </c>
      <c r="Z133" s="31">
        <v>960</v>
      </c>
      <c r="AA133" s="31">
        <v>0</v>
      </c>
      <c r="AB133" s="31">
        <v>1400</v>
      </c>
    </row>
    <row r="134" spans="1:28" ht="21" customHeight="1" x14ac:dyDescent="0.2">
      <c r="A134" s="156" t="s">
        <v>181</v>
      </c>
      <c r="B134" s="158"/>
      <c r="C134" s="165" t="s">
        <v>51</v>
      </c>
      <c r="D134" s="166"/>
      <c r="E134" s="166"/>
      <c r="F134" s="166"/>
      <c r="G134" s="167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9"/>
      <c r="B135" s="161"/>
      <c r="C135" s="165" t="s">
        <v>52</v>
      </c>
      <c r="D135" s="166"/>
      <c r="E135" s="166"/>
      <c r="F135" s="166"/>
      <c r="G135" s="167"/>
      <c r="H135" s="23">
        <v>3</v>
      </c>
      <c r="I135" s="31">
        <v>4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4</v>
      </c>
    </row>
    <row r="136" spans="1:28" ht="21" customHeight="1" x14ac:dyDescent="0.2">
      <c r="A136" s="159"/>
      <c r="B136" s="161"/>
      <c r="C136" s="165" t="s">
        <v>182</v>
      </c>
      <c r="D136" s="166"/>
      <c r="E136" s="166"/>
      <c r="F136" s="166"/>
      <c r="G136" s="167"/>
      <c r="H136" s="23">
        <v>4</v>
      </c>
      <c r="I136" s="31">
        <v>543</v>
      </c>
      <c r="J136" s="31">
        <v>408</v>
      </c>
      <c r="K136" s="31">
        <v>0</v>
      </c>
      <c r="L136" s="31">
        <v>0</v>
      </c>
      <c r="M136" s="31">
        <v>0</v>
      </c>
      <c r="N136" s="31">
        <v>0</v>
      </c>
      <c r="O136" s="31">
        <v>377</v>
      </c>
      <c r="P136" s="31">
        <v>374</v>
      </c>
      <c r="Q136" s="31">
        <v>0</v>
      </c>
      <c r="R136" s="31">
        <v>3</v>
      </c>
      <c r="S136" s="31">
        <v>0</v>
      </c>
      <c r="T136" s="31">
        <v>0</v>
      </c>
      <c r="U136" s="31">
        <v>88</v>
      </c>
      <c r="V136" s="31">
        <v>1</v>
      </c>
      <c r="W136" s="31">
        <v>5</v>
      </c>
      <c r="X136" s="31">
        <v>7</v>
      </c>
      <c r="Y136" s="31">
        <v>45</v>
      </c>
      <c r="Z136" s="31">
        <v>45</v>
      </c>
      <c r="AA136" s="31">
        <v>0</v>
      </c>
      <c r="AB136" s="31">
        <v>166</v>
      </c>
    </row>
    <row r="137" spans="1:28" ht="21" customHeight="1" x14ac:dyDescent="0.2">
      <c r="A137" s="162"/>
      <c r="B137" s="164"/>
      <c r="C137" s="165" t="s">
        <v>49</v>
      </c>
      <c r="D137" s="166"/>
      <c r="E137" s="166"/>
      <c r="F137" s="166"/>
      <c r="G137" s="167"/>
      <c r="H137" s="23">
        <v>5</v>
      </c>
      <c r="I137" s="31">
        <v>2610</v>
      </c>
      <c r="J137" s="31">
        <v>1416</v>
      </c>
      <c r="K137" s="31">
        <v>4</v>
      </c>
      <c r="L137" s="31">
        <v>0</v>
      </c>
      <c r="M137" s="31">
        <v>4</v>
      </c>
      <c r="N137" s="31">
        <v>0</v>
      </c>
      <c r="O137" s="31">
        <v>1374</v>
      </c>
      <c r="P137" s="31">
        <v>1331</v>
      </c>
      <c r="Q137" s="31">
        <v>15</v>
      </c>
      <c r="R137" s="31">
        <v>27</v>
      </c>
      <c r="S137" s="31">
        <v>1</v>
      </c>
      <c r="T137" s="31">
        <v>0</v>
      </c>
      <c r="U137" s="31">
        <v>357</v>
      </c>
      <c r="V137" s="31">
        <v>21</v>
      </c>
      <c r="W137" s="31">
        <v>86</v>
      </c>
      <c r="X137" s="31">
        <v>5</v>
      </c>
      <c r="Y137" s="31">
        <v>917</v>
      </c>
      <c r="Z137" s="31">
        <v>915</v>
      </c>
      <c r="AA137" s="31">
        <v>0</v>
      </c>
      <c r="AB137" s="31">
        <v>1230</v>
      </c>
    </row>
    <row r="138" spans="1:28" ht="48.6" customHeight="1" x14ac:dyDescent="0.2">
      <c r="A138" s="144" t="s">
        <v>165</v>
      </c>
      <c r="B138" s="138" t="s">
        <v>270</v>
      </c>
      <c r="C138" s="139"/>
      <c r="D138" s="139"/>
      <c r="E138" s="139"/>
      <c r="F138" s="139"/>
      <c r="G138" s="140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</row>
    <row r="139" spans="1:28" ht="50.1" customHeight="1" x14ac:dyDescent="0.2">
      <c r="A139" s="145"/>
      <c r="B139" s="138" t="s">
        <v>271</v>
      </c>
      <c r="C139" s="139"/>
      <c r="D139" s="139"/>
      <c r="E139" s="139"/>
      <c r="F139" s="139"/>
      <c r="G139" s="140"/>
      <c r="H139" s="23">
        <v>7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45"/>
      <c r="B140" s="138" t="s">
        <v>272</v>
      </c>
      <c r="C140" s="139"/>
      <c r="D140" s="139"/>
      <c r="E140" s="139"/>
      <c r="F140" s="139"/>
      <c r="G140" s="140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45"/>
      <c r="B141" s="138" t="s">
        <v>273</v>
      </c>
      <c r="C141" s="139"/>
      <c r="D141" s="139"/>
      <c r="E141" s="139"/>
      <c r="F141" s="139"/>
      <c r="G141" s="140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45"/>
      <c r="B142" s="138" t="s">
        <v>275</v>
      </c>
      <c r="C142" s="139"/>
      <c r="D142" s="139"/>
      <c r="E142" s="139"/>
      <c r="F142" s="139"/>
      <c r="G142" s="140"/>
      <c r="H142" s="23">
        <v>10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5.5" customHeight="1" x14ac:dyDescent="0.2">
      <c r="A143" s="145"/>
      <c r="B143" s="216" t="s">
        <v>32</v>
      </c>
      <c r="C143" s="138" t="s">
        <v>276</v>
      </c>
      <c r="D143" s="139"/>
      <c r="E143" s="139"/>
      <c r="F143" s="139"/>
      <c r="G143" s="140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45"/>
      <c r="B144" s="217"/>
      <c r="C144" s="139" t="s">
        <v>277</v>
      </c>
      <c r="D144" s="139"/>
      <c r="E144" s="139"/>
      <c r="F144" s="139"/>
      <c r="G144" s="140"/>
      <c r="H144" s="23">
        <v>12</v>
      </c>
      <c r="I144" s="54">
        <v>0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43.5" customHeight="1" x14ac:dyDescent="0.2">
      <c r="A145" s="145"/>
      <c r="B145" s="138" t="s">
        <v>806</v>
      </c>
      <c r="C145" s="139"/>
      <c r="D145" s="139"/>
      <c r="E145" s="139"/>
      <c r="F145" s="139"/>
      <c r="G145" s="140"/>
      <c r="H145" s="23">
        <v>13</v>
      </c>
      <c r="I145" s="31">
        <v>0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</row>
    <row r="146" spans="1:28" ht="29.25" customHeight="1" x14ac:dyDescent="0.2">
      <c r="A146" s="145"/>
      <c r="B146" s="138" t="s">
        <v>279</v>
      </c>
      <c r="C146" s="139"/>
      <c r="D146" s="139"/>
      <c r="E146" s="139"/>
      <c r="F146" s="139"/>
      <c r="G146" s="140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45"/>
      <c r="B147" s="216" t="s">
        <v>32</v>
      </c>
      <c r="C147" s="138" t="s">
        <v>280</v>
      </c>
      <c r="D147" s="139"/>
      <c r="E147" s="139"/>
      <c r="F147" s="139"/>
      <c r="G147" s="140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45"/>
      <c r="B148" s="217"/>
      <c r="C148" s="139" t="s">
        <v>281</v>
      </c>
      <c r="D148" s="139"/>
      <c r="E148" s="139"/>
      <c r="F148" s="139"/>
      <c r="G148" s="140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45"/>
      <c r="B149" s="138" t="s">
        <v>282</v>
      </c>
      <c r="C149" s="139"/>
      <c r="D149" s="139"/>
      <c r="E149" s="139"/>
      <c r="F149" s="139"/>
      <c r="G149" s="140"/>
      <c r="H149" s="23">
        <v>17</v>
      </c>
      <c r="I149" s="31">
        <v>45</v>
      </c>
      <c r="J149" s="31">
        <v>16</v>
      </c>
      <c r="K149" s="31">
        <v>0</v>
      </c>
      <c r="L149" s="31">
        <v>0</v>
      </c>
      <c r="M149" s="31">
        <v>0</v>
      </c>
      <c r="N149" s="31">
        <v>0</v>
      </c>
      <c r="O149" s="31">
        <v>16</v>
      </c>
      <c r="P149" s="31">
        <v>16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1</v>
      </c>
      <c r="X149" s="31">
        <v>0</v>
      </c>
      <c r="Y149" s="31">
        <v>3</v>
      </c>
      <c r="Z149" s="31">
        <v>3</v>
      </c>
      <c r="AA149" s="31">
        <v>0</v>
      </c>
      <c r="AB149" s="31">
        <v>29</v>
      </c>
    </row>
    <row r="150" spans="1:28" ht="29.25" customHeight="1" x14ac:dyDescent="0.2">
      <c r="A150" s="145"/>
      <c r="B150" s="138" t="s">
        <v>283</v>
      </c>
      <c r="C150" s="139"/>
      <c r="D150" s="139"/>
      <c r="E150" s="139"/>
      <c r="F150" s="139"/>
      <c r="G150" s="140"/>
      <c r="H150" s="23">
        <v>18</v>
      </c>
      <c r="I150" s="31">
        <v>1306</v>
      </c>
      <c r="J150" s="31">
        <v>957</v>
      </c>
      <c r="K150" s="31">
        <v>4</v>
      </c>
      <c r="L150" s="31">
        <v>0</v>
      </c>
      <c r="M150" s="31">
        <v>4</v>
      </c>
      <c r="N150" s="31">
        <v>0</v>
      </c>
      <c r="O150" s="31">
        <v>922</v>
      </c>
      <c r="P150" s="31">
        <v>892</v>
      </c>
      <c r="Q150" s="31">
        <v>0</v>
      </c>
      <c r="R150" s="31">
        <v>29</v>
      </c>
      <c r="S150" s="31">
        <v>1</v>
      </c>
      <c r="T150" s="31">
        <v>0</v>
      </c>
      <c r="U150" s="31">
        <v>291</v>
      </c>
      <c r="V150" s="31">
        <v>21</v>
      </c>
      <c r="W150" s="31">
        <v>87</v>
      </c>
      <c r="X150" s="31">
        <v>4</v>
      </c>
      <c r="Y150" s="31">
        <v>399</v>
      </c>
      <c r="Z150" s="31">
        <v>399</v>
      </c>
      <c r="AA150" s="31">
        <v>0</v>
      </c>
      <c r="AB150" s="31">
        <v>380</v>
      </c>
    </row>
    <row r="151" spans="1:28" ht="27.2" customHeight="1" x14ac:dyDescent="0.2">
      <c r="A151" s="145"/>
      <c r="B151" s="216" t="s">
        <v>32</v>
      </c>
      <c r="C151" s="138" t="s">
        <v>284</v>
      </c>
      <c r="D151" s="139"/>
      <c r="E151" s="139"/>
      <c r="F151" s="139"/>
      <c r="G151" s="140"/>
      <c r="H151" s="23">
        <v>19</v>
      </c>
      <c r="I151" s="54">
        <v>1285</v>
      </c>
      <c r="J151" s="54">
        <v>950</v>
      </c>
      <c r="K151" s="54">
        <v>4</v>
      </c>
      <c r="L151" s="54">
        <v>0</v>
      </c>
      <c r="M151" s="31">
        <v>4</v>
      </c>
      <c r="N151" s="31">
        <v>0</v>
      </c>
      <c r="O151" s="31">
        <v>916</v>
      </c>
      <c r="P151" s="31">
        <v>888</v>
      </c>
      <c r="Q151" s="31">
        <v>0</v>
      </c>
      <c r="R151" s="31">
        <v>27</v>
      </c>
      <c r="S151" s="31">
        <v>1</v>
      </c>
      <c r="T151" s="31">
        <v>0</v>
      </c>
      <c r="U151" s="31">
        <v>287</v>
      </c>
      <c r="V151" s="31">
        <v>21</v>
      </c>
      <c r="W151" s="31">
        <v>86</v>
      </c>
      <c r="X151" s="31">
        <v>4</v>
      </c>
      <c r="Y151" s="31">
        <v>391</v>
      </c>
      <c r="Z151" s="31">
        <v>391</v>
      </c>
      <c r="AA151" s="31">
        <v>0</v>
      </c>
      <c r="AB151" s="31">
        <v>365</v>
      </c>
    </row>
    <row r="152" spans="1:28" ht="24" customHeight="1" x14ac:dyDescent="0.2">
      <c r="A152" s="145"/>
      <c r="B152" s="217"/>
      <c r="C152" s="139" t="s">
        <v>285</v>
      </c>
      <c r="D152" s="139"/>
      <c r="E152" s="139"/>
      <c r="F152" s="139"/>
      <c r="G152" s="140"/>
      <c r="H152" s="23">
        <v>20</v>
      </c>
      <c r="I152" s="31">
        <v>21</v>
      </c>
      <c r="J152" s="31">
        <v>7</v>
      </c>
      <c r="K152" s="31">
        <v>0</v>
      </c>
      <c r="L152" s="31">
        <v>0</v>
      </c>
      <c r="M152" s="31">
        <v>0</v>
      </c>
      <c r="N152" s="31">
        <v>0</v>
      </c>
      <c r="O152" s="31">
        <v>6</v>
      </c>
      <c r="P152" s="31">
        <v>4</v>
      </c>
      <c r="Q152" s="31">
        <v>0</v>
      </c>
      <c r="R152" s="31">
        <v>2</v>
      </c>
      <c r="S152" s="31">
        <v>0</v>
      </c>
      <c r="T152" s="31">
        <v>0</v>
      </c>
      <c r="U152" s="31">
        <v>4</v>
      </c>
      <c r="V152" s="31">
        <v>0</v>
      </c>
      <c r="W152" s="31">
        <v>1</v>
      </c>
      <c r="X152" s="31">
        <v>0</v>
      </c>
      <c r="Y152" s="31">
        <v>8</v>
      </c>
      <c r="Z152" s="31">
        <v>8</v>
      </c>
      <c r="AA152" s="31">
        <v>0</v>
      </c>
      <c r="AB152" s="31">
        <v>15</v>
      </c>
    </row>
    <row r="153" spans="1:28" ht="47.25" customHeight="1" x14ac:dyDescent="0.2">
      <c r="A153" s="145"/>
      <c r="B153" s="138" t="s">
        <v>286</v>
      </c>
      <c r="C153" s="139"/>
      <c r="D153" s="139"/>
      <c r="E153" s="139"/>
      <c r="F153" s="139"/>
      <c r="G153" s="140"/>
      <c r="H153" s="23">
        <v>21</v>
      </c>
      <c r="I153" s="54">
        <v>5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4</v>
      </c>
      <c r="Z153" s="31">
        <v>4</v>
      </c>
      <c r="AA153" s="31">
        <v>0</v>
      </c>
      <c r="AB153" s="31">
        <v>5</v>
      </c>
    </row>
    <row r="154" spans="1:28" ht="27.2" customHeight="1" x14ac:dyDescent="0.2">
      <c r="A154" s="145"/>
      <c r="B154" s="216" t="s">
        <v>32</v>
      </c>
      <c r="C154" s="138" t="s">
        <v>287</v>
      </c>
      <c r="D154" s="139"/>
      <c r="E154" s="139"/>
      <c r="F154" s="139"/>
      <c r="G154" s="140"/>
      <c r="H154" s="23">
        <v>22</v>
      </c>
      <c r="I154" s="54">
        <v>5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4</v>
      </c>
      <c r="Z154" s="31">
        <v>4</v>
      </c>
      <c r="AA154" s="31">
        <v>0</v>
      </c>
      <c r="AB154" s="31">
        <v>5</v>
      </c>
    </row>
    <row r="155" spans="1:28" ht="24" customHeight="1" x14ac:dyDescent="0.2">
      <c r="A155" s="146"/>
      <c r="B155" s="217"/>
      <c r="C155" s="139" t="s">
        <v>288</v>
      </c>
      <c r="D155" s="139"/>
      <c r="E155" s="139"/>
      <c r="F155" s="139"/>
      <c r="G155" s="140"/>
      <c r="H155" s="23">
        <v>23</v>
      </c>
      <c r="I155" s="31">
        <v>0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0</v>
      </c>
    </row>
    <row r="156" spans="1:28" ht="16.5" customHeight="1" x14ac:dyDescent="0.2">
      <c r="A156" s="198" t="s">
        <v>94</v>
      </c>
      <c r="B156" s="199"/>
      <c r="C156" s="199"/>
      <c r="D156" s="199"/>
      <c r="E156" s="199"/>
      <c r="F156" s="199"/>
      <c r="G156" s="200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44" t="s">
        <v>165</v>
      </c>
      <c r="B157" s="138" t="s">
        <v>289</v>
      </c>
      <c r="C157" s="139"/>
      <c r="D157" s="139"/>
      <c r="E157" s="139"/>
      <c r="F157" s="139"/>
      <c r="G157" s="140"/>
      <c r="H157" s="23">
        <v>24</v>
      </c>
      <c r="I157" s="31">
        <v>645</v>
      </c>
      <c r="J157" s="31">
        <v>371</v>
      </c>
      <c r="K157" s="31">
        <v>0</v>
      </c>
      <c r="L157" s="31">
        <v>0</v>
      </c>
      <c r="M157" s="31">
        <v>0</v>
      </c>
      <c r="N157" s="31">
        <v>0</v>
      </c>
      <c r="O157" s="31">
        <v>370</v>
      </c>
      <c r="P157" s="31">
        <v>370</v>
      </c>
      <c r="Q157" s="31">
        <v>0</v>
      </c>
      <c r="R157" s="31">
        <v>0</v>
      </c>
      <c r="S157" s="31">
        <v>0</v>
      </c>
      <c r="T157" s="31">
        <v>0</v>
      </c>
      <c r="U157" s="31">
        <v>46</v>
      </c>
      <c r="V157" s="31">
        <v>0</v>
      </c>
      <c r="W157" s="31">
        <v>0</v>
      </c>
      <c r="X157" s="31">
        <v>0</v>
      </c>
      <c r="Y157" s="31">
        <v>289</v>
      </c>
      <c r="Z157" s="31">
        <v>289</v>
      </c>
      <c r="AA157" s="31">
        <v>0</v>
      </c>
      <c r="AB157" s="31">
        <v>275</v>
      </c>
    </row>
    <row r="158" spans="1:28" ht="31.5" customHeight="1" x14ac:dyDescent="0.2">
      <c r="A158" s="145"/>
      <c r="B158" s="138" t="s">
        <v>290</v>
      </c>
      <c r="C158" s="139"/>
      <c r="D158" s="139"/>
      <c r="E158" s="139"/>
      <c r="F158" s="139"/>
      <c r="G158" s="140"/>
      <c r="H158" s="23">
        <v>25</v>
      </c>
      <c r="I158" s="31">
        <v>1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1</v>
      </c>
    </row>
    <row r="159" spans="1:28" ht="41.25" customHeight="1" x14ac:dyDescent="0.2">
      <c r="A159" s="145"/>
      <c r="B159" s="138" t="s">
        <v>291</v>
      </c>
      <c r="C159" s="139"/>
      <c r="D159" s="139"/>
      <c r="E159" s="139"/>
      <c r="F159" s="139"/>
      <c r="G159" s="140"/>
      <c r="H159" s="23">
        <v>26</v>
      </c>
      <c r="I159" s="31">
        <v>48</v>
      </c>
      <c r="J159" s="31">
        <v>9</v>
      </c>
      <c r="K159" s="31">
        <v>0</v>
      </c>
      <c r="L159" s="31">
        <v>0</v>
      </c>
      <c r="M159" s="31">
        <v>0</v>
      </c>
      <c r="N159" s="31">
        <v>0</v>
      </c>
      <c r="O159" s="31">
        <v>7</v>
      </c>
      <c r="P159" s="31">
        <v>7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3</v>
      </c>
      <c r="X159" s="31">
        <v>1</v>
      </c>
      <c r="Y159" s="31">
        <v>23</v>
      </c>
      <c r="Z159" s="31">
        <v>23</v>
      </c>
      <c r="AA159" s="31">
        <v>0</v>
      </c>
      <c r="AB159" s="31">
        <v>41</v>
      </c>
    </row>
    <row r="160" spans="1:28" ht="22.5" customHeight="1" x14ac:dyDescent="0.2">
      <c r="A160" s="145"/>
      <c r="B160" s="138" t="s">
        <v>292</v>
      </c>
      <c r="C160" s="139"/>
      <c r="D160" s="139"/>
      <c r="E160" s="139"/>
      <c r="F160" s="139"/>
      <c r="G160" s="140"/>
      <c r="H160" s="23">
        <v>27</v>
      </c>
      <c r="I160" s="31">
        <v>1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1</v>
      </c>
    </row>
    <row r="161" spans="1:28" ht="27.75" customHeight="1" x14ac:dyDescent="0.2">
      <c r="A161" s="145"/>
      <c r="B161" s="138" t="s">
        <v>293</v>
      </c>
      <c r="C161" s="139"/>
      <c r="D161" s="139"/>
      <c r="E161" s="139"/>
      <c r="F161" s="139"/>
      <c r="G161" s="140"/>
      <c r="H161" s="23">
        <v>28</v>
      </c>
      <c r="I161" s="31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1</v>
      </c>
    </row>
    <row r="162" spans="1:28" ht="27.2" customHeight="1" x14ac:dyDescent="0.2">
      <c r="A162" s="145"/>
      <c r="B162" s="216" t="s">
        <v>32</v>
      </c>
      <c r="C162" s="138" t="s">
        <v>294</v>
      </c>
      <c r="D162" s="139"/>
      <c r="E162" s="139"/>
      <c r="F162" s="139"/>
      <c r="G162" s="140"/>
      <c r="H162" s="23">
        <v>29</v>
      </c>
      <c r="I162" s="54">
        <v>1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1</v>
      </c>
    </row>
    <row r="163" spans="1:28" ht="24" customHeight="1" x14ac:dyDescent="0.2">
      <c r="A163" s="145"/>
      <c r="B163" s="217"/>
      <c r="C163" s="139" t="s">
        <v>295</v>
      </c>
      <c r="D163" s="139"/>
      <c r="E163" s="139"/>
      <c r="F163" s="139"/>
      <c r="G163" s="140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45"/>
      <c r="B164" s="138" t="s">
        <v>296</v>
      </c>
      <c r="C164" s="139"/>
      <c r="D164" s="139"/>
      <c r="E164" s="139"/>
      <c r="F164" s="139"/>
      <c r="G164" s="140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45"/>
      <c r="B165" s="138" t="s">
        <v>297</v>
      </c>
      <c r="C165" s="139"/>
      <c r="D165" s="139"/>
      <c r="E165" s="139"/>
      <c r="F165" s="139"/>
      <c r="G165" s="140"/>
      <c r="H165" s="23">
        <v>32</v>
      </c>
      <c r="I165" s="31">
        <v>5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3</v>
      </c>
      <c r="Z165" s="31">
        <v>3</v>
      </c>
      <c r="AA165" s="31">
        <v>0</v>
      </c>
      <c r="AB165" s="31">
        <v>5</v>
      </c>
    </row>
    <row r="166" spans="1:28" ht="30.75" customHeight="1" x14ac:dyDescent="0.2">
      <c r="A166" s="145"/>
      <c r="B166" s="138" t="s">
        <v>298</v>
      </c>
      <c r="C166" s="139"/>
      <c r="D166" s="139"/>
      <c r="E166" s="139"/>
      <c r="F166" s="139"/>
      <c r="G166" s="140"/>
      <c r="H166" s="23">
        <v>33</v>
      </c>
      <c r="I166" s="31">
        <v>5</v>
      </c>
      <c r="J166" s="31">
        <v>1</v>
      </c>
      <c r="K166" s="31">
        <v>0</v>
      </c>
      <c r="L166" s="31">
        <v>0</v>
      </c>
      <c r="M166" s="31">
        <v>0</v>
      </c>
      <c r="N166" s="31">
        <v>0</v>
      </c>
      <c r="O166" s="31">
        <v>1</v>
      </c>
      <c r="P166" s="31">
        <v>1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3</v>
      </c>
      <c r="Z166" s="31">
        <v>3</v>
      </c>
      <c r="AA166" s="31">
        <v>0</v>
      </c>
      <c r="AB166" s="31">
        <v>4</v>
      </c>
    </row>
    <row r="167" spans="1:28" ht="26.25" customHeight="1" x14ac:dyDescent="0.2">
      <c r="A167" s="145"/>
      <c r="B167" s="138" t="s">
        <v>299</v>
      </c>
      <c r="C167" s="139"/>
      <c r="D167" s="139"/>
      <c r="E167" s="139"/>
      <c r="F167" s="139"/>
      <c r="G167" s="140"/>
      <c r="H167" s="23">
        <v>34</v>
      </c>
      <c r="I167" s="31">
        <v>45</v>
      </c>
      <c r="J167" s="31">
        <v>2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12</v>
      </c>
      <c r="Z167" s="31">
        <v>12</v>
      </c>
      <c r="AA167" s="31">
        <v>0</v>
      </c>
      <c r="AB167" s="31">
        <v>45</v>
      </c>
    </row>
    <row r="168" spans="1:28" ht="27.2" customHeight="1" x14ac:dyDescent="0.2">
      <c r="A168" s="145"/>
      <c r="B168" s="216" t="s">
        <v>32</v>
      </c>
      <c r="C168" s="138" t="s">
        <v>300</v>
      </c>
      <c r="D168" s="139"/>
      <c r="E168" s="139"/>
      <c r="F168" s="139"/>
      <c r="G168" s="140"/>
      <c r="H168" s="23">
        <v>35</v>
      </c>
      <c r="I168" s="54">
        <v>40</v>
      </c>
      <c r="J168" s="54">
        <v>1</v>
      </c>
      <c r="K168" s="54">
        <v>0</v>
      </c>
      <c r="L168" s="54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11</v>
      </c>
      <c r="Z168" s="31">
        <v>11</v>
      </c>
      <c r="AA168" s="31">
        <v>0</v>
      </c>
      <c r="AB168" s="31">
        <v>40</v>
      </c>
    </row>
    <row r="169" spans="1:28" ht="24" customHeight="1" x14ac:dyDescent="0.2">
      <c r="A169" s="145"/>
      <c r="B169" s="217"/>
      <c r="C169" s="139" t="s">
        <v>301</v>
      </c>
      <c r="D169" s="139"/>
      <c r="E169" s="139"/>
      <c r="F169" s="139"/>
      <c r="G169" s="140"/>
      <c r="H169" s="23">
        <v>36</v>
      </c>
      <c r="I169" s="31">
        <v>5</v>
      </c>
      <c r="J169" s="31">
        <v>1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1</v>
      </c>
      <c r="Z169" s="31">
        <v>1</v>
      </c>
      <c r="AA169" s="31">
        <v>0</v>
      </c>
      <c r="AB169" s="31">
        <v>5</v>
      </c>
    </row>
    <row r="170" spans="1:28" ht="27.75" customHeight="1" x14ac:dyDescent="0.2">
      <c r="A170" s="145"/>
      <c r="B170" s="138" t="s">
        <v>302</v>
      </c>
      <c r="C170" s="139"/>
      <c r="D170" s="139"/>
      <c r="E170" s="139"/>
      <c r="F170" s="139"/>
      <c r="G170" s="140"/>
      <c r="H170" s="23">
        <v>37</v>
      </c>
      <c r="I170" s="31">
        <v>3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2</v>
      </c>
      <c r="Z170" s="31">
        <v>2</v>
      </c>
      <c r="AA170" s="31">
        <v>0</v>
      </c>
      <c r="AB170" s="31">
        <v>3</v>
      </c>
    </row>
    <row r="171" spans="1:28" ht="27.2" customHeight="1" x14ac:dyDescent="0.2">
      <c r="A171" s="145"/>
      <c r="B171" s="138" t="s">
        <v>303</v>
      </c>
      <c r="C171" s="139"/>
      <c r="D171" s="139"/>
      <c r="E171" s="139"/>
      <c r="F171" s="139"/>
      <c r="G171" s="140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</row>
    <row r="172" spans="1:28" ht="27.2" customHeight="1" x14ac:dyDescent="0.2">
      <c r="A172" s="145"/>
      <c r="B172" s="138" t="s">
        <v>304</v>
      </c>
      <c r="C172" s="139"/>
      <c r="D172" s="139"/>
      <c r="E172" s="139"/>
      <c r="F172" s="139"/>
      <c r="G172" s="140"/>
      <c r="H172" s="23">
        <v>39</v>
      </c>
      <c r="I172" s="31">
        <v>142</v>
      </c>
      <c r="J172" s="31">
        <v>16</v>
      </c>
      <c r="K172" s="31">
        <v>0</v>
      </c>
      <c r="L172" s="31">
        <v>0</v>
      </c>
      <c r="M172" s="31">
        <v>0</v>
      </c>
      <c r="N172" s="31">
        <v>0</v>
      </c>
      <c r="O172" s="31">
        <v>16</v>
      </c>
      <c r="P172" s="31">
        <v>1</v>
      </c>
      <c r="Q172" s="31">
        <v>15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33</v>
      </c>
      <c r="Z172" s="31">
        <v>33</v>
      </c>
      <c r="AA172" s="31">
        <v>0</v>
      </c>
      <c r="AB172" s="31">
        <v>126</v>
      </c>
    </row>
    <row r="173" spans="1:28" ht="27.2" customHeight="1" x14ac:dyDescent="0.2">
      <c r="A173" s="145"/>
      <c r="B173" s="216" t="s">
        <v>32</v>
      </c>
      <c r="C173" s="138" t="s">
        <v>305</v>
      </c>
      <c r="D173" s="139"/>
      <c r="E173" s="139"/>
      <c r="F173" s="139"/>
      <c r="G173" s="140"/>
      <c r="H173" s="23">
        <v>40</v>
      </c>
      <c r="I173" s="54">
        <v>142</v>
      </c>
      <c r="J173" s="54">
        <v>16</v>
      </c>
      <c r="K173" s="54">
        <v>0</v>
      </c>
      <c r="L173" s="54">
        <v>0</v>
      </c>
      <c r="M173" s="31">
        <v>0</v>
      </c>
      <c r="N173" s="31">
        <v>0</v>
      </c>
      <c r="O173" s="31">
        <v>16</v>
      </c>
      <c r="P173" s="31">
        <v>1</v>
      </c>
      <c r="Q173" s="31">
        <v>15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33</v>
      </c>
      <c r="Z173" s="31">
        <v>33</v>
      </c>
      <c r="AA173" s="31">
        <v>0</v>
      </c>
      <c r="AB173" s="31">
        <v>126</v>
      </c>
    </row>
    <row r="174" spans="1:28" ht="24" customHeight="1" x14ac:dyDescent="0.2">
      <c r="A174" s="145"/>
      <c r="B174" s="217"/>
      <c r="C174" s="139" t="s">
        <v>306</v>
      </c>
      <c r="D174" s="139"/>
      <c r="E174" s="139"/>
      <c r="F174" s="139"/>
      <c r="G174" s="140"/>
      <c r="H174" s="23">
        <v>41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</row>
    <row r="175" spans="1:28" ht="28.5" customHeight="1" x14ac:dyDescent="0.2">
      <c r="A175" s="145"/>
      <c r="B175" s="138" t="s">
        <v>307</v>
      </c>
      <c r="C175" s="139"/>
      <c r="D175" s="139"/>
      <c r="E175" s="139"/>
      <c r="F175" s="139"/>
      <c r="G175" s="140"/>
      <c r="H175" s="23">
        <v>42</v>
      </c>
      <c r="I175" s="31">
        <v>8</v>
      </c>
      <c r="J175" s="31">
        <v>2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8</v>
      </c>
    </row>
    <row r="176" spans="1:28" ht="50.25" customHeight="1" x14ac:dyDescent="0.2">
      <c r="A176" s="145"/>
      <c r="B176" s="138" t="s">
        <v>308</v>
      </c>
      <c r="C176" s="139"/>
      <c r="D176" s="139"/>
      <c r="E176" s="139"/>
      <c r="F176" s="139"/>
      <c r="G176" s="140"/>
      <c r="H176" s="23">
        <v>43</v>
      </c>
      <c r="I176" s="31">
        <v>0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</row>
    <row r="177" spans="1:28" ht="29.25" customHeight="1" x14ac:dyDescent="0.2">
      <c r="A177" s="145"/>
      <c r="B177" s="138" t="s">
        <v>309</v>
      </c>
      <c r="C177" s="139"/>
      <c r="D177" s="139"/>
      <c r="E177" s="139"/>
      <c r="F177" s="139"/>
      <c r="G177" s="140"/>
      <c r="H177" s="23">
        <v>44</v>
      </c>
      <c r="I177" s="31">
        <v>2</v>
      </c>
      <c r="J177" s="31">
        <v>1</v>
      </c>
      <c r="K177" s="31">
        <v>0</v>
      </c>
      <c r="L177" s="31">
        <v>0</v>
      </c>
      <c r="M177" s="31">
        <v>0</v>
      </c>
      <c r="N177" s="31">
        <v>0</v>
      </c>
      <c r="O177" s="31">
        <v>1</v>
      </c>
      <c r="P177" s="31">
        <v>0</v>
      </c>
      <c r="Q177" s="31">
        <v>0</v>
      </c>
      <c r="R177" s="31">
        <v>1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1</v>
      </c>
    </row>
    <row r="178" spans="1:28" ht="30" customHeight="1" x14ac:dyDescent="0.2">
      <c r="A178" s="145"/>
      <c r="B178" s="138" t="s">
        <v>310</v>
      </c>
      <c r="C178" s="139"/>
      <c r="D178" s="139"/>
      <c r="E178" s="139"/>
      <c r="F178" s="139"/>
      <c r="G178" s="140"/>
      <c r="H178" s="23">
        <v>45</v>
      </c>
      <c r="I178" s="31">
        <v>2</v>
      </c>
      <c r="J178" s="31">
        <v>1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2</v>
      </c>
    </row>
    <row r="179" spans="1:28" ht="23.25" customHeight="1" x14ac:dyDescent="0.2">
      <c r="A179" s="145"/>
      <c r="B179" s="138" t="s">
        <v>311</v>
      </c>
      <c r="C179" s="139"/>
      <c r="D179" s="139"/>
      <c r="E179" s="139"/>
      <c r="F179" s="139"/>
      <c r="G179" s="140"/>
      <c r="H179" s="23">
        <v>46</v>
      </c>
      <c r="I179" s="31">
        <v>2</v>
      </c>
      <c r="J179" s="31">
        <v>1</v>
      </c>
      <c r="K179" s="31">
        <v>0</v>
      </c>
      <c r="L179" s="31">
        <v>0</v>
      </c>
      <c r="M179" s="31">
        <v>0</v>
      </c>
      <c r="N179" s="31">
        <v>0</v>
      </c>
      <c r="O179" s="31">
        <v>1</v>
      </c>
      <c r="P179" s="31">
        <v>1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1</v>
      </c>
      <c r="Z179" s="31">
        <v>1</v>
      </c>
      <c r="AA179" s="31">
        <v>0</v>
      </c>
      <c r="AB179" s="31">
        <v>1</v>
      </c>
    </row>
    <row r="180" spans="1:28" ht="39" customHeight="1" x14ac:dyDescent="0.2">
      <c r="A180" s="145"/>
      <c r="B180" s="138" t="s">
        <v>312</v>
      </c>
      <c r="C180" s="139"/>
      <c r="D180" s="139"/>
      <c r="E180" s="139"/>
      <c r="F180" s="139"/>
      <c r="G180" s="140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45"/>
      <c r="B181" s="138" t="s">
        <v>313</v>
      </c>
      <c r="C181" s="139"/>
      <c r="D181" s="139"/>
      <c r="E181" s="139"/>
      <c r="F181" s="139"/>
      <c r="G181" s="140"/>
      <c r="H181" s="23">
        <v>48</v>
      </c>
      <c r="I181" s="31">
        <v>886</v>
      </c>
      <c r="J181" s="31">
        <v>447</v>
      </c>
      <c r="K181" s="31">
        <v>0</v>
      </c>
      <c r="L181" s="31">
        <v>0</v>
      </c>
      <c r="M181" s="31">
        <v>0</v>
      </c>
      <c r="N181" s="31">
        <v>0</v>
      </c>
      <c r="O181" s="31">
        <v>417</v>
      </c>
      <c r="P181" s="31">
        <v>417</v>
      </c>
      <c r="Q181" s="31">
        <v>0</v>
      </c>
      <c r="R181" s="31">
        <v>0</v>
      </c>
      <c r="S181" s="31">
        <v>0</v>
      </c>
      <c r="T181" s="31">
        <v>0</v>
      </c>
      <c r="U181" s="31">
        <v>108</v>
      </c>
      <c r="V181" s="31">
        <v>1</v>
      </c>
      <c r="W181" s="31">
        <v>0</v>
      </c>
      <c r="X181" s="31">
        <v>7</v>
      </c>
      <c r="Y181" s="31">
        <v>187</v>
      </c>
      <c r="Z181" s="31">
        <v>185</v>
      </c>
      <c r="AA181" s="31">
        <v>0</v>
      </c>
      <c r="AB181" s="31">
        <v>467</v>
      </c>
    </row>
    <row r="182" spans="1:28" ht="27.2" customHeight="1" x14ac:dyDescent="0.2">
      <c r="A182" s="145"/>
      <c r="B182" s="216" t="s">
        <v>32</v>
      </c>
      <c r="C182" s="138" t="s">
        <v>314</v>
      </c>
      <c r="D182" s="139"/>
      <c r="E182" s="139"/>
      <c r="F182" s="139"/>
      <c r="G182" s="140"/>
      <c r="H182" s="23">
        <v>49</v>
      </c>
      <c r="I182" s="54">
        <v>479</v>
      </c>
      <c r="J182" s="54">
        <v>77</v>
      </c>
      <c r="K182" s="54">
        <v>0</v>
      </c>
      <c r="L182" s="54">
        <v>0</v>
      </c>
      <c r="M182" s="31">
        <v>0</v>
      </c>
      <c r="N182" s="31">
        <v>0</v>
      </c>
      <c r="O182" s="31">
        <v>71</v>
      </c>
      <c r="P182" s="31">
        <v>71</v>
      </c>
      <c r="Q182" s="31">
        <v>0</v>
      </c>
      <c r="R182" s="31">
        <v>0</v>
      </c>
      <c r="S182" s="31">
        <v>0</v>
      </c>
      <c r="T182" s="31">
        <v>0</v>
      </c>
      <c r="U182" s="31">
        <v>24</v>
      </c>
      <c r="V182" s="31">
        <v>0</v>
      </c>
      <c r="W182" s="31">
        <v>0</v>
      </c>
      <c r="X182" s="31">
        <v>1</v>
      </c>
      <c r="Y182" s="31">
        <v>181</v>
      </c>
      <c r="Z182" s="31">
        <v>179</v>
      </c>
      <c r="AA182" s="31">
        <v>0</v>
      </c>
      <c r="AB182" s="31">
        <v>406</v>
      </c>
    </row>
    <row r="183" spans="1:28" ht="24" customHeight="1" x14ac:dyDescent="0.2">
      <c r="A183" s="145"/>
      <c r="B183" s="217"/>
      <c r="C183" s="139" t="s">
        <v>315</v>
      </c>
      <c r="D183" s="139"/>
      <c r="E183" s="139"/>
      <c r="F183" s="139"/>
      <c r="G183" s="140"/>
      <c r="H183" s="23">
        <v>50</v>
      </c>
      <c r="I183" s="31">
        <v>407</v>
      </c>
      <c r="J183" s="31">
        <v>370</v>
      </c>
      <c r="K183" s="31">
        <v>0</v>
      </c>
      <c r="L183" s="31">
        <v>0</v>
      </c>
      <c r="M183" s="31">
        <v>0</v>
      </c>
      <c r="N183" s="31">
        <v>0</v>
      </c>
      <c r="O183" s="31">
        <v>346</v>
      </c>
      <c r="P183" s="31">
        <v>346</v>
      </c>
      <c r="Q183" s="31">
        <v>0</v>
      </c>
      <c r="R183" s="31">
        <v>0</v>
      </c>
      <c r="S183" s="31">
        <v>0</v>
      </c>
      <c r="T183" s="31">
        <v>0</v>
      </c>
      <c r="U183" s="31">
        <v>84</v>
      </c>
      <c r="V183" s="31">
        <v>1</v>
      </c>
      <c r="W183" s="31">
        <v>0</v>
      </c>
      <c r="X183" s="31">
        <v>6</v>
      </c>
      <c r="Y183" s="31">
        <v>6</v>
      </c>
      <c r="Z183" s="31">
        <v>6</v>
      </c>
      <c r="AA183" s="31">
        <v>0</v>
      </c>
      <c r="AB183" s="31">
        <v>61</v>
      </c>
    </row>
    <row r="184" spans="1:28" ht="27.2" customHeight="1" x14ac:dyDescent="0.2">
      <c r="A184" s="145"/>
      <c r="B184" s="138" t="s">
        <v>316</v>
      </c>
      <c r="C184" s="139"/>
      <c r="D184" s="139"/>
      <c r="E184" s="139"/>
      <c r="F184" s="139"/>
      <c r="G184" s="140"/>
      <c r="H184" s="23">
        <v>51</v>
      </c>
      <c r="I184" s="31">
        <v>1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1</v>
      </c>
    </row>
    <row r="185" spans="1:28" ht="24.75" customHeight="1" x14ac:dyDescent="0.2">
      <c r="A185" s="145"/>
      <c r="B185" s="216" t="s">
        <v>32</v>
      </c>
      <c r="C185" s="138" t="s">
        <v>317</v>
      </c>
      <c r="D185" s="139"/>
      <c r="E185" s="139"/>
      <c r="F185" s="139"/>
      <c r="G185" s="140"/>
      <c r="H185" s="23">
        <v>52</v>
      </c>
      <c r="I185" s="54">
        <v>1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1</v>
      </c>
    </row>
    <row r="186" spans="1:28" ht="24" customHeight="1" x14ac:dyDescent="0.2">
      <c r="A186" s="145"/>
      <c r="B186" s="217"/>
      <c r="C186" s="139" t="s">
        <v>318</v>
      </c>
      <c r="D186" s="139"/>
      <c r="E186" s="139"/>
      <c r="F186" s="139"/>
      <c r="G186" s="140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45"/>
      <c r="B187" s="138" t="s">
        <v>807</v>
      </c>
      <c r="C187" s="139"/>
      <c r="D187" s="139"/>
      <c r="E187" s="139"/>
      <c r="F187" s="139"/>
      <c r="G187" s="140"/>
      <c r="H187" s="23">
        <v>54</v>
      </c>
      <c r="I187" s="31">
        <v>3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3</v>
      </c>
      <c r="Z187" s="31">
        <v>3</v>
      </c>
      <c r="AA187" s="31">
        <v>0</v>
      </c>
      <c r="AB187" s="31">
        <v>3</v>
      </c>
    </row>
    <row r="188" spans="1:28" ht="22.5" customHeight="1" x14ac:dyDescent="0.2">
      <c r="A188" s="146"/>
      <c r="B188" s="138" t="s">
        <v>179</v>
      </c>
      <c r="C188" s="139"/>
      <c r="D188" s="139"/>
      <c r="E188" s="139"/>
      <c r="F188" s="139"/>
      <c r="G188" s="140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8" t="s">
        <v>115</v>
      </c>
      <c r="B189" s="139"/>
      <c r="C189" s="139"/>
      <c r="D189" s="139"/>
      <c r="E189" s="139"/>
      <c r="F189" s="139"/>
      <c r="G189" s="140"/>
      <c r="H189" s="23">
        <v>56</v>
      </c>
      <c r="I189" s="31">
        <f t="shared" ref="I189:AB189" si="3">SUM(I157:I188,I133:I155)</f>
        <v>11857</v>
      </c>
      <c r="J189" s="31">
        <f t="shared" si="3"/>
        <v>6894</v>
      </c>
      <c r="K189" s="31">
        <f t="shared" si="3"/>
        <v>16</v>
      </c>
      <c r="L189" s="31">
        <f t="shared" si="3"/>
        <v>0</v>
      </c>
      <c r="M189" s="31">
        <f t="shared" si="3"/>
        <v>16</v>
      </c>
      <c r="N189" s="31">
        <f t="shared" si="3"/>
        <v>0</v>
      </c>
      <c r="O189" s="31">
        <f t="shared" si="3"/>
        <v>6608</v>
      </c>
      <c r="P189" s="31">
        <f t="shared" si="3"/>
        <v>6425</v>
      </c>
      <c r="Q189" s="31">
        <f t="shared" si="3"/>
        <v>60</v>
      </c>
      <c r="R189" s="31">
        <f t="shared" si="3"/>
        <v>119</v>
      </c>
      <c r="S189" s="31">
        <f t="shared" si="3"/>
        <v>4</v>
      </c>
      <c r="T189" s="31">
        <f t="shared" si="3"/>
        <v>0</v>
      </c>
      <c r="U189" s="31">
        <f t="shared" si="3"/>
        <v>1734</v>
      </c>
      <c r="V189" s="31">
        <f t="shared" si="3"/>
        <v>88</v>
      </c>
      <c r="W189" s="31">
        <f t="shared" si="3"/>
        <v>360</v>
      </c>
      <c r="X189" s="31">
        <f t="shared" si="3"/>
        <v>47</v>
      </c>
      <c r="Y189" s="31">
        <f t="shared" si="3"/>
        <v>3521</v>
      </c>
      <c r="Z189" s="31">
        <f t="shared" si="3"/>
        <v>3513</v>
      </c>
      <c r="AA189" s="31">
        <f t="shared" si="3"/>
        <v>0</v>
      </c>
      <c r="AB189" s="31">
        <f t="shared" si="3"/>
        <v>5225</v>
      </c>
    </row>
    <row r="190" spans="1:28" ht="19.5" customHeight="1" x14ac:dyDescent="0.2"/>
    <row r="191" spans="1:28" ht="29.25" customHeight="1" x14ac:dyDescent="0.25">
      <c r="A191" s="177" t="s">
        <v>808</v>
      </c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</row>
    <row r="192" spans="1:28" ht="26.25" customHeight="1" x14ac:dyDescent="0.2">
      <c r="A192" s="178"/>
      <c r="B192" s="179"/>
      <c r="C192" s="179"/>
      <c r="D192" s="179"/>
      <c r="E192" s="179"/>
      <c r="F192" s="179"/>
      <c r="G192" s="180"/>
      <c r="H192" s="187" t="s">
        <v>15</v>
      </c>
      <c r="I192" s="168" t="s">
        <v>1148</v>
      </c>
      <c r="J192" s="168" t="s">
        <v>16</v>
      </c>
      <c r="K192" s="168" t="s">
        <v>17</v>
      </c>
      <c r="L192" s="171" t="s">
        <v>18</v>
      </c>
      <c r="M192" s="172"/>
      <c r="N192" s="173"/>
      <c r="O192" s="168" t="s">
        <v>19</v>
      </c>
      <c r="P192" s="171" t="s">
        <v>20</v>
      </c>
      <c r="Q192" s="172"/>
      <c r="R192" s="172"/>
      <c r="S192" s="173"/>
      <c r="T192" s="168" t="s">
        <v>21</v>
      </c>
      <c r="U192" s="171" t="s">
        <v>22</v>
      </c>
      <c r="V192" s="172"/>
      <c r="W192" s="172"/>
      <c r="X192" s="173"/>
      <c r="Y192" s="171" t="s">
        <v>23</v>
      </c>
      <c r="Z192" s="172"/>
      <c r="AA192" s="173"/>
      <c r="AB192" s="168" t="s">
        <v>24</v>
      </c>
    </row>
    <row r="193" spans="1:28" ht="25.5" customHeight="1" x14ac:dyDescent="0.2">
      <c r="A193" s="181"/>
      <c r="B193" s="182"/>
      <c r="C193" s="182"/>
      <c r="D193" s="182"/>
      <c r="E193" s="182"/>
      <c r="F193" s="182"/>
      <c r="G193" s="183"/>
      <c r="H193" s="188"/>
      <c r="I193" s="170"/>
      <c r="J193" s="170"/>
      <c r="K193" s="170"/>
      <c r="L193" s="168" t="s">
        <v>25</v>
      </c>
      <c r="M193" s="168" t="s">
        <v>26</v>
      </c>
      <c r="N193" s="168" t="s">
        <v>27</v>
      </c>
      <c r="O193" s="170"/>
      <c r="P193" s="168" t="s">
        <v>28</v>
      </c>
      <c r="Q193" s="168" t="s">
        <v>29</v>
      </c>
      <c r="R193" s="168" t="s">
        <v>30</v>
      </c>
      <c r="S193" s="168" t="s">
        <v>31</v>
      </c>
      <c r="T193" s="170"/>
      <c r="U193" s="171" t="s">
        <v>32</v>
      </c>
      <c r="V193" s="172"/>
      <c r="W193" s="172"/>
      <c r="X193" s="173"/>
      <c r="Y193" s="168" t="s">
        <v>33</v>
      </c>
      <c r="Z193" s="171" t="s">
        <v>34</v>
      </c>
      <c r="AA193" s="173"/>
      <c r="AB193" s="170"/>
    </row>
    <row r="194" spans="1:28" ht="77.25" customHeight="1" x14ac:dyDescent="0.2">
      <c r="A194" s="184"/>
      <c r="B194" s="185"/>
      <c r="C194" s="185"/>
      <c r="D194" s="185"/>
      <c r="E194" s="185"/>
      <c r="F194" s="185"/>
      <c r="G194" s="186"/>
      <c r="H194" s="18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9" t="s">
        <v>35</v>
      </c>
      <c r="V194" s="16" t="s">
        <v>36</v>
      </c>
      <c r="W194" s="16" t="s">
        <v>37</v>
      </c>
      <c r="X194" s="16" t="s">
        <v>38</v>
      </c>
      <c r="Y194" s="169"/>
      <c r="Z194" s="18" t="s">
        <v>39</v>
      </c>
      <c r="AA194" s="17" t="s">
        <v>40</v>
      </c>
      <c r="AB194" s="169"/>
    </row>
    <row r="195" spans="1:28" ht="12.75" customHeight="1" x14ac:dyDescent="0.2">
      <c r="A195" s="150" t="s">
        <v>41</v>
      </c>
      <c r="B195" s="151"/>
      <c r="C195" s="151"/>
      <c r="D195" s="151"/>
      <c r="E195" s="151"/>
      <c r="F195" s="151"/>
      <c r="G195" s="152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53" t="s">
        <v>43</v>
      </c>
      <c r="B196" s="154"/>
      <c r="C196" s="154"/>
      <c r="D196" s="154"/>
      <c r="E196" s="154"/>
      <c r="F196" s="154"/>
      <c r="G196" s="155"/>
      <c r="H196" s="23">
        <v>1</v>
      </c>
      <c r="I196" s="31">
        <v>51688</v>
      </c>
      <c r="J196" s="31">
        <v>21571</v>
      </c>
      <c r="K196" s="31">
        <v>1019</v>
      </c>
      <c r="L196" s="31">
        <v>3</v>
      </c>
      <c r="M196" s="31">
        <v>971</v>
      </c>
      <c r="N196" s="31">
        <v>0</v>
      </c>
      <c r="O196" s="31">
        <v>17217</v>
      </c>
      <c r="P196" s="31">
        <v>17079</v>
      </c>
      <c r="Q196" s="31">
        <v>17</v>
      </c>
      <c r="R196" s="31">
        <v>110</v>
      </c>
      <c r="S196" s="31">
        <v>11</v>
      </c>
      <c r="T196" s="31">
        <v>9</v>
      </c>
      <c r="U196" s="31">
        <v>4785</v>
      </c>
      <c r="V196" s="31">
        <v>824</v>
      </c>
      <c r="W196" s="31">
        <v>255</v>
      </c>
      <c r="X196" s="31">
        <v>292</v>
      </c>
      <c r="Y196" s="31">
        <v>7545</v>
      </c>
      <c r="Z196" s="31">
        <v>7522</v>
      </c>
      <c r="AA196" s="31">
        <v>0</v>
      </c>
      <c r="AB196" s="31">
        <v>33420</v>
      </c>
    </row>
    <row r="197" spans="1:28" ht="19.5" customHeight="1" x14ac:dyDescent="0.2">
      <c r="A197" s="156" t="s">
        <v>181</v>
      </c>
      <c r="B197" s="158"/>
      <c r="C197" s="165" t="s">
        <v>51</v>
      </c>
      <c r="D197" s="166"/>
      <c r="E197" s="166"/>
      <c r="F197" s="166"/>
      <c r="G197" s="167"/>
      <c r="H197" s="23">
        <v>2</v>
      </c>
      <c r="I197" s="31">
        <v>1899</v>
      </c>
      <c r="J197" s="31">
        <v>1282</v>
      </c>
      <c r="K197" s="31">
        <v>38</v>
      </c>
      <c r="L197" s="31">
        <v>0</v>
      </c>
      <c r="M197" s="31">
        <v>38</v>
      </c>
      <c r="N197" s="31">
        <v>0</v>
      </c>
      <c r="O197" s="31">
        <v>840</v>
      </c>
      <c r="P197" s="31">
        <v>836</v>
      </c>
      <c r="Q197" s="31">
        <v>0</v>
      </c>
      <c r="R197" s="31">
        <v>4</v>
      </c>
      <c r="S197" s="31">
        <v>0</v>
      </c>
      <c r="T197" s="31">
        <v>0</v>
      </c>
      <c r="U197" s="31">
        <v>124</v>
      </c>
      <c r="V197" s="31">
        <v>300</v>
      </c>
      <c r="W197" s="31">
        <v>16</v>
      </c>
      <c r="X197" s="31">
        <v>26</v>
      </c>
      <c r="Y197" s="31">
        <v>64</v>
      </c>
      <c r="Z197" s="31">
        <v>63</v>
      </c>
      <c r="AA197" s="31">
        <v>0</v>
      </c>
      <c r="AB197" s="31">
        <v>1020</v>
      </c>
    </row>
    <row r="198" spans="1:28" ht="19.5" customHeight="1" x14ac:dyDescent="0.2">
      <c r="A198" s="159"/>
      <c r="B198" s="161"/>
      <c r="C198" s="165" t="s">
        <v>52</v>
      </c>
      <c r="D198" s="166"/>
      <c r="E198" s="166"/>
      <c r="F198" s="166"/>
      <c r="G198" s="167"/>
      <c r="H198" s="23">
        <v>3</v>
      </c>
      <c r="I198" s="31">
        <v>31084</v>
      </c>
      <c r="J198" s="31">
        <v>13668</v>
      </c>
      <c r="K198" s="31">
        <v>710</v>
      </c>
      <c r="L198" s="31">
        <v>2</v>
      </c>
      <c r="M198" s="31">
        <v>688</v>
      </c>
      <c r="N198" s="31">
        <v>0</v>
      </c>
      <c r="O198" s="31">
        <v>11068</v>
      </c>
      <c r="P198" s="31">
        <v>10951</v>
      </c>
      <c r="Q198" s="31">
        <v>0</v>
      </c>
      <c r="R198" s="31">
        <v>106</v>
      </c>
      <c r="S198" s="31">
        <v>11</v>
      </c>
      <c r="T198" s="31">
        <v>0</v>
      </c>
      <c r="U198" s="31">
        <v>3620</v>
      </c>
      <c r="V198" s="31">
        <v>389</v>
      </c>
      <c r="W198" s="31">
        <v>227</v>
      </c>
      <c r="X198" s="31">
        <v>211</v>
      </c>
      <c r="Y198" s="31">
        <v>5180</v>
      </c>
      <c r="Z198" s="31">
        <v>5165</v>
      </c>
      <c r="AA198" s="31">
        <v>0</v>
      </c>
      <c r="AB198" s="31">
        <v>19291</v>
      </c>
    </row>
    <row r="199" spans="1:28" ht="19.5" customHeight="1" x14ac:dyDescent="0.2">
      <c r="A199" s="159"/>
      <c r="B199" s="161"/>
      <c r="C199" s="165" t="s">
        <v>182</v>
      </c>
      <c r="D199" s="166"/>
      <c r="E199" s="166"/>
      <c r="F199" s="166"/>
      <c r="G199" s="167"/>
      <c r="H199" s="23">
        <v>4</v>
      </c>
      <c r="I199" s="31">
        <v>8232</v>
      </c>
      <c r="J199" s="31">
        <v>5667</v>
      </c>
      <c r="K199" s="31">
        <v>262</v>
      </c>
      <c r="L199" s="31">
        <v>1</v>
      </c>
      <c r="M199" s="31">
        <v>236</v>
      </c>
      <c r="N199" s="31">
        <v>0</v>
      </c>
      <c r="O199" s="31">
        <v>4422</v>
      </c>
      <c r="P199" s="31">
        <v>4420</v>
      </c>
      <c r="Q199" s="31">
        <v>2</v>
      </c>
      <c r="R199" s="31">
        <v>0</v>
      </c>
      <c r="S199" s="31">
        <v>0</v>
      </c>
      <c r="T199" s="31">
        <v>0</v>
      </c>
      <c r="U199" s="31">
        <v>950</v>
      </c>
      <c r="V199" s="31">
        <v>134</v>
      </c>
      <c r="W199" s="31">
        <v>3</v>
      </c>
      <c r="X199" s="31">
        <v>43</v>
      </c>
      <c r="Y199" s="31">
        <v>543</v>
      </c>
      <c r="Z199" s="31">
        <v>536</v>
      </c>
      <c r="AA199" s="31">
        <v>0</v>
      </c>
      <c r="AB199" s="31">
        <v>3541</v>
      </c>
    </row>
    <row r="200" spans="1:28" ht="19.5" customHeight="1" x14ac:dyDescent="0.2">
      <c r="A200" s="162"/>
      <c r="B200" s="164"/>
      <c r="C200" s="165" t="s">
        <v>49</v>
      </c>
      <c r="D200" s="166"/>
      <c r="E200" s="166"/>
      <c r="F200" s="166"/>
      <c r="G200" s="167"/>
      <c r="H200" s="23">
        <v>5</v>
      </c>
      <c r="I200" s="31">
        <v>10416</v>
      </c>
      <c r="J200" s="31">
        <v>916</v>
      </c>
      <c r="K200" s="31">
        <v>7</v>
      </c>
      <c r="L200" s="31">
        <v>0</v>
      </c>
      <c r="M200" s="31">
        <v>7</v>
      </c>
      <c r="N200" s="31">
        <v>0</v>
      </c>
      <c r="O200" s="31">
        <v>851</v>
      </c>
      <c r="P200" s="31">
        <v>836</v>
      </c>
      <c r="Q200" s="31">
        <v>15</v>
      </c>
      <c r="R200" s="31">
        <v>0</v>
      </c>
      <c r="S200" s="31">
        <v>0</v>
      </c>
      <c r="T200" s="31">
        <v>9</v>
      </c>
      <c r="U200" s="31">
        <v>91</v>
      </c>
      <c r="V200" s="31">
        <v>1</v>
      </c>
      <c r="W200" s="31">
        <v>9</v>
      </c>
      <c r="X200" s="31">
        <v>12</v>
      </c>
      <c r="Y200" s="31">
        <v>1753</v>
      </c>
      <c r="Z200" s="31">
        <v>1753</v>
      </c>
      <c r="AA200" s="31">
        <v>0</v>
      </c>
      <c r="AB200" s="31">
        <v>9549</v>
      </c>
    </row>
    <row r="201" spans="1:28" ht="12.75" customHeight="1" x14ac:dyDescent="0.2">
      <c r="A201" s="150" t="s">
        <v>41</v>
      </c>
      <c r="B201" s="151"/>
      <c r="C201" s="151"/>
      <c r="D201" s="151"/>
      <c r="E201" s="151"/>
      <c r="F201" s="151"/>
      <c r="G201" s="152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44" t="s">
        <v>165</v>
      </c>
      <c r="B202" s="138" t="s">
        <v>321</v>
      </c>
      <c r="C202" s="139"/>
      <c r="D202" s="139"/>
      <c r="E202" s="139"/>
      <c r="F202" s="139"/>
      <c r="G202" s="140"/>
      <c r="H202" s="23">
        <v>6</v>
      </c>
      <c r="I202" s="31">
        <v>17119</v>
      </c>
      <c r="J202" s="31">
        <v>9959</v>
      </c>
      <c r="K202" s="31">
        <v>151</v>
      </c>
      <c r="L202" s="31">
        <v>2</v>
      </c>
      <c r="M202" s="31">
        <v>132</v>
      </c>
      <c r="N202" s="31">
        <v>0</v>
      </c>
      <c r="O202" s="31">
        <v>8843</v>
      </c>
      <c r="P202" s="31">
        <v>8762</v>
      </c>
      <c r="Q202" s="31">
        <v>0</v>
      </c>
      <c r="R202" s="31">
        <v>76</v>
      </c>
      <c r="S202" s="31">
        <v>5</v>
      </c>
      <c r="T202" s="31">
        <v>7</v>
      </c>
      <c r="U202" s="31">
        <v>3273</v>
      </c>
      <c r="V202" s="31">
        <v>199</v>
      </c>
      <c r="W202" s="31">
        <v>162</v>
      </c>
      <c r="X202" s="31">
        <v>153</v>
      </c>
      <c r="Y202" s="31">
        <v>4086</v>
      </c>
      <c r="Z202" s="31">
        <v>4073</v>
      </c>
      <c r="AA202" s="31">
        <v>0</v>
      </c>
      <c r="AB202" s="31">
        <v>8105</v>
      </c>
    </row>
    <row r="203" spans="1:28" ht="27.2" customHeight="1" x14ac:dyDescent="0.2">
      <c r="A203" s="145"/>
      <c r="B203" s="220" t="s">
        <v>322</v>
      </c>
      <c r="C203" s="234"/>
      <c r="D203" s="156" t="s">
        <v>323</v>
      </c>
      <c r="E203" s="158"/>
      <c r="F203" s="165" t="s">
        <v>324</v>
      </c>
      <c r="G203" s="167"/>
      <c r="H203" s="23">
        <v>7</v>
      </c>
      <c r="I203" s="31">
        <v>538</v>
      </c>
      <c r="J203" s="31">
        <v>114</v>
      </c>
      <c r="K203" s="31">
        <v>1</v>
      </c>
      <c r="L203" s="31">
        <v>0</v>
      </c>
      <c r="M203" s="31">
        <v>1</v>
      </c>
      <c r="N203" s="31">
        <v>0</v>
      </c>
      <c r="O203" s="31">
        <v>99</v>
      </c>
      <c r="P203" s="31">
        <v>97</v>
      </c>
      <c r="Q203" s="31">
        <v>0</v>
      </c>
      <c r="R203" s="31">
        <v>2</v>
      </c>
      <c r="S203" s="31">
        <v>0</v>
      </c>
      <c r="T203" s="31">
        <v>7</v>
      </c>
      <c r="U203" s="31">
        <v>28</v>
      </c>
      <c r="V203" s="31">
        <v>13</v>
      </c>
      <c r="W203" s="31">
        <v>1</v>
      </c>
      <c r="X203" s="31">
        <v>1</v>
      </c>
      <c r="Y203" s="31">
        <v>151</v>
      </c>
      <c r="Z203" s="31">
        <v>151</v>
      </c>
      <c r="AA203" s="31">
        <v>0</v>
      </c>
      <c r="AB203" s="31">
        <v>431</v>
      </c>
    </row>
    <row r="204" spans="1:28" ht="27.2" customHeight="1" x14ac:dyDescent="0.2">
      <c r="A204" s="145"/>
      <c r="B204" s="221"/>
      <c r="C204" s="235"/>
      <c r="D204" s="162"/>
      <c r="E204" s="164"/>
      <c r="F204" s="165" t="s">
        <v>325</v>
      </c>
      <c r="G204" s="167"/>
      <c r="H204" s="23">
        <v>8</v>
      </c>
      <c r="I204" s="31">
        <v>15148</v>
      </c>
      <c r="J204" s="31">
        <v>8963</v>
      </c>
      <c r="K204" s="31">
        <v>136</v>
      </c>
      <c r="L204" s="31">
        <v>1</v>
      </c>
      <c r="M204" s="31">
        <v>118</v>
      </c>
      <c r="N204" s="31">
        <v>0</v>
      </c>
      <c r="O204" s="31">
        <v>7936</v>
      </c>
      <c r="P204" s="31">
        <v>7862</v>
      </c>
      <c r="Q204" s="31">
        <v>0</v>
      </c>
      <c r="R204" s="31">
        <v>69</v>
      </c>
      <c r="S204" s="31">
        <v>5</v>
      </c>
      <c r="T204" s="31">
        <v>0</v>
      </c>
      <c r="U204" s="31">
        <v>2942</v>
      </c>
      <c r="V204" s="31">
        <v>163</v>
      </c>
      <c r="W204" s="31">
        <v>159</v>
      </c>
      <c r="X204" s="31">
        <v>143</v>
      </c>
      <c r="Y204" s="31">
        <v>3656</v>
      </c>
      <c r="Z204" s="31">
        <v>3643</v>
      </c>
      <c r="AA204" s="31">
        <v>0</v>
      </c>
      <c r="AB204" s="31">
        <v>7063</v>
      </c>
    </row>
    <row r="205" spans="1:28" ht="27.2" customHeight="1" x14ac:dyDescent="0.2">
      <c r="A205" s="145"/>
      <c r="B205" s="221"/>
      <c r="C205" s="235"/>
      <c r="D205" s="165" t="s">
        <v>326</v>
      </c>
      <c r="E205" s="166"/>
      <c r="F205" s="166"/>
      <c r="G205" s="167"/>
      <c r="H205" s="23">
        <v>9</v>
      </c>
      <c r="I205" s="31">
        <v>16</v>
      </c>
      <c r="J205" s="31">
        <v>6</v>
      </c>
      <c r="K205" s="31">
        <v>1</v>
      </c>
      <c r="L205" s="31">
        <v>0</v>
      </c>
      <c r="M205" s="31">
        <v>1</v>
      </c>
      <c r="N205" s="31">
        <v>0</v>
      </c>
      <c r="O205" s="31">
        <v>5</v>
      </c>
      <c r="P205" s="31">
        <v>5</v>
      </c>
      <c r="Q205" s="31">
        <v>0</v>
      </c>
      <c r="R205" s="31">
        <v>0</v>
      </c>
      <c r="S205" s="31">
        <v>0</v>
      </c>
      <c r="T205" s="31">
        <v>0</v>
      </c>
      <c r="U205" s="31">
        <v>1</v>
      </c>
      <c r="V205" s="31">
        <v>2</v>
      </c>
      <c r="W205" s="31">
        <v>0</v>
      </c>
      <c r="X205" s="31">
        <v>0</v>
      </c>
      <c r="Y205" s="31">
        <v>2</v>
      </c>
      <c r="Z205" s="31">
        <v>2</v>
      </c>
      <c r="AA205" s="31">
        <v>0</v>
      </c>
      <c r="AB205" s="31">
        <v>10</v>
      </c>
    </row>
    <row r="206" spans="1:28" ht="27.2" customHeight="1" x14ac:dyDescent="0.2">
      <c r="A206" s="145"/>
      <c r="B206" s="221"/>
      <c r="C206" s="235"/>
      <c r="D206" s="165" t="s">
        <v>327</v>
      </c>
      <c r="E206" s="166"/>
      <c r="F206" s="166"/>
      <c r="G206" s="167"/>
      <c r="H206" s="23">
        <v>10</v>
      </c>
      <c r="I206" s="31">
        <v>1932</v>
      </c>
      <c r="J206" s="31">
        <v>1460</v>
      </c>
      <c r="K206" s="31">
        <v>12</v>
      </c>
      <c r="L206" s="31">
        <v>1</v>
      </c>
      <c r="M206" s="31">
        <v>11</v>
      </c>
      <c r="N206" s="31">
        <v>0</v>
      </c>
      <c r="O206" s="31">
        <v>1339</v>
      </c>
      <c r="P206" s="31">
        <v>1326</v>
      </c>
      <c r="Q206" s="31">
        <v>0</v>
      </c>
      <c r="R206" s="31">
        <v>12</v>
      </c>
      <c r="S206" s="31">
        <v>1</v>
      </c>
      <c r="T206" s="31">
        <v>0</v>
      </c>
      <c r="U206" s="31">
        <v>483</v>
      </c>
      <c r="V206" s="31">
        <v>56</v>
      </c>
      <c r="W206" s="31">
        <v>9</v>
      </c>
      <c r="X206" s="31">
        <v>25</v>
      </c>
      <c r="Y206" s="31">
        <v>334</v>
      </c>
      <c r="Z206" s="31">
        <v>333</v>
      </c>
      <c r="AA206" s="31">
        <v>0</v>
      </c>
      <c r="AB206" s="31">
        <v>580</v>
      </c>
    </row>
    <row r="207" spans="1:28" ht="27.2" customHeight="1" x14ac:dyDescent="0.2">
      <c r="A207" s="145"/>
      <c r="B207" s="221"/>
      <c r="C207" s="235"/>
      <c r="D207" s="165" t="s">
        <v>328</v>
      </c>
      <c r="E207" s="166"/>
      <c r="F207" s="166"/>
      <c r="G207" s="167"/>
      <c r="H207" s="23">
        <v>11</v>
      </c>
      <c r="I207" s="31">
        <v>10</v>
      </c>
      <c r="J207" s="31">
        <v>4</v>
      </c>
      <c r="K207" s="31">
        <v>0</v>
      </c>
      <c r="L207" s="31">
        <v>0</v>
      </c>
      <c r="M207" s="31">
        <v>0</v>
      </c>
      <c r="N207" s="31">
        <v>0</v>
      </c>
      <c r="O207" s="31">
        <v>4</v>
      </c>
      <c r="P207" s="31">
        <v>4</v>
      </c>
      <c r="Q207" s="31">
        <v>0</v>
      </c>
      <c r="R207" s="31">
        <v>0</v>
      </c>
      <c r="S207" s="31">
        <v>0</v>
      </c>
      <c r="T207" s="31">
        <v>0</v>
      </c>
      <c r="U207" s="31">
        <v>1</v>
      </c>
      <c r="V207" s="31">
        <v>2</v>
      </c>
      <c r="W207" s="31">
        <v>0</v>
      </c>
      <c r="X207" s="31">
        <v>0</v>
      </c>
      <c r="Y207" s="31">
        <v>3</v>
      </c>
      <c r="Z207" s="31">
        <v>3</v>
      </c>
      <c r="AA207" s="31">
        <v>0</v>
      </c>
      <c r="AB207" s="31">
        <v>6</v>
      </c>
    </row>
    <row r="208" spans="1:28" ht="27" customHeight="1" x14ac:dyDescent="0.2">
      <c r="A208" s="145"/>
      <c r="B208" s="221"/>
      <c r="C208" s="235"/>
      <c r="D208" s="165" t="s">
        <v>329</v>
      </c>
      <c r="E208" s="166"/>
      <c r="F208" s="166"/>
      <c r="G208" s="167"/>
      <c r="H208" s="23">
        <v>12</v>
      </c>
      <c r="I208" s="31">
        <v>40</v>
      </c>
      <c r="J208" s="31">
        <v>26</v>
      </c>
      <c r="K208" s="31">
        <v>0</v>
      </c>
      <c r="L208" s="31">
        <v>0</v>
      </c>
      <c r="M208" s="31">
        <v>0</v>
      </c>
      <c r="N208" s="31">
        <v>0</v>
      </c>
      <c r="O208" s="31">
        <v>25</v>
      </c>
      <c r="P208" s="31">
        <v>25</v>
      </c>
      <c r="Q208" s="31">
        <v>0</v>
      </c>
      <c r="R208" s="31">
        <v>0</v>
      </c>
      <c r="S208" s="31">
        <v>0</v>
      </c>
      <c r="T208" s="31">
        <v>0</v>
      </c>
      <c r="U208" s="31">
        <v>6</v>
      </c>
      <c r="V208" s="31">
        <v>12</v>
      </c>
      <c r="W208" s="31">
        <v>0</v>
      </c>
      <c r="X208" s="31">
        <v>0</v>
      </c>
      <c r="Y208" s="31">
        <v>17</v>
      </c>
      <c r="Z208" s="31">
        <v>17</v>
      </c>
      <c r="AA208" s="31">
        <v>0</v>
      </c>
      <c r="AB208" s="31">
        <v>15</v>
      </c>
    </row>
    <row r="209" spans="1:28" ht="27" customHeight="1" x14ac:dyDescent="0.2">
      <c r="A209" s="145"/>
      <c r="B209" s="221"/>
      <c r="C209" s="235"/>
      <c r="D209" s="165" t="s">
        <v>330</v>
      </c>
      <c r="E209" s="166"/>
      <c r="F209" s="166"/>
      <c r="G209" s="167"/>
      <c r="H209" s="23">
        <v>13</v>
      </c>
      <c r="I209" s="31">
        <v>81</v>
      </c>
      <c r="J209" s="31">
        <v>25</v>
      </c>
      <c r="K209" s="31">
        <v>0</v>
      </c>
      <c r="L209" s="31">
        <v>0</v>
      </c>
      <c r="M209" s="31">
        <v>0</v>
      </c>
      <c r="N209" s="31">
        <v>0</v>
      </c>
      <c r="O209" s="31">
        <v>24</v>
      </c>
      <c r="P209" s="31">
        <v>24</v>
      </c>
      <c r="Q209" s="31">
        <v>0</v>
      </c>
      <c r="R209" s="31">
        <v>0</v>
      </c>
      <c r="S209" s="31">
        <v>0</v>
      </c>
      <c r="T209" s="31">
        <v>0</v>
      </c>
      <c r="U209" s="31">
        <v>15</v>
      </c>
      <c r="V209" s="31">
        <v>0</v>
      </c>
      <c r="W209" s="31">
        <v>1</v>
      </c>
      <c r="X209" s="31">
        <v>0</v>
      </c>
      <c r="Y209" s="31">
        <v>11</v>
      </c>
      <c r="Z209" s="31">
        <v>11</v>
      </c>
      <c r="AA209" s="31">
        <v>0</v>
      </c>
      <c r="AB209" s="31">
        <v>57</v>
      </c>
    </row>
    <row r="210" spans="1:28" ht="27" customHeight="1" x14ac:dyDescent="0.2">
      <c r="A210" s="145"/>
      <c r="B210" s="221"/>
      <c r="C210" s="235"/>
      <c r="D210" s="165" t="s">
        <v>331</v>
      </c>
      <c r="E210" s="166"/>
      <c r="F210" s="166"/>
      <c r="G210" s="167"/>
      <c r="H210" s="23">
        <v>14</v>
      </c>
      <c r="I210" s="31">
        <v>745</v>
      </c>
      <c r="J210" s="31">
        <v>582</v>
      </c>
      <c r="K210" s="31">
        <v>15</v>
      </c>
      <c r="L210" s="31">
        <v>0</v>
      </c>
      <c r="M210" s="31">
        <v>7</v>
      </c>
      <c r="N210" s="31">
        <v>0</v>
      </c>
      <c r="O210" s="31">
        <v>494</v>
      </c>
      <c r="P210" s="31">
        <v>489</v>
      </c>
      <c r="Q210" s="31">
        <v>0</v>
      </c>
      <c r="R210" s="31">
        <v>4</v>
      </c>
      <c r="S210" s="31">
        <v>1</v>
      </c>
      <c r="T210" s="31">
        <v>0</v>
      </c>
      <c r="U210" s="31">
        <v>240</v>
      </c>
      <c r="V210" s="31">
        <v>7</v>
      </c>
      <c r="W210" s="31">
        <v>15</v>
      </c>
      <c r="X210" s="31">
        <v>3</v>
      </c>
      <c r="Y210" s="31">
        <v>57</v>
      </c>
      <c r="Z210" s="31">
        <v>56</v>
      </c>
      <c r="AA210" s="31">
        <v>0</v>
      </c>
      <c r="AB210" s="31">
        <v>235</v>
      </c>
    </row>
    <row r="211" spans="1:28" ht="27" customHeight="1" x14ac:dyDescent="0.2">
      <c r="A211" s="145"/>
      <c r="B211" s="221"/>
      <c r="C211" s="235"/>
      <c r="D211" s="165" t="s">
        <v>332</v>
      </c>
      <c r="E211" s="166"/>
      <c r="F211" s="166"/>
      <c r="G211" s="167"/>
      <c r="H211" s="23">
        <v>15</v>
      </c>
      <c r="I211" s="31">
        <v>130</v>
      </c>
      <c r="J211" s="31">
        <v>103</v>
      </c>
      <c r="K211" s="31">
        <v>0</v>
      </c>
      <c r="L211" s="31">
        <v>0</v>
      </c>
      <c r="M211" s="31">
        <v>0</v>
      </c>
      <c r="N211" s="31">
        <v>0</v>
      </c>
      <c r="O211" s="31">
        <v>98</v>
      </c>
      <c r="P211" s="31">
        <v>97</v>
      </c>
      <c r="Q211" s="31">
        <v>0</v>
      </c>
      <c r="R211" s="31">
        <v>1</v>
      </c>
      <c r="S211" s="31">
        <v>0</v>
      </c>
      <c r="T211" s="31">
        <v>0</v>
      </c>
      <c r="U211" s="31">
        <v>40</v>
      </c>
      <c r="V211" s="31">
        <v>1</v>
      </c>
      <c r="W211" s="31">
        <v>0</v>
      </c>
      <c r="X211" s="31">
        <v>0</v>
      </c>
      <c r="Y211" s="31">
        <v>17</v>
      </c>
      <c r="Z211" s="31">
        <v>17</v>
      </c>
      <c r="AA211" s="31">
        <v>0</v>
      </c>
      <c r="AB211" s="31">
        <v>32</v>
      </c>
    </row>
    <row r="212" spans="1:28" ht="27" customHeight="1" x14ac:dyDescent="0.2">
      <c r="A212" s="145"/>
      <c r="B212" s="221"/>
      <c r="C212" s="235"/>
      <c r="D212" s="165" t="s">
        <v>333</v>
      </c>
      <c r="E212" s="166"/>
      <c r="F212" s="166"/>
      <c r="G212" s="167"/>
      <c r="H212" s="23">
        <v>16</v>
      </c>
      <c r="I212" s="31">
        <v>375</v>
      </c>
      <c r="J212" s="31">
        <v>252</v>
      </c>
      <c r="K212" s="31">
        <v>1</v>
      </c>
      <c r="L212" s="31">
        <v>0</v>
      </c>
      <c r="M212" s="31">
        <v>1</v>
      </c>
      <c r="N212" s="31">
        <v>0</v>
      </c>
      <c r="O212" s="31">
        <v>233</v>
      </c>
      <c r="P212" s="31">
        <v>231</v>
      </c>
      <c r="Q212" s="31">
        <v>0</v>
      </c>
      <c r="R212" s="31">
        <v>2</v>
      </c>
      <c r="S212" s="31">
        <v>0</v>
      </c>
      <c r="T212" s="31">
        <v>0</v>
      </c>
      <c r="U212" s="31">
        <v>124</v>
      </c>
      <c r="V212" s="31">
        <v>5</v>
      </c>
      <c r="W212" s="31">
        <v>5</v>
      </c>
      <c r="X212" s="31">
        <v>11</v>
      </c>
      <c r="Y212" s="31">
        <v>78</v>
      </c>
      <c r="Z212" s="31">
        <v>78</v>
      </c>
      <c r="AA212" s="31">
        <v>0</v>
      </c>
      <c r="AB212" s="31">
        <v>141</v>
      </c>
    </row>
    <row r="213" spans="1:28" ht="27" customHeight="1" x14ac:dyDescent="0.2">
      <c r="A213" s="145"/>
      <c r="B213" s="222"/>
      <c r="C213" s="236"/>
      <c r="D213" s="165" t="s">
        <v>334</v>
      </c>
      <c r="E213" s="166"/>
      <c r="F213" s="166"/>
      <c r="G213" s="167"/>
      <c r="H213" s="23">
        <v>17</v>
      </c>
      <c r="I213" s="31">
        <v>251</v>
      </c>
      <c r="J213" s="31">
        <v>200</v>
      </c>
      <c r="K213" s="31">
        <v>5</v>
      </c>
      <c r="L213" s="31">
        <v>0</v>
      </c>
      <c r="M213" s="31">
        <v>4</v>
      </c>
      <c r="N213" s="31">
        <v>0</v>
      </c>
      <c r="O213" s="31">
        <v>185</v>
      </c>
      <c r="P213" s="31">
        <v>184</v>
      </c>
      <c r="Q213" s="31">
        <v>0</v>
      </c>
      <c r="R213" s="31">
        <v>1</v>
      </c>
      <c r="S213" s="31">
        <v>0</v>
      </c>
      <c r="T213" s="31">
        <v>0</v>
      </c>
      <c r="U213" s="31">
        <v>79</v>
      </c>
      <c r="V213" s="31">
        <v>2</v>
      </c>
      <c r="W213" s="31">
        <v>3</v>
      </c>
      <c r="X213" s="31">
        <v>2</v>
      </c>
      <c r="Y213" s="31">
        <v>50</v>
      </c>
      <c r="Z213" s="31">
        <v>50</v>
      </c>
      <c r="AA213" s="31">
        <v>0</v>
      </c>
      <c r="AB213" s="31">
        <v>61</v>
      </c>
    </row>
    <row r="214" spans="1:28" ht="27.2" customHeight="1" x14ac:dyDescent="0.2">
      <c r="A214" s="145"/>
      <c r="B214" s="50" t="s">
        <v>32</v>
      </c>
      <c r="C214" s="138" t="s">
        <v>335</v>
      </c>
      <c r="D214" s="139"/>
      <c r="E214" s="139"/>
      <c r="F214" s="139"/>
      <c r="G214" s="140"/>
      <c r="H214" s="23">
        <v>18</v>
      </c>
      <c r="I214" s="31">
        <v>18</v>
      </c>
      <c r="J214" s="31">
        <v>2</v>
      </c>
      <c r="K214" s="31">
        <v>0</v>
      </c>
      <c r="L214" s="31">
        <v>0</v>
      </c>
      <c r="M214" s="31">
        <v>0</v>
      </c>
      <c r="N214" s="31">
        <v>0</v>
      </c>
      <c r="O214" s="31">
        <v>2</v>
      </c>
      <c r="P214" s="31">
        <v>2</v>
      </c>
      <c r="Q214" s="31">
        <v>0</v>
      </c>
      <c r="R214" s="31">
        <v>0</v>
      </c>
      <c r="S214" s="31">
        <v>0</v>
      </c>
      <c r="T214" s="31">
        <v>7</v>
      </c>
      <c r="U214" s="31">
        <v>0</v>
      </c>
      <c r="V214" s="31">
        <v>0</v>
      </c>
      <c r="W214" s="31">
        <v>0</v>
      </c>
      <c r="X214" s="31">
        <v>0</v>
      </c>
      <c r="Y214" s="31">
        <v>18</v>
      </c>
      <c r="Z214" s="31">
        <v>18</v>
      </c>
      <c r="AA214" s="31">
        <v>0</v>
      </c>
      <c r="AB214" s="31">
        <v>9</v>
      </c>
    </row>
    <row r="215" spans="1:28" ht="27.2" customHeight="1" x14ac:dyDescent="0.2">
      <c r="A215" s="145"/>
      <c r="B215" s="220" t="s">
        <v>336</v>
      </c>
      <c r="C215" s="234"/>
      <c r="D215" s="156" t="s">
        <v>323</v>
      </c>
      <c r="E215" s="158"/>
      <c r="F215" s="165" t="s">
        <v>324</v>
      </c>
      <c r="G215" s="167"/>
      <c r="H215" s="23">
        <v>19</v>
      </c>
      <c r="I215" s="31">
        <v>12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7</v>
      </c>
      <c r="U215" s="31">
        <v>0</v>
      </c>
      <c r="V215" s="31">
        <v>0</v>
      </c>
      <c r="W215" s="31">
        <v>0</v>
      </c>
      <c r="X215" s="31">
        <v>0</v>
      </c>
      <c r="Y215" s="31">
        <v>14</v>
      </c>
      <c r="Z215" s="31">
        <v>14</v>
      </c>
      <c r="AA215" s="31">
        <v>0</v>
      </c>
      <c r="AB215" s="31">
        <v>5</v>
      </c>
    </row>
    <row r="216" spans="1:28" ht="27.2" customHeight="1" x14ac:dyDescent="0.2">
      <c r="A216" s="145"/>
      <c r="B216" s="221"/>
      <c r="C216" s="235"/>
      <c r="D216" s="162"/>
      <c r="E216" s="164"/>
      <c r="F216" s="165" t="s">
        <v>325</v>
      </c>
      <c r="G216" s="167"/>
      <c r="H216" s="23">
        <v>20</v>
      </c>
      <c r="I216" s="31">
        <v>6</v>
      </c>
      <c r="J216" s="31">
        <v>2</v>
      </c>
      <c r="K216" s="31">
        <v>0</v>
      </c>
      <c r="L216" s="31">
        <v>0</v>
      </c>
      <c r="M216" s="31">
        <v>0</v>
      </c>
      <c r="N216" s="31">
        <v>0</v>
      </c>
      <c r="O216" s="31">
        <v>2</v>
      </c>
      <c r="P216" s="31">
        <v>2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4</v>
      </c>
      <c r="Z216" s="31">
        <v>4</v>
      </c>
      <c r="AA216" s="31">
        <v>0</v>
      </c>
      <c r="AB216" s="31">
        <v>4</v>
      </c>
    </row>
    <row r="217" spans="1:28" ht="27.2" customHeight="1" x14ac:dyDescent="0.2">
      <c r="A217" s="145"/>
      <c r="B217" s="221"/>
      <c r="C217" s="235"/>
      <c r="D217" s="165" t="s">
        <v>327</v>
      </c>
      <c r="E217" s="166"/>
      <c r="F217" s="166"/>
      <c r="G217" s="167"/>
      <c r="H217" s="23">
        <v>21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45"/>
      <c r="B218" s="221"/>
      <c r="C218" s="235"/>
      <c r="D218" s="165" t="s">
        <v>328</v>
      </c>
      <c r="E218" s="166"/>
      <c r="F218" s="166"/>
      <c r="G218" s="167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45"/>
      <c r="B219" s="221"/>
      <c r="C219" s="235"/>
      <c r="D219" s="165" t="s">
        <v>330</v>
      </c>
      <c r="E219" s="166"/>
      <c r="F219" s="166"/>
      <c r="G219" s="167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45"/>
      <c r="B220" s="221"/>
      <c r="C220" s="235"/>
      <c r="D220" s="165" t="s">
        <v>332</v>
      </c>
      <c r="E220" s="166"/>
      <c r="F220" s="166"/>
      <c r="G220" s="167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45"/>
      <c r="B221" s="222"/>
      <c r="C221" s="236"/>
      <c r="D221" s="165" t="s">
        <v>334</v>
      </c>
      <c r="E221" s="166"/>
      <c r="F221" s="166"/>
      <c r="G221" s="167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45"/>
      <c r="B222" s="50" t="s">
        <v>32</v>
      </c>
      <c r="C222" s="138" t="s">
        <v>337</v>
      </c>
      <c r="D222" s="139"/>
      <c r="E222" s="139"/>
      <c r="F222" s="139"/>
      <c r="G222" s="140"/>
      <c r="H222" s="23">
        <v>26</v>
      </c>
      <c r="I222" s="31">
        <v>17101</v>
      </c>
      <c r="J222" s="31">
        <v>9957</v>
      </c>
      <c r="K222" s="31">
        <v>151</v>
      </c>
      <c r="L222" s="31">
        <v>2</v>
      </c>
      <c r="M222" s="31">
        <v>132</v>
      </c>
      <c r="N222" s="31">
        <v>0</v>
      </c>
      <c r="O222" s="31">
        <v>8841</v>
      </c>
      <c r="P222" s="31">
        <v>8760</v>
      </c>
      <c r="Q222" s="31">
        <v>0</v>
      </c>
      <c r="R222" s="31">
        <v>76</v>
      </c>
      <c r="S222" s="31">
        <v>5</v>
      </c>
      <c r="T222" s="31">
        <v>0</v>
      </c>
      <c r="U222" s="31">
        <v>3273</v>
      </c>
      <c r="V222" s="31">
        <v>199</v>
      </c>
      <c r="W222" s="31">
        <v>162</v>
      </c>
      <c r="X222" s="31">
        <v>153</v>
      </c>
      <c r="Y222" s="31">
        <v>4068</v>
      </c>
      <c r="Z222" s="31">
        <v>4055</v>
      </c>
      <c r="AA222" s="31">
        <v>0</v>
      </c>
      <c r="AB222" s="31">
        <v>8096</v>
      </c>
    </row>
    <row r="223" spans="1:28" ht="27.2" customHeight="1" x14ac:dyDescent="0.2">
      <c r="A223" s="145"/>
      <c r="B223" s="220" t="s">
        <v>338</v>
      </c>
      <c r="C223" s="234"/>
      <c r="D223" s="156" t="s">
        <v>323</v>
      </c>
      <c r="E223" s="158"/>
      <c r="F223" s="165" t="s">
        <v>324</v>
      </c>
      <c r="G223" s="167"/>
      <c r="H223" s="23">
        <v>27</v>
      </c>
      <c r="I223" s="31">
        <v>526</v>
      </c>
      <c r="J223" s="31">
        <v>114</v>
      </c>
      <c r="K223" s="31">
        <v>1</v>
      </c>
      <c r="L223" s="31">
        <v>0</v>
      </c>
      <c r="M223" s="31">
        <v>1</v>
      </c>
      <c r="N223" s="31">
        <v>0</v>
      </c>
      <c r="O223" s="31">
        <v>99</v>
      </c>
      <c r="P223" s="31">
        <v>97</v>
      </c>
      <c r="Q223" s="31">
        <v>0</v>
      </c>
      <c r="R223" s="31">
        <v>2</v>
      </c>
      <c r="S223" s="31">
        <v>0</v>
      </c>
      <c r="T223" s="31">
        <v>0</v>
      </c>
      <c r="U223" s="31">
        <v>28</v>
      </c>
      <c r="V223" s="31">
        <v>13</v>
      </c>
      <c r="W223" s="31">
        <v>1</v>
      </c>
      <c r="X223" s="31">
        <v>1</v>
      </c>
      <c r="Y223" s="31">
        <v>137</v>
      </c>
      <c r="Z223" s="31">
        <v>137</v>
      </c>
      <c r="AA223" s="31">
        <v>0</v>
      </c>
      <c r="AB223" s="31">
        <v>426</v>
      </c>
    </row>
    <row r="224" spans="1:28" ht="27.2" customHeight="1" x14ac:dyDescent="0.2">
      <c r="A224" s="145"/>
      <c r="B224" s="221"/>
      <c r="C224" s="235"/>
      <c r="D224" s="162"/>
      <c r="E224" s="164"/>
      <c r="F224" s="165" t="s">
        <v>325</v>
      </c>
      <c r="G224" s="167"/>
      <c r="H224" s="23">
        <v>28</v>
      </c>
      <c r="I224" s="31">
        <v>15142</v>
      </c>
      <c r="J224" s="31">
        <v>8961</v>
      </c>
      <c r="K224" s="31">
        <v>136</v>
      </c>
      <c r="L224" s="31">
        <v>1</v>
      </c>
      <c r="M224" s="31">
        <v>118</v>
      </c>
      <c r="N224" s="31">
        <v>0</v>
      </c>
      <c r="O224" s="31">
        <v>7934</v>
      </c>
      <c r="P224" s="31">
        <v>7860</v>
      </c>
      <c r="Q224" s="31">
        <v>0</v>
      </c>
      <c r="R224" s="31">
        <v>69</v>
      </c>
      <c r="S224" s="31">
        <v>5</v>
      </c>
      <c r="T224" s="31">
        <v>0</v>
      </c>
      <c r="U224" s="31">
        <v>2942</v>
      </c>
      <c r="V224" s="31">
        <v>163</v>
      </c>
      <c r="W224" s="31">
        <v>159</v>
      </c>
      <c r="X224" s="31">
        <v>143</v>
      </c>
      <c r="Y224" s="31">
        <v>3652</v>
      </c>
      <c r="Z224" s="31">
        <v>3639</v>
      </c>
      <c r="AA224" s="31">
        <v>0</v>
      </c>
      <c r="AB224" s="31">
        <v>7059</v>
      </c>
    </row>
    <row r="225" spans="1:28" ht="27.2" customHeight="1" x14ac:dyDescent="0.2">
      <c r="A225" s="145"/>
      <c r="B225" s="221"/>
      <c r="C225" s="235"/>
      <c r="D225" s="165" t="s">
        <v>326</v>
      </c>
      <c r="E225" s="166"/>
      <c r="F225" s="166"/>
      <c r="G225" s="167"/>
      <c r="H225" s="23">
        <v>29</v>
      </c>
      <c r="I225" s="31">
        <v>16</v>
      </c>
      <c r="J225" s="31">
        <v>6</v>
      </c>
      <c r="K225" s="31">
        <v>1</v>
      </c>
      <c r="L225" s="31">
        <v>0</v>
      </c>
      <c r="M225" s="31">
        <v>1</v>
      </c>
      <c r="N225" s="31">
        <v>0</v>
      </c>
      <c r="O225" s="31">
        <v>5</v>
      </c>
      <c r="P225" s="31">
        <v>5</v>
      </c>
      <c r="Q225" s="31">
        <v>0</v>
      </c>
      <c r="R225" s="31">
        <v>0</v>
      </c>
      <c r="S225" s="31">
        <v>0</v>
      </c>
      <c r="T225" s="31">
        <v>0</v>
      </c>
      <c r="U225" s="31">
        <v>1</v>
      </c>
      <c r="V225" s="31">
        <v>2</v>
      </c>
      <c r="W225" s="31">
        <v>0</v>
      </c>
      <c r="X225" s="31">
        <v>0</v>
      </c>
      <c r="Y225" s="31">
        <v>2</v>
      </c>
      <c r="Z225" s="31">
        <v>2</v>
      </c>
      <c r="AA225" s="31">
        <v>0</v>
      </c>
      <c r="AB225" s="31">
        <v>10</v>
      </c>
    </row>
    <row r="226" spans="1:28" ht="27.2" customHeight="1" x14ac:dyDescent="0.2">
      <c r="A226" s="145"/>
      <c r="B226" s="221"/>
      <c r="C226" s="235"/>
      <c r="D226" s="165" t="s">
        <v>327</v>
      </c>
      <c r="E226" s="166"/>
      <c r="F226" s="166"/>
      <c r="G226" s="167"/>
      <c r="H226" s="23">
        <v>30</v>
      </c>
      <c r="I226" s="31">
        <v>1932</v>
      </c>
      <c r="J226" s="31">
        <v>1460</v>
      </c>
      <c r="K226" s="31">
        <v>12</v>
      </c>
      <c r="L226" s="31">
        <v>1</v>
      </c>
      <c r="M226" s="31">
        <v>11</v>
      </c>
      <c r="N226" s="31">
        <v>0</v>
      </c>
      <c r="O226" s="31">
        <v>1339</v>
      </c>
      <c r="P226" s="31">
        <v>1326</v>
      </c>
      <c r="Q226" s="31">
        <v>0</v>
      </c>
      <c r="R226" s="31">
        <v>12</v>
      </c>
      <c r="S226" s="31">
        <v>1</v>
      </c>
      <c r="T226" s="31">
        <v>0</v>
      </c>
      <c r="U226" s="31">
        <v>483</v>
      </c>
      <c r="V226" s="31">
        <v>56</v>
      </c>
      <c r="W226" s="31">
        <v>9</v>
      </c>
      <c r="X226" s="31">
        <v>25</v>
      </c>
      <c r="Y226" s="31">
        <v>334</v>
      </c>
      <c r="Z226" s="31">
        <v>333</v>
      </c>
      <c r="AA226" s="31">
        <v>0</v>
      </c>
      <c r="AB226" s="31">
        <v>580</v>
      </c>
    </row>
    <row r="227" spans="1:28" ht="27.2" customHeight="1" x14ac:dyDescent="0.2">
      <c r="A227" s="145"/>
      <c r="B227" s="221"/>
      <c r="C227" s="235"/>
      <c r="D227" s="165" t="s">
        <v>328</v>
      </c>
      <c r="E227" s="166"/>
      <c r="F227" s="166"/>
      <c r="G227" s="167"/>
      <c r="H227" s="23">
        <v>31</v>
      </c>
      <c r="I227" s="31">
        <v>10</v>
      </c>
      <c r="J227" s="31">
        <v>4</v>
      </c>
      <c r="K227" s="31">
        <v>0</v>
      </c>
      <c r="L227" s="31">
        <v>0</v>
      </c>
      <c r="M227" s="31">
        <v>0</v>
      </c>
      <c r="N227" s="31">
        <v>0</v>
      </c>
      <c r="O227" s="31">
        <v>4</v>
      </c>
      <c r="P227" s="31">
        <v>4</v>
      </c>
      <c r="Q227" s="31">
        <v>0</v>
      </c>
      <c r="R227" s="31">
        <v>0</v>
      </c>
      <c r="S227" s="31">
        <v>0</v>
      </c>
      <c r="T227" s="31">
        <v>0</v>
      </c>
      <c r="U227" s="31">
        <v>1</v>
      </c>
      <c r="V227" s="31">
        <v>2</v>
      </c>
      <c r="W227" s="31">
        <v>0</v>
      </c>
      <c r="X227" s="31">
        <v>0</v>
      </c>
      <c r="Y227" s="31">
        <v>3</v>
      </c>
      <c r="Z227" s="31">
        <v>3</v>
      </c>
      <c r="AA227" s="31">
        <v>0</v>
      </c>
      <c r="AB227" s="31">
        <v>6</v>
      </c>
    </row>
    <row r="228" spans="1:28" ht="27" customHeight="1" x14ac:dyDescent="0.2">
      <c r="A228" s="145"/>
      <c r="B228" s="221"/>
      <c r="C228" s="235"/>
      <c r="D228" s="165" t="s">
        <v>329</v>
      </c>
      <c r="E228" s="166"/>
      <c r="F228" s="166"/>
      <c r="G228" s="167"/>
      <c r="H228" s="23">
        <v>32</v>
      </c>
      <c r="I228" s="31">
        <v>40</v>
      </c>
      <c r="J228" s="31">
        <v>26</v>
      </c>
      <c r="K228" s="31">
        <v>0</v>
      </c>
      <c r="L228" s="31">
        <v>0</v>
      </c>
      <c r="M228" s="31">
        <v>0</v>
      </c>
      <c r="N228" s="31">
        <v>0</v>
      </c>
      <c r="O228" s="31">
        <v>25</v>
      </c>
      <c r="P228" s="31">
        <v>25</v>
      </c>
      <c r="Q228" s="31">
        <v>0</v>
      </c>
      <c r="R228" s="31">
        <v>0</v>
      </c>
      <c r="S228" s="31">
        <v>0</v>
      </c>
      <c r="T228" s="31">
        <v>0</v>
      </c>
      <c r="U228" s="31">
        <v>6</v>
      </c>
      <c r="V228" s="31">
        <v>12</v>
      </c>
      <c r="W228" s="31">
        <v>0</v>
      </c>
      <c r="X228" s="31">
        <v>0</v>
      </c>
      <c r="Y228" s="31">
        <v>17</v>
      </c>
      <c r="Z228" s="31">
        <v>17</v>
      </c>
      <c r="AA228" s="31">
        <v>0</v>
      </c>
      <c r="AB228" s="31">
        <v>15</v>
      </c>
    </row>
    <row r="229" spans="1:28" ht="27" customHeight="1" x14ac:dyDescent="0.2">
      <c r="A229" s="145"/>
      <c r="B229" s="221"/>
      <c r="C229" s="235"/>
      <c r="D229" s="165" t="s">
        <v>330</v>
      </c>
      <c r="E229" s="166"/>
      <c r="F229" s="166"/>
      <c r="G229" s="167"/>
      <c r="H229" s="23">
        <v>33</v>
      </c>
      <c r="I229" s="31">
        <v>81</v>
      </c>
      <c r="J229" s="31">
        <v>25</v>
      </c>
      <c r="K229" s="31">
        <v>0</v>
      </c>
      <c r="L229" s="31">
        <v>0</v>
      </c>
      <c r="M229" s="31">
        <v>0</v>
      </c>
      <c r="N229" s="31">
        <v>0</v>
      </c>
      <c r="O229" s="31">
        <v>24</v>
      </c>
      <c r="P229" s="31">
        <v>24</v>
      </c>
      <c r="Q229" s="31">
        <v>0</v>
      </c>
      <c r="R229" s="31">
        <v>0</v>
      </c>
      <c r="S229" s="31">
        <v>0</v>
      </c>
      <c r="T229" s="31">
        <v>0</v>
      </c>
      <c r="U229" s="31">
        <v>15</v>
      </c>
      <c r="V229" s="31">
        <v>0</v>
      </c>
      <c r="W229" s="31">
        <v>1</v>
      </c>
      <c r="X229" s="31">
        <v>0</v>
      </c>
      <c r="Y229" s="31">
        <v>11</v>
      </c>
      <c r="Z229" s="31">
        <v>11</v>
      </c>
      <c r="AA229" s="31">
        <v>0</v>
      </c>
      <c r="AB229" s="31">
        <v>57</v>
      </c>
    </row>
    <row r="230" spans="1:28" ht="27" customHeight="1" x14ac:dyDescent="0.2">
      <c r="A230" s="145"/>
      <c r="B230" s="221"/>
      <c r="C230" s="235"/>
      <c r="D230" s="165" t="s">
        <v>331</v>
      </c>
      <c r="E230" s="166"/>
      <c r="F230" s="166"/>
      <c r="G230" s="167"/>
      <c r="H230" s="23">
        <v>34</v>
      </c>
      <c r="I230" s="31">
        <v>744</v>
      </c>
      <c r="J230" s="31">
        <v>581</v>
      </c>
      <c r="K230" s="31">
        <v>15</v>
      </c>
      <c r="L230" s="31">
        <v>0</v>
      </c>
      <c r="M230" s="31">
        <v>7</v>
      </c>
      <c r="N230" s="31">
        <v>0</v>
      </c>
      <c r="O230" s="31">
        <v>493</v>
      </c>
      <c r="P230" s="31">
        <v>488</v>
      </c>
      <c r="Q230" s="31">
        <v>0</v>
      </c>
      <c r="R230" s="31">
        <v>4</v>
      </c>
      <c r="S230" s="31">
        <v>1</v>
      </c>
      <c r="T230" s="31">
        <v>0</v>
      </c>
      <c r="U230" s="31">
        <v>240</v>
      </c>
      <c r="V230" s="31">
        <v>7</v>
      </c>
      <c r="W230" s="31">
        <v>15</v>
      </c>
      <c r="X230" s="31">
        <v>3</v>
      </c>
      <c r="Y230" s="31">
        <v>57</v>
      </c>
      <c r="Z230" s="31">
        <v>56</v>
      </c>
      <c r="AA230" s="31">
        <v>0</v>
      </c>
      <c r="AB230" s="31">
        <v>235</v>
      </c>
    </row>
    <row r="231" spans="1:28" ht="27" customHeight="1" x14ac:dyDescent="0.2">
      <c r="A231" s="145"/>
      <c r="B231" s="221"/>
      <c r="C231" s="235"/>
      <c r="D231" s="165" t="s">
        <v>332</v>
      </c>
      <c r="E231" s="166"/>
      <c r="F231" s="166"/>
      <c r="G231" s="167"/>
      <c r="H231" s="23">
        <v>35</v>
      </c>
      <c r="I231" s="31">
        <v>130</v>
      </c>
      <c r="J231" s="31">
        <v>103</v>
      </c>
      <c r="K231" s="31">
        <v>0</v>
      </c>
      <c r="L231" s="31">
        <v>0</v>
      </c>
      <c r="M231" s="31">
        <v>0</v>
      </c>
      <c r="N231" s="31">
        <v>0</v>
      </c>
      <c r="O231" s="31">
        <v>98</v>
      </c>
      <c r="P231" s="31">
        <v>97</v>
      </c>
      <c r="Q231" s="31">
        <v>0</v>
      </c>
      <c r="R231" s="31">
        <v>1</v>
      </c>
      <c r="S231" s="31">
        <v>0</v>
      </c>
      <c r="T231" s="31">
        <v>0</v>
      </c>
      <c r="U231" s="31">
        <v>40</v>
      </c>
      <c r="V231" s="31">
        <v>1</v>
      </c>
      <c r="W231" s="31">
        <v>0</v>
      </c>
      <c r="X231" s="31">
        <v>0</v>
      </c>
      <c r="Y231" s="31">
        <v>17</v>
      </c>
      <c r="Z231" s="31">
        <v>17</v>
      </c>
      <c r="AA231" s="31">
        <v>0</v>
      </c>
      <c r="AB231" s="31">
        <v>32</v>
      </c>
    </row>
    <row r="232" spans="1:28" ht="27" customHeight="1" x14ac:dyDescent="0.2">
      <c r="A232" s="145"/>
      <c r="B232" s="221"/>
      <c r="C232" s="235"/>
      <c r="D232" s="165" t="s">
        <v>333</v>
      </c>
      <c r="E232" s="166"/>
      <c r="F232" s="166"/>
      <c r="G232" s="167"/>
      <c r="H232" s="23">
        <v>36</v>
      </c>
      <c r="I232" s="31">
        <v>375</v>
      </c>
      <c r="J232" s="31">
        <v>252</v>
      </c>
      <c r="K232" s="31">
        <v>1</v>
      </c>
      <c r="L232" s="31">
        <v>0</v>
      </c>
      <c r="M232" s="31">
        <v>1</v>
      </c>
      <c r="N232" s="31">
        <v>0</v>
      </c>
      <c r="O232" s="31">
        <v>233</v>
      </c>
      <c r="P232" s="31">
        <v>231</v>
      </c>
      <c r="Q232" s="31">
        <v>0</v>
      </c>
      <c r="R232" s="31">
        <v>2</v>
      </c>
      <c r="S232" s="31">
        <v>0</v>
      </c>
      <c r="T232" s="31">
        <v>0</v>
      </c>
      <c r="U232" s="31">
        <v>124</v>
      </c>
      <c r="V232" s="31">
        <v>5</v>
      </c>
      <c r="W232" s="31">
        <v>5</v>
      </c>
      <c r="X232" s="31">
        <v>11</v>
      </c>
      <c r="Y232" s="31">
        <v>78</v>
      </c>
      <c r="Z232" s="31">
        <v>78</v>
      </c>
      <c r="AA232" s="31">
        <v>0</v>
      </c>
      <c r="AB232" s="31">
        <v>141</v>
      </c>
    </row>
    <row r="233" spans="1:28" ht="27" customHeight="1" x14ac:dyDescent="0.2">
      <c r="A233" s="145"/>
      <c r="B233" s="221"/>
      <c r="C233" s="235"/>
      <c r="D233" s="165" t="s">
        <v>334</v>
      </c>
      <c r="E233" s="166"/>
      <c r="F233" s="166"/>
      <c r="G233" s="167"/>
      <c r="H233" s="23">
        <v>37</v>
      </c>
      <c r="I233" s="31">
        <v>251</v>
      </c>
      <c r="J233" s="31">
        <v>200</v>
      </c>
      <c r="K233" s="31">
        <v>5</v>
      </c>
      <c r="L233" s="31">
        <v>0</v>
      </c>
      <c r="M233" s="31">
        <v>4</v>
      </c>
      <c r="N233" s="31">
        <v>0</v>
      </c>
      <c r="O233" s="31">
        <v>185</v>
      </c>
      <c r="P233" s="31">
        <v>184</v>
      </c>
      <c r="Q233" s="31">
        <v>0</v>
      </c>
      <c r="R233" s="31">
        <v>1</v>
      </c>
      <c r="S233" s="31">
        <v>0</v>
      </c>
      <c r="T233" s="31">
        <v>0</v>
      </c>
      <c r="U233" s="31">
        <v>79</v>
      </c>
      <c r="V233" s="31">
        <v>2</v>
      </c>
      <c r="W233" s="31">
        <v>3</v>
      </c>
      <c r="X233" s="31">
        <v>2</v>
      </c>
      <c r="Y233" s="31">
        <v>50</v>
      </c>
      <c r="Z233" s="31">
        <v>50</v>
      </c>
      <c r="AA233" s="31">
        <v>0</v>
      </c>
      <c r="AB233" s="31">
        <v>61</v>
      </c>
    </row>
    <row r="234" spans="1:28" ht="27.2" customHeight="1" x14ac:dyDescent="0.2">
      <c r="A234" s="145"/>
      <c r="B234" s="138" t="s">
        <v>339</v>
      </c>
      <c r="C234" s="139"/>
      <c r="D234" s="139"/>
      <c r="E234" s="139"/>
      <c r="F234" s="139"/>
      <c r="G234" s="140"/>
      <c r="H234" s="23">
        <v>38</v>
      </c>
      <c r="I234" s="31">
        <v>670</v>
      </c>
      <c r="J234" s="31">
        <v>660</v>
      </c>
      <c r="K234" s="31">
        <v>7</v>
      </c>
      <c r="L234" s="31">
        <v>0</v>
      </c>
      <c r="M234" s="31">
        <v>6</v>
      </c>
      <c r="N234" s="31">
        <v>0</v>
      </c>
      <c r="O234" s="31">
        <v>545</v>
      </c>
      <c r="P234" s="31">
        <v>520</v>
      </c>
      <c r="Q234" s="31">
        <v>0</v>
      </c>
      <c r="R234" s="31">
        <v>21</v>
      </c>
      <c r="S234" s="31">
        <v>4</v>
      </c>
      <c r="T234" s="31">
        <v>0</v>
      </c>
      <c r="U234" s="31">
        <v>225</v>
      </c>
      <c r="V234" s="31">
        <v>19</v>
      </c>
      <c r="W234" s="31">
        <v>46</v>
      </c>
      <c r="X234" s="31">
        <v>35</v>
      </c>
      <c r="Y234" s="31">
        <v>46</v>
      </c>
      <c r="Z234" s="31">
        <v>45</v>
      </c>
      <c r="AA234" s="31">
        <v>0</v>
      </c>
      <c r="AB234" s="31">
        <v>117</v>
      </c>
    </row>
    <row r="235" spans="1:28" ht="27.2" customHeight="1" x14ac:dyDescent="0.2">
      <c r="A235" s="145"/>
      <c r="B235" s="138" t="s">
        <v>340</v>
      </c>
      <c r="C235" s="139"/>
      <c r="D235" s="139"/>
      <c r="E235" s="139"/>
      <c r="F235" s="139"/>
      <c r="G235" s="140"/>
      <c r="H235" s="23">
        <v>39</v>
      </c>
      <c r="I235" s="31">
        <v>146</v>
      </c>
      <c r="J235" s="31">
        <v>139</v>
      </c>
      <c r="K235" s="31">
        <v>0</v>
      </c>
      <c r="L235" s="31">
        <v>0</v>
      </c>
      <c r="M235" s="31">
        <v>0</v>
      </c>
      <c r="N235" s="31">
        <v>0</v>
      </c>
      <c r="O235" s="31">
        <v>101</v>
      </c>
      <c r="P235" s="31">
        <v>97</v>
      </c>
      <c r="Q235" s="31">
        <v>0</v>
      </c>
      <c r="R235" s="31">
        <v>4</v>
      </c>
      <c r="S235" s="31">
        <v>0</v>
      </c>
      <c r="T235" s="31">
        <v>0</v>
      </c>
      <c r="U235" s="31">
        <v>40</v>
      </c>
      <c r="V235" s="31">
        <v>18</v>
      </c>
      <c r="W235" s="31">
        <v>13</v>
      </c>
      <c r="X235" s="31">
        <v>12</v>
      </c>
      <c r="Y235" s="31">
        <v>5</v>
      </c>
      <c r="Z235" s="31">
        <v>4</v>
      </c>
      <c r="AA235" s="31">
        <v>0</v>
      </c>
      <c r="AB235" s="31">
        <v>44</v>
      </c>
    </row>
    <row r="236" spans="1:28" ht="27.2" customHeight="1" x14ac:dyDescent="0.2">
      <c r="A236" s="145"/>
      <c r="B236" s="138" t="s">
        <v>341</v>
      </c>
      <c r="C236" s="139"/>
      <c r="D236" s="139"/>
      <c r="E236" s="139"/>
      <c r="F236" s="139"/>
      <c r="G236" s="140"/>
      <c r="H236" s="23">
        <v>40</v>
      </c>
      <c r="I236" s="31">
        <v>35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10</v>
      </c>
      <c r="Z236" s="31">
        <v>10</v>
      </c>
      <c r="AA236" s="31">
        <v>0</v>
      </c>
      <c r="AB236" s="31">
        <v>35</v>
      </c>
    </row>
    <row r="237" spans="1:28" ht="26.25" customHeight="1" x14ac:dyDescent="0.2">
      <c r="A237" s="145"/>
      <c r="B237" s="216" t="s">
        <v>32</v>
      </c>
      <c r="C237" s="138" t="s">
        <v>342</v>
      </c>
      <c r="D237" s="139"/>
      <c r="E237" s="139"/>
      <c r="F237" s="139"/>
      <c r="G237" s="140"/>
      <c r="H237" s="23">
        <v>41</v>
      </c>
      <c r="I237" s="54">
        <v>21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7</v>
      </c>
      <c r="Z237" s="31">
        <v>7</v>
      </c>
      <c r="AA237" s="31">
        <v>0</v>
      </c>
      <c r="AB237" s="31">
        <v>21</v>
      </c>
    </row>
    <row r="238" spans="1:28" ht="26.25" customHeight="1" x14ac:dyDescent="0.2">
      <c r="A238" s="145"/>
      <c r="B238" s="217"/>
      <c r="C238" s="139" t="s">
        <v>343</v>
      </c>
      <c r="D238" s="139"/>
      <c r="E238" s="139"/>
      <c r="F238" s="139"/>
      <c r="G238" s="140"/>
      <c r="H238" s="23">
        <v>42</v>
      </c>
      <c r="I238" s="54">
        <v>14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3</v>
      </c>
      <c r="Z238" s="31">
        <v>3</v>
      </c>
      <c r="AA238" s="31">
        <v>0</v>
      </c>
      <c r="AB238" s="31">
        <v>14</v>
      </c>
    </row>
    <row r="239" spans="1:28" ht="27.2" customHeight="1" x14ac:dyDescent="0.2">
      <c r="A239" s="145"/>
      <c r="B239" s="138" t="s">
        <v>344</v>
      </c>
      <c r="C239" s="139"/>
      <c r="D239" s="139"/>
      <c r="E239" s="139"/>
      <c r="F239" s="139"/>
      <c r="G239" s="140"/>
      <c r="H239" s="23">
        <v>43</v>
      </c>
      <c r="I239" s="31">
        <v>174</v>
      </c>
      <c r="J239" s="31">
        <v>66</v>
      </c>
      <c r="K239" s="31">
        <v>0</v>
      </c>
      <c r="L239" s="31">
        <v>0</v>
      </c>
      <c r="M239" s="31">
        <v>0</v>
      </c>
      <c r="N239" s="31">
        <v>0</v>
      </c>
      <c r="O239" s="31">
        <v>24</v>
      </c>
      <c r="P239" s="31">
        <v>24</v>
      </c>
      <c r="Q239" s="31">
        <v>0</v>
      </c>
      <c r="R239" s="31">
        <v>0</v>
      </c>
      <c r="S239" s="31">
        <v>0</v>
      </c>
      <c r="T239" s="31">
        <v>0</v>
      </c>
      <c r="U239" s="31">
        <v>5</v>
      </c>
      <c r="V239" s="31">
        <v>5</v>
      </c>
      <c r="W239" s="31">
        <v>3</v>
      </c>
      <c r="X239" s="31">
        <v>12</v>
      </c>
      <c r="Y239" s="31">
        <v>49</v>
      </c>
      <c r="Z239" s="31">
        <v>49</v>
      </c>
      <c r="AA239" s="31">
        <v>0</v>
      </c>
      <c r="AB239" s="31">
        <v>150</v>
      </c>
    </row>
    <row r="240" spans="1:28" ht="27.2" customHeight="1" x14ac:dyDescent="0.2">
      <c r="A240" s="145"/>
      <c r="B240" s="138" t="s">
        <v>345</v>
      </c>
      <c r="C240" s="139"/>
      <c r="D240" s="139"/>
      <c r="E240" s="139"/>
      <c r="F240" s="139"/>
      <c r="G240" s="140"/>
      <c r="H240" s="23">
        <v>44</v>
      </c>
      <c r="I240" s="31">
        <v>28331</v>
      </c>
      <c r="J240" s="31">
        <v>8536</v>
      </c>
      <c r="K240" s="31">
        <v>734</v>
      </c>
      <c r="L240" s="31">
        <v>1</v>
      </c>
      <c r="M240" s="31">
        <v>707</v>
      </c>
      <c r="N240" s="31">
        <v>0</v>
      </c>
      <c r="O240" s="31">
        <v>6360</v>
      </c>
      <c r="P240" s="31">
        <v>6344</v>
      </c>
      <c r="Q240" s="31">
        <v>16</v>
      </c>
      <c r="R240" s="31">
        <v>0</v>
      </c>
      <c r="S240" s="31">
        <v>0</v>
      </c>
      <c r="T240" s="31">
        <v>2</v>
      </c>
      <c r="U240" s="31">
        <v>1178</v>
      </c>
      <c r="V240" s="31">
        <v>336</v>
      </c>
      <c r="W240" s="31">
        <v>10</v>
      </c>
      <c r="X240" s="31">
        <v>67</v>
      </c>
      <c r="Y240" s="31">
        <v>2838</v>
      </c>
      <c r="Z240" s="31">
        <v>2830</v>
      </c>
      <c r="AA240" s="31">
        <v>0</v>
      </c>
      <c r="AB240" s="31">
        <v>21227</v>
      </c>
    </row>
    <row r="241" spans="1:28" ht="26.25" customHeight="1" x14ac:dyDescent="0.2">
      <c r="A241" s="145"/>
      <c r="B241" s="220" t="s">
        <v>32</v>
      </c>
      <c r="C241" s="138" t="s">
        <v>346</v>
      </c>
      <c r="D241" s="139"/>
      <c r="E241" s="139"/>
      <c r="F241" s="139"/>
      <c r="G241" s="140"/>
      <c r="H241" s="23">
        <v>45</v>
      </c>
      <c r="I241" s="54">
        <v>10032</v>
      </c>
      <c r="J241" s="54">
        <v>899</v>
      </c>
      <c r="K241" s="54">
        <v>7</v>
      </c>
      <c r="L241" s="54">
        <v>0</v>
      </c>
      <c r="M241" s="31">
        <v>7</v>
      </c>
      <c r="N241" s="31">
        <v>0</v>
      </c>
      <c r="O241" s="31">
        <v>838</v>
      </c>
      <c r="P241" s="31">
        <v>823</v>
      </c>
      <c r="Q241" s="31">
        <v>15</v>
      </c>
      <c r="R241" s="31">
        <v>0</v>
      </c>
      <c r="S241" s="31">
        <v>0</v>
      </c>
      <c r="T241" s="31">
        <v>2</v>
      </c>
      <c r="U241" s="31">
        <v>91</v>
      </c>
      <c r="V241" s="31">
        <v>1</v>
      </c>
      <c r="W241" s="31">
        <v>7</v>
      </c>
      <c r="X241" s="31">
        <v>12</v>
      </c>
      <c r="Y241" s="31">
        <v>1642</v>
      </c>
      <c r="Z241" s="31">
        <v>1642</v>
      </c>
      <c r="AA241" s="31">
        <v>0</v>
      </c>
      <c r="AB241" s="31">
        <v>9185</v>
      </c>
    </row>
    <row r="242" spans="1:28" ht="27.2" customHeight="1" x14ac:dyDescent="0.2">
      <c r="A242" s="145"/>
      <c r="B242" s="221"/>
      <c r="C242" s="138" t="s">
        <v>347</v>
      </c>
      <c r="D242" s="139"/>
      <c r="E242" s="139"/>
      <c r="F242" s="139"/>
      <c r="G242" s="140"/>
      <c r="H242" s="23">
        <v>46</v>
      </c>
      <c r="I242" s="31">
        <v>18299</v>
      </c>
      <c r="J242" s="31">
        <v>7637</v>
      </c>
      <c r="K242" s="31">
        <v>727</v>
      </c>
      <c r="L242" s="31">
        <v>1</v>
      </c>
      <c r="M242" s="31">
        <v>700</v>
      </c>
      <c r="N242" s="31">
        <v>0</v>
      </c>
      <c r="O242" s="31">
        <v>5522</v>
      </c>
      <c r="P242" s="31">
        <v>5521</v>
      </c>
      <c r="Q242" s="31">
        <v>1</v>
      </c>
      <c r="R242" s="31">
        <v>0</v>
      </c>
      <c r="S242" s="31">
        <v>0</v>
      </c>
      <c r="T242" s="31">
        <v>0</v>
      </c>
      <c r="U242" s="31">
        <v>1087</v>
      </c>
      <c r="V242" s="31">
        <v>335</v>
      </c>
      <c r="W242" s="31">
        <v>3</v>
      </c>
      <c r="X242" s="31">
        <v>55</v>
      </c>
      <c r="Y242" s="31">
        <v>1196</v>
      </c>
      <c r="Z242" s="31">
        <v>1188</v>
      </c>
      <c r="AA242" s="31">
        <v>0</v>
      </c>
      <c r="AB242" s="31">
        <v>12042</v>
      </c>
    </row>
    <row r="243" spans="1:28" ht="27.2" customHeight="1" x14ac:dyDescent="0.2">
      <c r="A243" s="145"/>
      <c r="B243" s="222"/>
      <c r="C243" s="138" t="s">
        <v>348</v>
      </c>
      <c r="D243" s="139"/>
      <c r="E243" s="139"/>
      <c r="F243" s="139"/>
      <c r="G243" s="140"/>
      <c r="H243" s="23">
        <v>47</v>
      </c>
      <c r="I243" s="31">
        <v>513</v>
      </c>
      <c r="J243" s="31">
        <v>110</v>
      </c>
      <c r="K243" s="31">
        <v>1</v>
      </c>
      <c r="L243" s="31">
        <v>0</v>
      </c>
      <c r="M243" s="31">
        <v>0</v>
      </c>
      <c r="N243" s="31">
        <v>0</v>
      </c>
      <c r="O243" s="31">
        <v>77</v>
      </c>
      <c r="P243" s="31">
        <v>77</v>
      </c>
      <c r="Q243" s="31">
        <v>0</v>
      </c>
      <c r="R243" s="31">
        <v>0</v>
      </c>
      <c r="S243" s="31">
        <v>0</v>
      </c>
      <c r="T243" s="31">
        <v>1</v>
      </c>
      <c r="U243" s="31">
        <v>5</v>
      </c>
      <c r="V243" s="31">
        <v>8</v>
      </c>
      <c r="W243" s="31">
        <v>0</v>
      </c>
      <c r="X243" s="31">
        <v>0</v>
      </c>
      <c r="Y243" s="31">
        <v>50</v>
      </c>
      <c r="Z243" s="31">
        <v>49</v>
      </c>
      <c r="AA243" s="31">
        <v>0</v>
      </c>
      <c r="AB243" s="31">
        <v>433</v>
      </c>
    </row>
    <row r="244" spans="1:28" ht="33" customHeight="1" x14ac:dyDescent="0.2">
      <c r="A244" s="145"/>
      <c r="B244" s="138" t="s">
        <v>349</v>
      </c>
      <c r="C244" s="139"/>
      <c r="D244" s="139"/>
      <c r="E244" s="139"/>
      <c r="F244" s="139"/>
      <c r="G244" s="140"/>
      <c r="H244" s="23">
        <v>48</v>
      </c>
      <c r="I244" s="31">
        <v>3672</v>
      </c>
      <c r="J244" s="31">
        <v>1743</v>
      </c>
      <c r="K244" s="31">
        <v>121</v>
      </c>
      <c r="L244" s="31">
        <v>0</v>
      </c>
      <c r="M244" s="31">
        <v>121</v>
      </c>
      <c r="N244" s="31">
        <v>0</v>
      </c>
      <c r="O244" s="31">
        <v>984</v>
      </c>
      <c r="P244" s="31">
        <v>984</v>
      </c>
      <c r="Q244" s="31">
        <v>0</v>
      </c>
      <c r="R244" s="31">
        <v>0</v>
      </c>
      <c r="S244" s="31">
        <v>0</v>
      </c>
      <c r="T244" s="31">
        <v>0</v>
      </c>
      <c r="U244" s="31">
        <v>14</v>
      </c>
      <c r="V244" s="31">
        <v>222</v>
      </c>
      <c r="W244" s="31">
        <v>0</v>
      </c>
      <c r="X244" s="31">
        <v>0</v>
      </c>
      <c r="Y244" s="31">
        <v>88</v>
      </c>
      <c r="Z244" s="31">
        <v>88</v>
      </c>
      <c r="AA244" s="31">
        <v>0</v>
      </c>
      <c r="AB244" s="31">
        <v>2567</v>
      </c>
    </row>
    <row r="245" spans="1:28" ht="27.2" customHeight="1" x14ac:dyDescent="0.2">
      <c r="A245" s="145"/>
      <c r="B245" s="220" t="s">
        <v>32</v>
      </c>
      <c r="C245" s="165" t="s">
        <v>350</v>
      </c>
      <c r="D245" s="166"/>
      <c r="E245" s="166"/>
      <c r="F245" s="166"/>
      <c r="G245" s="167"/>
      <c r="H245" s="23">
        <v>49</v>
      </c>
      <c r="I245" s="31">
        <v>86</v>
      </c>
      <c r="J245" s="31">
        <v>35</v>
      </c>
      <c r="K245" s="31">
        <v>1</v>
      </c>
      <c r="L245" s="31">
        <v>0</v>
      </c>
      <c r="M245" s="31">
        <v>1</v>
      </c>
      <c r="N245" s="31">
        <v>0</v>
      </c>
      <c r="O245" s="31">
        <v>30</v>
      </c>
      <c r="P245" s="31">
        <v>30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4</v>
      </c>
      <c r="W245" s="31">
        <v>0</v>
      </c>
      <c r="X245" s="31">
        <v>0</v>
      </c>
      <c r="Y245" s="31">
        <v>3</v>
      </c>
      <c r="Z245" s="31">
        <v>3</v>
      </c>
      <c r="AA245" s="31">
        <v>0</v>
      </c>
      <c r="AB245" s="31">
        <v>55</v>
      </c>
    </row>
    <row r="246" spans="1:28" ht="27.2" customHeight="1" x14ac:dyDescent="0.2">
      <c r="A246" s="145"/>
      <c r="B246" s="222"/>
      <c r="C246" s="165" t="s">
        <v>326</v>
      </c>
      <c r="D246" s="166"/>
      <c r="E246" s="166"/>
      <c r="F246" s="166"/>
      <c r="G246" s="167"/>
      <c r="H246" s="23">
        <v>50</v>
      </c>
      <c r="I246" s="31">
        <v>62</v>
      </c>
      <c r="J246" s="31">
        <v>34</v>
      </c>
      <c r="K246" s="31">
        <v>2</v>
      </c>
      <c r="L246" s="31">
        <v>0</v>
      </c>
      <c r="M246" s="31">
        <v>2</v>
      </c>
      <c r="N246" s="31">
        <v>0</v>
      </c>
      <c r="O246" s="31">
        <v>22</v>
      </c>
      <c r="P246" s="31">
        <v>22</v>
      </c>
      <c r="Q246" s="31">
        <v>0</v>
      </c>
      <c r="R246" s="31">
        <v>0</v>
      </c>
      <c r="S246" s="31">
        <v>0</v>
      </c>
      <c r="T246" s="31">
        <v>0</v>
      </c>
      <c r="U246" s="31">
        <v>1</v>
      </c>
      <c r="V246" s="31">
        <v>1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38</v>
      </c>
    </row>
    <row r="247" spans="1:28" ht="30" customHeight="1" x14ac:dyDescent="0.2">
      <c r="A247" s="145"/>
      <c r="B247" s="138" t="s">
        <v>351</v>
      </c>
      <c r="C247" s="139"/>
      <c r="D247" s="139"/>
      <c r="E247" s="139"/>
      <c r="F247" s="139"/>
      <c r="G247" s="140"/>
      <c r="H247" s="23">
        <v>51</v>
      </c>
      <c r="I247" s="31">
        <v>45</v>
      </c>
      <c r="J247" s="31">
        <v>2</v>
      </c>
      <c r="K247" s="31">
        <v>0</v>
      </c>
      <c r="L247" s="31">
        <v>0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21</v>
      </c>
      <c r="Z247" s="31">
        <v>21</v>
      </c>
      <c r="AA247" s="31">
        <v>0</v>
      </c>
      <c r="AB247" s="31">
        <v>44</v>
      </c>
    </row>
    <row r="248" spans="1:28" ht="27.2" customHeight="1" x14ac:dyDescent="0.2">
      <c r="A248" s="145"/>
      <c r="B248" s="138" t="s">
        <v>352</v>
      </c>
      <c r="C248" s="139"/>
      <c r="D248" s="139"/>
      <c r="E248" s="139"/>
      <c r="F248" s="139"/>
      <c r="G248" s="140"/>
      <c r="H248" s="23">
        <v>52</v>
      </c>
      <c r="I248" s="31">
        <v>23</v>
      </c>
      <c r="J248" s="31">
        <v>1</v>
      </c>
      <c r="K248" s="31">
        <v>0</v>
      </c>
      <c r="L248" s="31">
        <v>0</v>
      </c>
      <c r="M248" s="31">
        <v>0</v>
      </c>
      <c r="N248" s="31">
        <v>0</v>
      </c>
      <c r="O248" s="31">
        <v>1</v>
      </c>
      <c r="P248" s="31">
        <v>1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9</v>
      </c>
      <c r="Z248" s="31">
        <v>9</v>
      </c>
      <c r="AA248" s="31">
        <v>0</v>
      </c>
      <c r="AB248" s="31">
        <v>22</v>
      </c>
    </row>
    <row r="249" spans="1:28" ht="27.2" customHeight="1" x14ac:dyDescent="0.2">
      <c r="A249" s="145"/>
      <c r="B249" s="138" t="s">
        <v>353</v>
      </c>
      <c r="C249" s="139"/>
      <c r="D249" s="139"/>
      <c r="E249" s="139"/>
      <c r="F249" s="139"/>
      <c r="G249" s="140"/>
      <c r="H249" s="23">
        <v>53</v>
      </c>
      <c r="I249" s="31">
        <v>501</v>
      </c>
      <c r="J249" s="31">
        <v>266</v>
      </c>
      <c r="K249" s="31">
        <v>2</v>
      </c>
      <c r="L249" s="31">
        <v>0</v>
      </c>
      <c r="M249" s="31">
        <v>1</v>
      </c>
      <c r="N249" s="31">
        <v>0</v>
      </c>
      <c r="O249" s="31">
        <v>180</v>
      </c>
      <c r="P249" s="31">
        <v>169</v>
      </c>
      <c r="Q249" s="31">
        <v>0</v>
      </c>
      <c r="R249" s="31">
        <v>9</v>
      </c>
      <c r="S249" s="31">
        <v>2</v>
      </c>
      <c r="T249" s="31">
        <v>0</v>
      </c>
      <c r="U249" s="31">
        <v>25</v>
      </c>
      <c r="V249" s="31">
        <v>24</v>
      </c>
      <c r="W249" s="31">
        <v>19</v>
      </c>
      <c r="X249" s="31">
        <v>13</v>
      </c>
      <c r="Y249" s="31">
        <v>220</v>
      </c>
      <c r="Z249" s="31">
        <v>220</v>
      </c>
      <c r="AA249" s="31">
        <v>0</v>
      </c>
      <c r="AB249" s="31">
        <v>319</v>
      </c>
    </row>
    <row r="250" spans="1:28" ht="27.2" customHeight="1" x14ac:dyDescent="0.2">
      <c r="A250" s="145"/>
      <c r="B250" s="50" t="s">
        <v>32</v>
      </c>
      <c r="C250" s="138" t="s">
        <v>354</v>
      </c>
      <c r="D250" s="139"/>
      <c r="E250" s="139"/>
      <c r="F250" s="139"/>
      <c r="G250" s="140"/>
      <c r="H250" s="23">
        <v>54</v>
      </c>
      <c r="I250" s="31">
        <v>359</v>
      </c>
      <c r="J250" s="31">
        <v>242</v>
      </c>
      <c r="K250" s="31">
        <v>2</v>
      </c>
      <c r="L250" s="31">
        <v>0</v>
      </c>
      <c r="M250" s="31">
        <v>1</v>
      </c>
      <c r="N250" s="31">
        <v>0</v>
      </c>
      <c r="O250" s="31">
        <v>166</v>
      </c>
      <c r="P250" s="31">
        <v>155</v>
      </c>
      <c r="Q250" s="31">
        <v>0</v>
      </c>
      <c r="R250" s="31">
        <v>9</v>
      </c>
      <c r="S250" s="31">
        <v>2</v>
      </c>
      <c r="T250" s="31">
        <v>0</v>
      </c>
      <c r="U250" s="31">
        <v>24</v>
      </c>
      <c r="V250" s="31">
        <v>23</v>
      </c>
      <c r="W250" s="31">
        <v>19</v>
      </c>
      <c r="X250" s="31">
        <v>13</v>
      </c>
      <c r="Y250" s="31">
        <v>61</v>
      </c>
      <c r="Z250" s="31">
        <v>61</v>
      </c>
      <c r="AA250" s="31">
        <v>0</v>
      </c>
      <c r="AB250" s="31">
        <v>191</v>
      </c>
    </row>
    <row r="251" spans="1:28" ht="27.2" customHeight="1" x14ac:dyDescent="0.2">
      <c r="A251" s="145"/>
      <c r="B251" s="138" t="s">
        <v>355</v>
      </c>
      <c r="C251" s="139"/>
      <c r="D251" s="139"/>
      <c r="E251" s="139"/>
      <c r="F251" s="139"/>
      <c r="G251" s="140"/>
      <c r="H251" s="23">
        <v>55</v>
      </c>
      <c r="I251" s="31">
        <v>29</v>
      </c>
      <c r="J251" s="31">
        <v>10</v>
      </c>
      <c r="K251" s="31">
        <v>0</v>
      </c>
      <c r="L251" s="31">
        <v>0</v>
      </c>
      <c r="M251" s="31">
        <v>0</v>
      </c>
      <c r="N251" s="31">
        <v>0</v>
      </c>
      <c r="O251" s="31">
        <v>9</v>
      </c>
      <c r="P251" s="31">
        <v>9</v>
      </c>
      <c r="Q251" s="31">
        <v>0</v>
      </c>
      <c r="R251" s="31">
        <v>0</v>
      </c>
      <c r="S251" s="31">
        <v>0</v>
      </c>
      <c r="T251" s="31">
        <v>0</v>
      </c>
      <c r="U251" s="31">
        <v>7</v>
      </c>
      <c r="V251" s="31">
        <v>0</v>
      </c>
      <c r="W251" s="31">
        <v>0</v>
      </c>
      <c r="X251" s="31">
        <v>0</v>
      </c>
      <c r="Y251" s="31">
        <v>47</v>
      </c>
      <c r="Z251" s="31">
        <v>47</v>
      </c>
      <c r="AA251" s="31">
        <v>0</v>
      </c>
      <c r="AB251" s="31">
        <v>20</v>
      </c>
    </row>
    <row r="252" spans="1:28" ht="27.2" customHeight="1" x14ac:dyDescent="0.2">
      <c r="A252" s="145"/>
      <c r="B252" s="138" t="s">
        <v>356</v>
      </c>
      <c r="C252" s="139"/>
      <c r="D252" s="139"/>
      <c r="E252" s="139"/>
      <c r="F252" s="139"/>
      <c r="G252" s="140"/>
      <c r="H252" s="23">
        <v>56</v>
      </c>
      <c r="I252" s="31">
        <v>10</v>
      </c>
      <c r="J252" s="31">
        <v>3</v>
      </c>
      <c r="K252" s="31">
        <v>0</v>
      </c>
      <c r="L252" s="31">
        <v>0</v>
      </c>
      <c r="M252" s="31">
        <v>0</v>
      </c>
      <c r="N252" s="31">
        <v>0</v>
      </c>
      <c r="O252" s="31">
        <v>2</v>
      </c>
      <c r="P252" s="31">
        <v>2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2</v>
      </c>
      <c r="X252" s="31">
        <v>0</v>
      </c>
      <c r="Y252" s="31">
        <v>2</v>
      </c>
      <c r="Z252" s="31">
        <v>2</v>
      </c>
      <c r="AA252" s="31">
        <v>0</v>
      </c>
      <c r="AB252" s="31">
        <v>8</v>
      </c>
    </row>
    <row r="253" spans="1:28" ht="27.2" customHeight="1" x14ac:dyDescent="0.2">
      <c r="A253" s="145"/>
      <c r="B253" s="138" t="s">
        <v>357</v>
      </c>
      <c r="C253" s="139"/>
      <c r="D253" s="139"/>
      <c r="E253" s="139"/>
      <c r="F253" s="139"/>
      <c r="G253" s="140"/>
      <c r="H253" s="23">
        <v>57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</row>
    <row r="254" spans="1:28" ht="27.2" customHeight="1" x14ac:dyDescent="0.2">
      <c r="A254" s="146"/>
      <c r="B254" s="138" t="s">
        <v>358</v>
      </c>
      <c r="C254" s="139"/>
      <c r="D254" s="139"/>
      <c r="E254" s="139"/>
      <c r="F254" s="139"/>
      <c r="G254" s="140"/>
      <c r="H254" s="23">
        <v>58</v>
      </c>
      <c r="I254" s="31">
        <v>3</v>
      </c>
      <c r="J254" s="31">
        <v>1</v>
      </c>
      <c r="K254" s="31">
        <v>0</v>
      </c>
      <c r="L254" s="31">
        <v>0</v>
      </c>
      <c r="M254" s="31">
        <v>0</v>
      </c>
      <c r="N254" s="31">
        <v>0</v>
      </c>
      <c r="O254" s="31">
        <v>1</v>
      </c>
      <c r="P254" s="31">
        <v>1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2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44" t="s">
        <v>809</v>
      </c>
      <c r="B256" s="138" t="s">
        <v>359</v>
      </c>
      <c r="C256" s="139"/>
      <c r="D256" s="139"/>
      <c r="E256" s="139"/>
      <c r="F256" s="139"/>
      <c r="G256" s="140"/>
      <c r="H256" s="23">
        <v>59</v>
      </c>
      <c r="I256" s="31">
        <v>870</v>
      </c>
      <c r="J256" s="31">
        <v>175</v>
      </c>
      <c r="K256" s="31">
        <v>2</v>
      </c>
      <c r="L256" s="31">
        <v>0</v>
      </c>
      <c r="M256" s="31">
        <v>2</v>
      </c>
      <c r="N256" s="31">
        <v>0</v>
      </c>
      <c r="O256" s="31">
        <v>159</v>
      </c>
      <c r="P256" s="31">
        <v>158</v>
      </c>
      <c r="Q256" s="31">
        <v>1</v>
      </c>
      <c r="R256" s="31">
        <v>0</v>
      </c>
      <c r="S256" s="31">
        <v>0</v>
      </c>
      <c r="T256" s="31">
        <v>0</v>
      </c>
      <c r="U256" s="31">
        <v>16</v>
      </c>
      <c r="V256" s="31">
        <v>1</v>
      </c>
      <c r="W256" s="31">
        <v>0</v>
      </c>
      <c r="X256" s="31">
        <v>0</v>
      </c>
      <c r="Y256" s="31">
        <v>107</v>
      </c>
      <c r="Z256" s="31">
        <v>107</v>
      </c>
      <c r="AA256" s="31">
        <v>0</v>
      </c>
      <c r="AB256" s="31">
        <v>709</v>
      </c>
    </row>
    <row r="257" spans="1:28" ht="27.2" customHeight="1" x14ac:dyDescent="0.2">
      <c r="A257" s="145"/>
      <c r="B257" s="216" t="s">
        <v>32</v>
      </c>
      <c r="C257" s="138" t="s">
        <v>360</v>
      </c>
      <c r="D257" s="139"/>
      <c r="E257" s="139"/>
      <c r="F257" s="139"/>
      <c r="G257" s="140"/>
      <c r="H257" s="23">
        <v>60</v>
      </c>
      <c r="I257" s="31">
        <v>267</v>
      </c>
      <c r="J257" s="31">
        <v>9</v>
      </c>
      <c r="K257" s="31">
        <v>0</v>
      </c>
      <c r="L257" s="31">
        <v>0</v>
      </c>
      <c r="M257" s="31">
        <v>0</v>
      </c>
      <c r="N257" s="31">
        <v>0</v>
      </c>
      <c r="O257" s="31">
        <v>7</v>
      </c>
      <c r="P257" s="31">
        <v>7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54</v>
      </c>
      <c r="Z257" s="31">
        <v>54</v>
      </c>
      <c r="AA257" s="31">
        <v>0</v>
      </c>
      <c r="AB257" s="31">
        <v>260</v>
      </c>
    </row>
    <row r="258" spans="1:28" ht="26.25" customHeight="1" x14ac:dyDescent="0.2">
      <c r="A258" s="145"/>
      <c r="B258" s="217"/>
      <c r="C258" s="138" t="s">
        <v>361</v>
      </c>
      <c r="D258" s="139"/>
      <c r="E258" s="139"/>
      <c r="F258" s="139"/>
      <c r="G258" s="140"/>
      <c r="H258" s="23">
        <v>61</v>
      </c>
      <c r="I258" s="54">
        <v>603</v>
      </c>
      <c r="J258" s="54">
        <v>166</v>
      </c>
      <c r="K258" s="54">
        <v>2</v>
      </c>
      <c r="L258" s="54">
        <v>0</v>
      </c>
      <c r="M258" s="31">
        <v>2</v>
      </c>
      <c r="N258" s="31">
        <v>0</v>
      </c>
      <c r="O258" s="31">
        <v>152</v>
      </c>
      <c r="P258" s="31">
        <v>151</v>
      </c>
      <c r="Q258" s="31">
        <v>1</v>
      </c>
      <c r="R258" s="31">
        <v>0</v>
      </c>
      <c r="S258" s="31">
        <v>0</v>
      </c>
      <c r="T258" s="31">
        <v>0</v>
      </c>
      <c r="U258" s="31">
        <v>16</v>
      </c>
      <c r="V258" s="31">
        <v>1</v>
      </c>
      <c r="W258" s="31">
        <v>0</v>
      </c>
      <c r="X258" s="31">
        <v>0</v>
      </c>
      <c r="Y258" s="31">
        <v>53</v>
      </c>
      <c r="Z258" s="31">
        <v>53</v>
      </c>
      <c r="AA258" s="31">
        <v>0</v>
      </c>
      <c r="AB258" s="31">
        <v>449</v>
      </c>
    </row>
    <row r="259" spans="1:28" ht="31.5" customHeight="1" x14ac:dyDescent="0.2">
      <c r="A259" s="145"/>
      <c r="B259" s="138" t="s">
        <v>362</v>
      </c>
      <c r="C259" s="139"/>
      <c r="D259" s="139"/>
      <c r="E259" s="139"/>
      <c r="F259" s="139"/>
      <c r="G259" s="140"/>
      <c r="H259" s="23">
        <v>62</v>
      </c>
      <c r="I259" s="31">
        <v>60</v>
      </c>
      <c r="J259" s="31">
        <v>10</v>
      </c>
      <c r="K259" s="31">
        <v>2</v>
      </c>
      <c r="L259" s="31">
        <v>0</v>
      </c>
      <c r="M259" s="31">
        <v>2</v>
      </c>
      <c r="N259" s="31">
        <v>0</v>
      </c>
      <c r="O259" s="31">
        <v>7</v>
      </c>
      <c r="P259" s="31">
        <v>7</v>
      </c>
      <c r="Q259" s="31">
        <v>0</v>
      </c>
      <c r="R259" s="31">
        <v>0</v>
      </c>
      <c r="S259" s="31">
        <v>0</v>
      </c>
      <c r="T259" s="31">
        <v>0</v>
      </c>
      <c r="U259" s="31">
        <v>2</v>
      </c>
      <c r="V259" s="31">
        <v>0</v>
      </c>
      <c r="W259" s="31">
        <v>0</v>
      </c>
      <c r="X259" s="31">
        <v>0</v>
      </c>
      <c r="Y259" s="31">
        <v>17</v>
      </c>
      <c r="Z259" s="31">
        <v>17</v>
      </c>
      <c r="AA259" s="31">
        <v>0</v>
      </c>
      <c r="AB259" s="31">
        <v>51</v>
      </c>
    </row>
    <row r="260" spans="1:28" ht="24" customHeight="1" x14ac:dyDescent="0.2">
      <c r="A260" s="146"/>
      <c r="B260" s="138" t="s">
        <v>179</v>
      </c>
      <c r="C260" s="139"/>
      <c r="D260" s="139"/>
      <c r="E260" s="139"/>
      <c r="F260" s="139"/>
      <c r="G260" s="140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8" t="s">
        <v>115</v>
      </c>
      <c r="B261" s="139"/>
      <c r="C261" s="139"/>
      <c r="D261" s="139"/>
      <c r="E261" s="139"/>
      <c r="F261" s="139"/>
      <c r="G261" s="140"/>
      <c r="H261" s="23">
        <v>64</v>
      </c>
      <c r="I261" s="31">
        <f t="shared" ref="I261:AB261" si="4">SUM(I196:I200,I202:I254,I256:I260)</f>
        <v>240913</v>
      </c>
      <c r="J261" s="31">
        <f t="shared" si="4"/>
        <v>107235</v>
      </c>
      <c r="K261" s="31">
        <f t="shared" si="4"/>
        <v>4290</v>
      </c>
      <c r="L261" s="31">
        <f t="shared" si="4"/>
        <v>16</v>
      </c>
      <c r="M261" s="31">
        <f t="shared" si="4"/>
        <v>4042</v>
      </c>
      <c r="N261" s="31">
        <f t="shared" si="4"/>
        <v>0</v>
      </c>
      <c r="O261" s="31">
        <f t="shared" si="4"/>
        <v>88155</v>
      </c>
      <c r="P261" s="31">
        <f t="shared" si="4"/>
        <v>87436</v>
      </c>
      <c r="Q261" s="31">
        <f t="shared" si="4"/>
        <v>68</v>
      </c>
      <c r="R261" s="31">
        <f t="shared" si="4"/>
        <v>597</v>
      </c>
      <c r="S261" s="31">
        <f t="shared" si="4"/>
        <v>54</v>
      </c>
      <c r="T261" s="31">
        <f t="shared" si="4"/>
        <v>51</v>
      </c>
      <c r="U261" s="31">
        <f t="shared" si="4"/>
        <v>26770</v>
      </c>
      <c r="V261" s="31">
        <f t="shared" si="4"/>
        <v>3570</v>
      </c>
      <c r="W261" s="31">
        <f t="shared" si="4"/>
        <v>1342</v>
      </c>
      <c r="X261" s="31">
        <f t="shared" si="4"/>
        <v>1479</v>
      </c>
      <c r="Y261" s="31">
        <f t="shared" si="4"/>
        <v>38537</v>
      </c>
      <c r="Z261" s="31">
        <f t="shared" si="4"/>
        <v>38416</v>
      </c>
      <c r="AA261" s="31">
        <f t="shared" si="4"/>
        <v>0</v>
      </c>
      <c r="AB261" s="31">
        <f t="shared" si="4"/>
        <v>148296</v>
      </c>
    </row>
    <row r="262" spans="1:28" ht="19.5" customHeight="1" x14ac:dyDescent="0.2"/>
    <row r="263" spans="1:28" ht="29.25" customHeight="1" x14ac:dyDescent="0.25">
      <c r="A263" s="177" t="s">
        <v>810</v>
      </c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</row>
    <row r="264" spans="1:28" ht="32.25" customHeight="1" x14ac:dyDescent="0.2">
      <c r="A264" s="178"/>
      <c r="B264" s="179"/>
      <c r="C264" s="179"/>
      <c r="D264" s="179"/>
      <c r="E264" s="179"/>
      <c r="F264" s="179"/>
      <c r="G264" s="180"/>
      <c r="H264" s="187" t="s">
        <v>15</v>
      </c>
      <c r="I264" s="168" t="s">
        <v>1148</v>
      </c>
      <c r="J264" s="168" t="s">
        <v>16</v>
      </c>
      <c r="K264" s="168" t="s">
        <v>17</v>
      </c>
      <c r="L264" s="171" t="s">
        <v>18</v>
      </c>
      <c r="M264" s="172"/>
      <c r="N264" s="173"/>
      <c r="O264" s="168" t="s">
        <v>19</v>
      </c>
      <c r="P264" s="171" t="s">
        <v>20</v>
      </c>
      <c r="Q264" s="172"/>
      <c r="R264" s="172"/>
      <c r="S264" s="173"/>
      <c r="T264" s="168" t="s">
        <v>21</v>
      </c>
      <c r="U264" s="171" t="s">
        <v>22</v>
      </c>
      <c r="V264" s="172"/>
      <c r="W264" s="172"/>
      <c r="X264" s="173"/>
      <c r="Y264" s="171" t="s">
        <v>23</v>
      </c>
      <c r="Z264" s="172"/>
      <c r="AA264" s="173"/>
      <c r="AB264" s="168" t="s">
        <v>24</v>
      </c>
    </row>
    <row r="265" spans="1:28" ht="27" customHeight="1" x14ac:dyDescent="0.2">
      <c r="A265" s="181"/>
      <c r="B265" s="182"/>
      <c r="C265" s="182"/>
      <c r="D265" s="182"/>
      <c r="E265" s="182"/>
      <c r="F265" s="182"/>
      <c r="G265" s="183"/>
      <c r="H265" s="188"/>
      <c r="I265" s="170"/>
      <c r="J265" s="170"/>
      <c r="K265" s="170"/>
      <c r="L265" s="168" t="s">
        <v>25</v>
      </c>
      <c r="M265" s="168" t="s">
        <v>26</v>
      </c>
      <c r="N265" s="168" t="s">
        <v>27</v>
      </c>
      <c r="O265" s="170"/>
      <c r="P265" s="168" t="s">
        <v>28</v>
      </c>
      <c r="Q265" s="168" t="s">
        <v>29</v>
      </c>
      <c r="R265" s="168" t="s">
        <v>30</v>
      </c>
      <c r="S265" s="168" t="s">
        <v>31</v>
      </c>
      <c r="T265" s="170"/>
      <c r="U265" s="171" t="s">
        <v>32</v>
      </c>
      <c r="V265" s="172"/>
      <c r="W265" s="172"/>
      <c r="X265" s="173"/>
      <c r="Y265" s="168" t="s">
        <v>33</v>
      </c>
      <c r="Z265" s="171" t="s">
        <v>34</v>
      </c>
      <c r="AA265" s="173"/>
      <c r="AB265" s="170"/>
    </row>
    <row r="266" spans="1:28" ht="81" customHeight="1" x14ac:dyDescent="0.2">
      <c r="A266" s="184"/>
      <c r="B266" s="185"/>
      <c r="C266" s="185"/>
      <c r="D266" s="185"/>
      <c r="E266" s="185"/>
      <c r="F266" s="185"/>
      <c r="G266" s="186"/>
      <c r="H266" s="18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9" t="s">
        <v>35</v>
      </c>
      <c r="V266" s="16" t="s">
        <v>36</v>
      </c>
      <c r="W266" s="16" t="s">
        <v>37</v>
      </c>
      <c r="X266" s="16" t="s">
        <v>38</v>
      </c>
      <c r="Y266" s="169"/>
      <c r="Z266" s="18" t="s">
        <v>39</v>
      </c>
      <c r="AA266" s="17" t="s">
        <v>40</v>
      </c>
      <c r="AB266" s="169"/>
    </row>
    <row r="267" spans="1:28" ht="12" customHeight="1" x14ac:dyDescent="0.2">
      <c r="A267" s="150" t="s">
        <v>41</v>
      </c>
      <c r="B267" s="151"/>
      <c r="C267" s="151"/>
      <c r="D267" s="151"/>
      <c r="E267" s="151"/>
      <c r="F267" s="151"/>
      <c r="G267" s="152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53" t="s">
        <v>43</v>
      </c>
      <c r="B268" s="154"/>
      <c r="C268" s="154"/>
      <c r="D268" s="154"/>
      <c r="E268" s="154"/>
      <c r="F268" s="154"/>
      <c r="G268" s="155"/>
      <c r="H268" s="23">
        <v>1</v>
      </c>
      <c r="I268" s="31">
        <v>1720</v>
      </c>
      <c r="J268" s="31">
        <v>1078</v>
      </c>
      <c r="K268" s="31">
        <v>22</v>
      </c>
      <c r="L268" s="31">
        <v>0</v>
      </c>
      <c r="M268" s="31">
        <v>16</v>
      </c>
      <c r="N268" s="31">
        <v>1</v>
      </c>
      <c r="O268" s="31">
        <v>827</v>
      </c>
      <c r="P268" s="31">
        <v>824</v>
      </c>
      <c r="Q268" s="31">
        <v>2</v>
      </c>
      <c r="R268" s="31">
        <v>1</v>
      </c>
      <c r="S268" s="31">
        <v>0</v>
      </c>
      <c r="T268" s="31">
        <v>0</v>
      </c>
      <c r="U268" s="31">
        <v>94</v>
      </c>
      <c r="V268" s="31">
        <v>154</v>
      </c>
      <c r="W268" s="31">
        <v>1</v>
      </c>
      <c r="X268" s="31">
        <v>0</v>
      </c>
      <c r="Y268" s="31">
        <v>43</v>
      </c>
      <c r="Z268" s="31">
        <v>42</v>
      </c>
      <c r="AA268" s="31">
        <v>0</v>
      </c>
      <c r="AB268" s="31">
        <v>870</v>
      </c>
    </row>
    <row r="269" spans="1:28" ht="20.25" customHeight="1" x14ac:dyDescent="0.2">
      <c r="A269" s="156" t="s">
        <v>181</v>
      </c>
      <c r="B269" s="158"/>
      <c r="C269" s="165" t="s">
        <v>51</v>
      </c>
      <c r="D269" s="166"/>
      <c r="E269" s="166"/>
      <c r="F269" s="166"/>
      <c r="G269" s="167"/>
      <c r="H269" s="23">
        <v>2</v>
      </c>
      <c r="I269" s="31">
        <v>180</v>
      </c>
      <c r="J269" s="31">
        <v>121</v>
      </c>
      <c r="K269" s="31">
        <v>0</v>
      </c>
      <c r="L269" s="31">
        <v>0</v>
      </c>
      <c r="M269" s="31">
        <v>0</v>
      </c>
      <c r="N269" s="31">
        <v>0</v>
      </c>
      <c r="O269" s="31">
        <v>98</v>
      </c>
      <c r="P269" s="31">
        <v>98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94</v>
      </c>
      <c r="W269" s="31">
        <v>0</v>
      </c>
      <c r="X269" s="31">
        <v>0</v>
      </c>
      <c r="Y269" s="31">
        <v>3</v>
      </c>
      <c r="Z269" s="31">
        <v>3</v>
      </c>
      <c r="AA269" s="31">
        <v>0</v>
      </c>
      <c r="AB269" s="31">
        <v>82</v>
      </c>
    </row>
    <row r="270" spans="1:28" ht="20.25" customHeight="1" x14ac:dyDescent="0.2">
      <c r="A270" s="159"/>
      <c r="B270" s="161"/>
      <c r="C270" s="165" t="s">
        <v>52</v>
      </c>
      <c r="D270" s="166"/>
      <c r="E270" s="166"/>
      <c r="F270" s="166"/>
      <c r="G270" s="167"/>
      <c r="H270" s="23">
        <v>3</v>
      </c>
      <c r="I270" s="31">
        <v>692</v>
      </c>
      <c r="J270" s="31">
        <v>386</v>
      </c>
      <c r="K270" s="31">
        <v>10</v>
      </c>
      <c r="L270" s="31">
        <v>0</v>
      </c>
      <c r="M270" s="31">
        <v>8</v>
      </c>
      <c r="N270" s="31">
        <v>1</v>
      </c>
      <c r="O270" s="31">
        <v>277</v>
      </c>
      <c r="P270" s="31">
        <v>276</v>
      </c>
      <c r="Q270" s="31">
        <v>0</v>
      </c>
      <c r="R270" s="31">
        <v>1</v>
      </c>
      <c r="S270" s="31">
        <v>0</v>
      </c>
      <c r="T270" s="31">
        <v>0</v>
      </c>
      <c r="U270" s="31">
        <v>58</v>
      </c>
      <c r="V270" s="31">
        <v>33</v>
      </c>
      <c r="W270" s="31">
        <v>1</v>
      </c>
      <c r="X270" s="31">
        <v>0</v>
      </c>
      <c r="Y270" s="31">
        <v>15</v>
      </c>
      <c r="Z270" s="31">
        <v>14</v>
      </c>
      <c r="AA270" s="31">
        <v>0</v>
      </c>
      <c r="AB270" s="31">
        <v>404</v>
      </c>
    </row>
    <row r="271" spans="1:28" ht="20.25" customHeight="1" x14ac:dyDescent="0.2">
      <c r="A271" s="159"/>
      <c r="B271" s="161"/>
      <c r="C271" s="165" t="s">
        <v>182</v>
      </c>
      <c r="D271" s="166"/>
      <c r="E271" s="166"/>
      <c r="F271" s="166"/>
      <c r="G271" s="167"/>
      <c r="H271" s="23">
        <v>4</v>
      </c>
      <c r="I271" s="31">
        <v>809</v>
      </c>
      <c r="J271" s="31">
        <v>548</v>
      </c>
      <c r="K271" s="31">
        <v>4</v>
      </c>
      <c r="L271" s="31">
        <v>0</v>
      </c>
      <c r="M271" s="31">
        <v>0</v>
      </c>
      <c r="N271" s="31">
        <v>0</v>
      </c>
      <c r="O271" s="31">
        <v>437</v>
      </c>
      <c r="P271" s="31">
        <v>435</v>
      </c>
      <c r="Q271" s="31">
        <v>2</v>
      </c>
      <c r="R271" s="31">
        <v>0</v>
      </c>
      <c r="S271" s="31">
        <v>0</v>
      </c>
      <c r="T271" s="31">
        <v>0</v>
      </c>
      <c r="U271" s="31">
        <v>32</v>
      </c>
      <c r="V271" s="31">
        <v>27</v>
      </c>
      <c r="W271" s="31">
        <v>0</v>
      </c>
      <c r="X271" s="31">
        <v>0</v>
      </c>
      <c r="Y271" s="31">
        <v>14</v>
      </c>
      <c r="Z271" s="31">
        <v>14</v>
      </c>
      <c r="AA271" s="31">
        <v>0</v>
      </c>
      <c r="AB271" s="31">
        <v>368</v>
      </c>
    </row>
    <row r="272" spans="1:28" ht="20.25" customHeight="1" x14ac:dyDescent="0.2">
      <c r="A272" s="162"/>
      <c r="B272" s="164"/>
      <c r="C272" s="165" t="s">
        <v>49</v>
      </c>
      <c r="D272" s="166"/>
      <c r="E272" s="166"/>
      <c r="F272" s="166"/>
      <c r="G272" s="167"/>
      <c r="H272" s="23">
        <v>5</v>
      </c>
      <c r="I272" s="31">
        <v>25</v>
      </c>
      <c r="J272" s="31">
        <v>11</v>
      </c>
      <c r="K272" s="31">
        <v>0</v>
      </c>
      <c r="L272" s="31">
        <v>0</v>
      </c>
      <c r="M272" s="31">
        <v>0</v>
      </c>
      <c r="N272" s="31">
        <v>0</v>
      </c>
      <c r="O272" s="31">
        <v>11</v>
      </c>
      <c r="P272" s="31">
        <v>11</v>
      </c>
      <c r="Q272" s="31">
        <v>0</v>
      </c>
      <c r="R272" s="31">
        <v>0</v>
      </c>
      <c r="S272" s="31">
        <v>0</v>
      </c>
      <c r="T272" s="31">
        <v>0</v>
      </c>
      <c r="U272" s="31">
        <v>4</v>
      </c>
      <c r="V272" s="31">
        <v>0</v>
      </c>
      <c r="W272" s="31">
        <v>0</v>
      </c>
      <c r="X272" s="31">
        <v>0</v>
      </c>
      <c r="Y272" s="31">
        <v>11</v>
      </c>
      <c r="Z272" s="31">
        <v>11</v>
      </c>
      <c r="AA272" s="31">
        <v>0</v>
      </c>
      <c r="AB272" s="31">
        <v>14</v>
      </c>
    </row>
    <row r="273" spans="1:28" ht="80.25" customHeight="1" x14ac:dyDescent="0.2">
      <c r="A273" s="210" t="s">
        <v>165</v>
      </c>
      <c r="B273" s="174" t="s">
        <v>365</v>
      </c>
      <c r="C273" s="175"/>
      <c r="D273" s="175"/>
      <c r="E273" s="175"/>
      <c r="F273" s="175"/>
      <c r="G273" s="176"/>
      <c r="H273" s="23">
        <v>6</v>
      </c>
      <c r="I273" s="31">
        <v>146</v>
      </c>
      <c r="J273" s="31">
        <v>105</v>
      </c>
      <c r="K273" s="31">
        <v>0</v>
      </c>
      <c r="L273" s="31">
        <v>0</v>
      </c>
      <c r="M273" s="31">
        <v>0</v>
      </c>
      <c r="N273" s="31">
        <v>0</v>
      </c>
      <c r="O273" s="31">
        <v>88</v>
      </c>
      <c r="P273" s="31">
        <v>88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87</v>
      </c>
      <c r="W273" s="31">
        <v>0</v>
      </c>
      <c r="X273" s="31">
        <v>0</v>
      </c>
      <c r="Y273" s="31">
        <v>1</v>
      </c>
      <c r="Z273" s="31">
        <v>1</v>
      </c>
      <c r="AA273" s="31">
        <v>0</v>
      </c>
      <c r="AB273" s="31">
        <v>58</v>
      </c>
    </row>
    <row r="274" spans="1:28" ht="54" customHeight="1" x14ac:dyDescent="0.2">
      <c r="A274" s="211"/>
      <c r="B274" s="174" t="s">
        <v>366</v>
      </c>
      <c r="C274" s="175"/>
      <c r="D274" s="175"/>
      <c r="E274" s="175"/>
      <c r="F274" s="175"/>
      <c r="G274" s="176"/>
      <c r="H274" s="23">
        <v>7</v>
      </c>
      <c r="I274" s="31">
        <v>392</v>
      </c>
      <c r="J274" s="31">
        <v>383</v>
      </c>
      <c r="K274" s="31">
        <v>12</v>
      </c>
      <c r="L274" s="31">
        <v>0</v>
      </c>
      <c r="M274" s="31">
        <v>8</v>
      </c>
      <c r="N274" s="31">
        <v>0</v>
      </c>
      <c r="O274" s="31">
        <v>338</v>
      </c>
      <c r="P274" s="31">
        <v>338</v>
      </c>
      <c r="Q274" s="31">
        <v>0</v>
      </c>
      <c r="R274" s="31">
        <v>0</v>
      </c>
      <c r="S274" s="31">
        <v>0</v>
      </c>
      <c r="T274" s="31">
        <v>0</v>
      </c>
      <c r="U274" s="31">
        <v>26</v>
      </c>
      <c r="V274" s="31">
        <v>3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42</v>
      </c>
    </row>
    <row r="275" spans="1:28" ht="43.5" customHeight="1" x14ac:dyDescent="0.2">
      <c r="A275" s="211"/>
      <c r="B275" s="174" t="s">
        <v>811</v>
      </c>
      <c r="C275" s="175"/>
      <c r="D275" s="175"/>
      <c r="E275" s="175"/>
      <c r="F275" s="175"/>
      <c r="G275" s="176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11"/>
      <c r="B276" s="174" t="s">
        <v>812</v>
      </c>
      <c r="C276" s="175"/>
      <c r="D276" s="175"/>
      <c r="E276" s="175"/>
      <c r="F276" s="175"/>
      <c r="G276" s="176"/>
      <c r="H276" s="23">
        <v>9</v>
      </c>
      <c r="I276" s="31">
        <v>15</v>
      </c>
      <c r="J276" s="31">
        <v>3</v>
      </c>
      <c r="K276" s="31">
        <v>0</v>
      </c>
      <c r="L276" s="31">
        <v>0</v>
      </c>
      <c r="M276" s="31">
        <v>0</v>
      </c>
      <c r="N276" s="31">
        <v>0</v>
      </c>
      <c r="O276" s="31">
        <v>2</v>
      </c>
      <c r="P276" s="31">
        <v>2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2</v>
      </c>
      <c r="W276" s="31">
        <v>0</v>
      </c>
      <c r="X276" s="31">
        <v>0</v>
      </c>
      <c r="Y276" s="31">
        <v>1</v>
      </c>
      <c r="Z276" s="31">
        <v>1</v>
      </c>
      <c r="AA276" s="31">
        <v>0</v>
      </c>
      <c r="AB276" s="31">
        <v>13</v>
      </c>
    </row>
    <row r="277" spans="1:28" ht="45" customHeight="1" x14ac:dyDescent="0.2">
      <c r="A277" s="211"/>
      <c r="B277" s="174" t="s">
        <v>375</v>
      </c>
      <c r="C277" s="175"/>
      <c r="D277" s="175"/>
      <c r="E277" s="175"/>
      <c r="F277" s="175"/>
      <c r="G277" s="176"/>
      <c r="H277" s="23">
        <v>10</v>
      </c>
      <c r="I277" s="31">
        <v>39</v>
      </c>
      <c r="J277" s="31">
        <v>21</v>
      </c>
      <c r="K277" s="31">
        <v>0</v>
      </c>
      <c r="L277" s="31">
        <v>0</v>
      </c>
      <c r="M277" s="31">
        <v>0</v>
      </c>
      <c r="N277" s="31">
        <v>0</v>
      </c>
      <c r="O277" s="31">
        <v>16</v>
      </c>
      <c r="P277" s="31">
        <v>16</v>
      </c>
      <c r="Q277" s="31">
        <v>0</v>
      </c>
      <c r="R277" s="31">
        <v>0</v>
      </c>
      <c r="S277" s="31">
        <v>0</v>
      </c>
      <c r="T277" s="31">
        <v>0</v>
      </c>
      <c r="U277" s="31">
        <v>1</v>
      </c>
      <c r="V277" s="31">
        <v>2</v>
      </c>
      <c r="W277" s="31">
        <v>0</v>
      </c>
      <c r="X277" s="31">
        <v>0</v>
      </c>
      <c r="Y277" s="31">
        <v>2</v>
      </c>
      <c r="Z277" s="31">
        <v>2</v>
      </c>
      <c r="AA277" s="31">
        <v>0</v>
      </c>
      <c r="AB277" s="31">
        <v>23</v>
      </c>
    </row>
    <row r="278" spans="1:28" ht="27.2" customHeight="1" x14ac:dyDescent="0.2">
      <c r="A278" s="211"/>
      <c r="B278" s="174" t="s">
        <v>376</v>
      </c>
      <c r="C278" s="175"/>
      <c r="D278" s="175"/>
      <c r="E278" s="175"/>
      <c r="F278" s="175"/>
      <c r="G278" s="176"/>
      <c r="H278" s="23">
        <v>11</v>
      </c>
      <c r="I278" s="31">
        <v>9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9</v>
      </c>
    </row>
    <row r="279" spans="1:28" ht="25.5" customHeight="1" x14ac:dyDescent="0.2">
      <c r="A279" s="211"/>
      <c r="B279" s="190" t="s">
        <v>32</v>
      </c>
      <c r="C279" s="138" t="s">
        <v>377</v>
      </c>
      <c r="D279" s="139"/>
      <c r="E279" s="139"/>
      <c r="F279" s="139"/>
      <c r="G279" s="140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11"/>
      <c r="B280" s="191"/>
      <c r="C280" s="139" t="s">
        <v>378</v>
      </c>
      <c r="D280" s="139"/>
      <c r="E280" s="139"/>
      <c r="F280" s="139"/>
      <c r="G280" s="140"/>
      <c r="H280" s="23">
        <v>13</v>
      </c>
      <c r="I280" s="54">
        <v>9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9</v>
      </c>
    </row>
    <row r="281" spans="1:28" ht="27.2" customHeight="1" x14ac:dyDescent="0.2">
      <c r="A281" s="211"/>
      <c r="B281" s="174" t="s">
        <v>379</v>
      </c>
      <c r="C281" s="175"/>
      <c r="D281" s="175"/>
      <c r="E281" s="175"/>
      <c r="F281" s="175"/>
      <c r="G281" s="176"/>
      <c r="H281" s="23">
        <v>14</v>
      </c>
      <c r="I281" s="31">
        <v>3</v>
      </c>
      <c r="J281" s="31">
        <v>1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3</v>
      </c>
    </row>
    <row r="282" spans="1:28" ht="27.2" customHeight="1" x14ac:dyDescent="0.2">
      <c r="A282" s="211"/>
      <c r="B282" s="174" t="s">
        <v>380</v>
      </c>
      <c r="C282" s="175"/>
      <c r="D282" s="175"/>
      <c r="E282" s="175"/>
      <c r="F282" s="175"/>
      <c r="G282" s="176"/>
      <c r="H282" s="23">
        <v>15</v>
      </c>
      <c r="I282" s="31">
        <v>583</v>
      </c>
      <c r="J282" s="31">
        <v>390</v>
      </c>
      <c r="K282" s="31">
        <v>10</v>
      </c>
      <c r="L282" s="31">
        <v>0</v>
      </c>
      <c r="M282" s="31">
        <v>8</v>
      </c>
      <c r="N282" s="31">
        <v>1</v>
      </c>
      <c r="O282" s="31">
        <v>280</v>
      </c>
      <c r="P282" s="31">
        <v>279</v>
      </c>
      <c r="Q282" s="31">
        <v>0</v>
      </c>
      <c r="R282" s="31">
        <v>1</v>
      </c>
      <c r="S282" s="31">
        <v>0</v>
      </c>
      <c r="T282" s="31">
        <v>0</v>
      </c>
      <c r="U282" s="31">
        <v>58</v>
      </c>
      <c r="V282" s="31">
        <v>38</v>
      </c>
      <c r="W282" s="31">
        <v>1</v>
      </c>
      <c r="X282" s="31">
        <v>0</v>
      </c>
      <c r="Y282" s="31">
        <v>11</v>
      </c>
      <c r="Z282" s="31">
        <v>10</v>
      </c>
      <c r="AA282" s="31">
        <v>0</v>
      </c>
      <c r="AB282" s="31">
        <v>292</v>
      </c>
    </row>
    <row r="283" spans="1:28" ht="62.25" customHeight="1" x14ac:dyDescent="0.2">
      <c r="A283" s="211"/>
      <c r="B283" s="138" t="s">
        <v>381</v>
      </c>
      <c r="C283" s="139"/>
      <c r="D283" s="139"/>
      <c r="E283" s="139"/>
      <c r="F283" s="139"/>
      <c r="G283" s="140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11"/>
      <c r="B284" s="174" t="s">
        <v>382</v>
      </c>
      <c r="C284" s="175"/>
      <c r="D284" s="175"/>
      <c r="E284" s="175"/>
      <c r="F284" s="175"/>
      <c r="G284" s="176"/>
      <c r="H284" s="23">
        <v>17</v>
      </c>
      <c r="I284" s="31">
        <v>1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1</v>
      </c>
    </row>
    <row r="285" spans="1:28" ht="50.25" customHeight="1" x14ac:dyDescent="0.2">
      <c r="A285" s="211"/>
      <c r="B285" s="174" t="s">
        <v>383</v>
      </c>
      <c r="C285" s="175"/>
      <c r="D285" s="175"/>
      <c r="E285" s="175"/>
      <c r="F285" s="175"/>
      <c r="G285" s="176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11"/>
      <c r="B286" s="174" t="s">
        <v>813</v>
      </c>
      <c r="C286" s="175"/>
      <c r="D286" s="175"/>
      <c r="E286" s="175"/>
      <c r="F286" s="175"/>
      <c r="G286" s="176"/>
      <c r="H286" s="23">
        <v>19</v>
      </c>
      <c r="I286" s="31">
        <v>24</v>
      </c>
      <c r="J286" s="31">
        <v>11</v>
      </c>
      <c r="K286" s="31">
        <v>0</v>
      </c>
      <c r="L286" s="31">
        <v>0</v>
      </c>
      <c r="M286" s="31">
        <v>0</v>
      </c>
      <c r="N286" s="31">
        <v>0</v>
      </c>
      <c r="O286" s="31">
        <v>11</v>
      </c>
      <c r="P286" s="31">
        <v>11</v>
      </c>
      <c r="Q286" s="31">
        <v>0</v>
      </c>
      <c r="R286" s="31">
        <v>0</v>
      </c>
      <c r="S286" s="31">
        <v>0</v>
      </c>
      <c r="T286" s="31">
        <v>0</v>
      </c>
      <c r="U286" s="31">
        <v>4</v>
      </c>
      <c r="V286" s="31">
        <v>0</v>
      </c>
      <c r="W286" s="31">
        <v>0</v>
      </c>
      <c r="X286" s="31">
        <v>0</v>
      </c>
      <c r="Y286" s="31">
        <v>10</v>
      </c>
      <c r="Z286" s="31">
        <v>10</v>
      </c>
      <c r="AA286" s="31">
        <v>0</v>
      </c>
      <c r="AB286" s="31">
        <v>13</v>
      </c>
    </row>
    <row r="287" spans="1:28" ht="25.5" customHeight="1" x14ac:dyDescent="0.2">
      <c r="A287" s="211"/>
      <c r="B287" s="190" t="s">
        <v>32</v>
      </c>
      <c r="C287" s="138" t="s">
        <v>387</v>
      </c>
      <c r="D287" s="139"/>
      <c r="E287" s="139"/>
      <c r="F287" s="139"/>
      <c r="G287" s="140"/>
      <c r="H287" s="23">
        <v>20</v>
      </c>
      <c r="I287" s="31">
        <v>24</v>
      </c>
      <c r="J287" s="31">
        <v>11</v>
      </c>
      <c r="K287" s="31">
        <v>0</v>
      </c>
      <c r="L287" s="31">
        <v>0</v>
      </c>
      <c r="M287" s="31">
        <v>0</v>
      </c>
      <c r="N287" s="31">
        <v>0</v>
      </c>
      <c r="O287" s="31">
        <v>11</v>
      </c>
      <c r="P287" s="31">
        <v>11</v>
      </c>
      <c r="Q287" s="31">
        <v>0</v>
      </c>
      <c r="R287" s="31">
        <v>0</v>
      </c>
      <c r="S287" s="31">
        <v>0</v>
      </c>
      <c r="T287" s="31">
        <v>0</v>
      </c>
      <c r="U287" s="31">
        <v>4</v>
      </c>
      <c r="V287" s="31">
        <v>0</v>
      </c>
      <c r="W287" s="31">
        <v>0</v>
      </c>
      <c r="X287" s="31">
        <v>0</v>
      </c>
      <c r="Y287" s="31">
        <v>10</v>
      </c>
      <c r="Z287" s="31">
        <v>10</v>
      </c>
      <c r="AA287" s="31">
        <v>0</v>
      </c>
      <c r="AB287" s="31">
        <v>13</v>
      </c>
    </row>
    <row r="288" spans="1:28" ht="26.25" customHeight="1" x14ac:dyDescent="0.2">
      <c r="A288" s="211"/>
      <c r="B288" s="191"/>
      <c r="C288" s="139" t="s">
        <v>388</v>
      </c>
      <c r="D288" s="139"/>
      <c r="E288" s="139"/>
      <c r="F288" s="139"/>
      <c r="G288" s="140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11"/>
      <c r="B289" s="174" t="s">
        <v>392</v>
      </c>
      <c r="C289" s="175"/>
      <c r="D289" s="175"/>
      <c r="E289" s="175"/>
      <c r="F289" s="175"/>
      <c r="G289" s="176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11"/>
      <c r="B290" s="174" t="s">
        <v>394</v>
      </c>
      <c r="C290" s="175"/>
      <c r="D290" s="175"/>
      <c r="E290" s="175"/>
      <c r="F290" s="175"/>
      <c r="G290" s="176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11"/>
      <c r="B291" s="174" t="s">
        <v>395</v>
      </c>
      <c r="C291" s="175"/>
      <c r="D291" s="175"/>
      <c r="E291" s="175"/>
      <c r="F291" s="175"/>
      <c r="G291" s="176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11"/>
      <c r="B292" s="138" t="s">
        <v>396</v>
      </c>
      <c r="C292" s="139"/>
      <c r="D292" s="139"/>
      <c r="E292" s="139"/>
      <c r="F292" s="139"/>
      <c r="G292" s="140"/>
      <c r="H292" s="23">
        <v>25</v>
      </c>
      <c r="I292" s="31">
        <v>20</v>
      </c>
      <c r="J292" s="31">
        <v>19</v>
      </c>
      <c r="K292" s="31">
        <v>0</v>
      </c>
      <c r="L292" s="31">
        <v>0</v>
      </c>
      <c r="M292" s="31">
        <v>0</v>
      </c>
      <c r="N292" s="31">
        <v>0</v>
      </c>
      <c r="O292" s="31">
        <v>8</v>
      </c>
      <c r="P292" s="31">
        <v>8</v>
      </c>
      <c r="Q292" s="31">
        <v>0</v>
      </c>
      <c r="R292" s="31">
        <v>0</v>
      </c>
      <c r="S292" s="31">
        <v>0</v>
      </c>
      <c r="T292" s="31">
        <v>0</v>
      </c>
      <c r="U292" s="31">
        <v>2</v>
      </c>
      <c r="V292" s="31">
        <v>4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12</v>
      </c>
    </row>
    <row r="293" spans="1:28" ht="22.5" customHeight="1" x14ac:dyDescent="0.2">
      <c r="A293" s="211"/>
      <c r="B293" s="138" t="s">
        <v>814</v>
      </c>
      <c r="C293" s="139"/>
      <c r="D293" s="139"/>
      <c r="E293" s="139"/>
      <c r="F293" s="139"/>
      <c r="G293" s="140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11"/>
      <c r="B294" s="138" t="s">
        <v>399</v>
      </c>
      <c r="C294" s="139"/>
      <c r="D294" s="139"/>
      <c r="E294" s="139"/>
      <c r="F294" s="139"/>
      <c r="G294" s="140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11"/>
      <c r="B295" s="138" t="s">
        <v>400</v>
      </c>
      <c r="C295" s="139"/>
      <c r="D295" s="139"/>
      <c r="E295" s="139"/>
      <c r="F295" s="139"/>
      <c r="G295" s="140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11"/>
      <c r="B296" s="138" t="s">
        <v>401</v>
      </c>
      <c r="C296" s="139"/>
      <c r="D296" s="139"/>
      <c r="E296" s="139"/>
      <c r="F296" s="139"/>
      <c r="G296" s="140"/>
      <c r="H296" s="23">
        <v>29</v>
      </c>
      <c r="I296" s="31">
        <v>3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3</v>
      </c>
    </row>
    <row r="297" spans="1:28" ht="41.25" customHeight="1" x14ac:dyDescent="0.2">
      <c r="A297" s="212"/>
      <c r="B297" s="138" t="s">
        <v>402</v>
      </c>
      <c r="C297" s="139"/>
      <c r="D297" s="139"/>
      <c r="E297" s="139"/>
      <c r="F297" s="139"/>
      <c r="G297" s="140"/>
      <c r="H297" s="23">
        <v>30</v>
      </c>
      <c r="I297" s="31">
        <v>15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15</v>
      </c>
    </row>
    <row r="298" spans="1:28" ht="14.25" customHeight="1" x14ac:dyDescent="0.2">
      <c r="A298" s="230" t="s">
        <v>41</v>
      </c>
      <c r="B298" s="231"/>
      <c r="C298" s="231"/>
      <c r="D298" s="231"/>
      <c r="E298" s="231"/>
      <c r="F298" s="231"/>
      <c r="G298" s="232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10" t="s">
        <v>364</v>
      </c>
      <c r="B299" s="138" t="s">
        <v>403</v>
      </c>
      <c r="C299" s="139"/>
      <c r="D299" s="139"/>
      <c r="E299" s="139"/>
      <c r="F299" s="139"/>
      <c r="G299" s="140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11"/>
      <c r="B300" s="138" t="s">
        <v>815</v>
      </c>
      <c r="C300" s="139"/>
      <c r="D300" s="139"/>
      <c r="E300" s="139"/>
      <c r="F300" s="139"/>
      <c r="G300" s="140"/>
      <c r="H300" s="23">
        <v>32</v>
      </c>
      <c r="I300" s="31">
        <v>1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1</v>
      </c>
      <c r="Z300" s="31">
        <v>1</v>
      </c>
      <c r="AA300" s="31">
        <v>0</v>
      </c>
      <c r="AB300" s="31">
        <v>1</v>
      </c>
    </row>
    <row r="301" spans="1:28" ht="27.2" customHeight="1" x14ac:dyDescent="0.2">
      <c r="A301" s="211"/>
      <c r="B301" s="138" t="s">
        <v>405</v>
      </c>
      <c r="C301" s="139"/>
      <c r="D301" s="139"/>
      <c r="E301" s="139"/>
      <c r="F301" s="139"/>
      <c r="G301" s="140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11"/>
      <c r="B302" s="138" t="s">
        <v>406</v>
      </c>
      <c r="C302" s="139"/>
      <c r="D302" s="139"/>
      <c r="E302" s="139"/>
      <c r="F302" s="139"/>
      <c r="G302" s="140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11"/>
      <c r="B303" s="138" t="s">
        <v>407</v>
      </c>
      <c r="C303" s="139"/>
      <c r="D303" s="139"/>
      <c r="E303" s="139"/>
      <c r="F303" s="139"/>
      <c r="G303" s="140"/>
      <c r="H303" s="23">
        <v>35</v>
      </c>
      <c r="I303" s="31">
        <v>1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1</v>
      </c>
    </row>
    <row r="304" spans="1:28" ht="21.75" customHeight="1" x14ac:dyDescent="0.2">
      <c r="A304" s="212"/>
      <c r="B304" s="138" t="s">
        <v>179</v>
      </c>
      <c r="C304" s="139"/>
      <c r="D304" s="139"/>
      <c r="E304" s="139"/>
      <c r="F304" s="139"/>
      <c r="G304" s="140"/>
      <c r="H304" s="23">
        <v>36</v>
      </c>
      <c r="I304" s="31">
        <v>468</v>
      </c>
      <c r="J304" s="31">
        <v>145</v>
      </c>
      <c r="K304" s="31">
        <v>0</v>
      </c>
      <c r="L304" s="31">
        <v>0</v>
      </c>
      <c r="M304" s="31">
        <v>0</v>
      </c>
      <c r="N304" s="31">
        <v>0</v>
      </c>
      <c r="O304" s="31">
        <v>84</v>
      </c>
      <c r="P304" s="31">
        <v>82</v>
      </c>
      <c r="Q304" s="31">
        <v>2</v>
      </c>
      <c r="R304" s="31">
        <v>0</v>
      </c>
      <c r="S304" s="31">
        <v>0</v>
      </c>
      <c r="T304" s="31">
        <v>0</v>
      </c>
      <c r="U304" s="31">
        <v>3</v>
      </c>
      <c r="V304" s="31">
        <v>18</v>
      </c>
      <c r="W304" s="31">
        <v>0</v>
      </c>
      <c r="X304" s="31">
        <v>0</v>
      </c>
      <c r="Y304" s="31">
        <v>17</v>
      </c>
      <c r="Z304" s="31">
        <v>17</v>
      </c>
      <c r="AA304" s="31">
        <v>0</v>
      </c>
      <c r="AB304" s="31">
        <v>384</v>
      </c>
    </row>
    <row r="305" spans="1:28" ht="25.5" customHeight="1" x14ac:dyDescent="0.2">
      <c r="A305" s="138" t="s">
        <v>115</v>
      </c>
      <c r="B305" s="139"/>
      <c r="C305" s="139"/>
      <c r="D305" s="139"/>
      <c r="E305" s="139"/>
      <c r="F305" s="139"/>
      <c r="G305" s="140"/>
      <c r="H305" s="23">
        <v>37</v>
      </c>
      <c r="I305" s="31">
        <f t="shared" ref="I305:AB305" si="5">SUM(I299:I304,I268:I297)</f>
        <v>5179</v>
      </c>
      <c r="J305" s="31">
        <f t="shared" si="5"/>
        <v>3233</v>
      </c>
      <c r="K305" s="31">
        <f t="shared" si="5"/>
        <v>58</v>
      </c>
      <c r="L305" s="31">
        <f t="shared" si="5"/>
        <v>0</v>
      </c>
      <c r="M305" s="31">
        <f t="shared" si="5"/>
        <v>40</v>
      </c>
      <c r="N305" s="31">
        <f t="shared" si="5"/>
        <v>3</v>
      </c>
      <c r="O305" s="31">
        <f t="shared" si="5"/>
        <v>2488</v>
      </c>
      <c r="P305" s="31">
        <f t="shared" si="5"/>
        <v>2479</v>
      </c>
      <c r="Q305" s="31">
        <f t="shared" si="5"/>
        <v>6</v>
      </c>
      <c r="R305" s="31">
        <f t="shared" si="5"/>
        <v>3</v>
      </c>
      <c r="S305" s="31">
        <f t="shared" si="5"/>
        <v>0</v>
      </c>
      <c r="T305" s="31">
        <f t="shared" si="5"/>
        <v>0</v>
      </c>
      <c r="U305" s="31">
        <f t="shared" si="5"/>
        <v>286</v>
      </c>
      <c r="V305" s="31">
        <f t="shared" si="5"/>
        <v>462</v>
      </c>
      <c r="W305" s="31">
        <f t="shared" si="5"/>
        <v>3</v>
      </c>
      <c r="X305" s="31">
        <f t="shared" si="5"/>
        <v>0</v>
      </c>
      <c r="Y305" s="31">
        <f t="shared" si="5"/>
        <v>139</v>
      </c>
      <c r="Z305" s="31">
        <f t="shared" si="5"/>
        <v>136</v>
      </c>
      <c r="AA305" s="31">
        <f t="shared" si="5"/>
        <v>0</v>
      </c>
      <c r="AB305" s="31">
        <f t="shared" si="5"/>
        <v>2630</v>
      </c>
    </row>
    <row r="306" spans="1:28" ht="19.5" customHeight="1" x14ac:dyDescent="0.2"/>
    <row r="307" spans="1:28" ht="29.25" customHeight="1" x14ac:dyDescent="0.25">
      <c r="A307" s="60" t="s">
        <v>816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78"/>
      <c r="B308" s="179"/>
      <c r="C308" s="179"/>
      <c r="D308" s="179"/>
      <c r="E308" s="179"/>
      <c r="F308" s="179"/>
      <c r="G308" s="180"/>
      <c r="H308" s="187" t="s">
        <v>15</v>
      </c>
      <c r="I308" s="168" t="s">
        <v>1148</v>
      </c>
      <c r="J308" s="168" t="s">
        <v>16</v>
      </c>
      <c r="K308" s="168" t="s">
        <v>17</v>
      </c>
      <c r="L308" s="171" t="s">
        <v>18</v>
      </c>
      <c r="M308" s="172"/>
      <c r="N308" s="173"/>
      <c r="O308" s="168" t="s">
        <v>19</v>
      </c>
      <c r="P308" s="171" t="s">
        <v>20</v>
      </c>
      <c r="Q308" s="172"/>
      <c r="R308" s="172"/>
      <c r="S308" s="173"/>
      <c r="T308" s="168" t="s">
        <v>21</v>
      </c>
      <c r="U308" s="171" t="s">
        <v>22</v>
      </c>
      <c r="V308" s="172"/>
      <c r="W308" s="172"/>
      <c r="X308" s="173"/>
      <c r="Y308" s="171" t="s">
        <v>23</v>
      </c>
      <c r="Z308" s="172"/>
      <c r="AA308" s="173"/>
      <c r="AB308" s="168" t="s">
        <v>24</v>
      </c>
    </row>
    <row r="309" spans="1:28" ht="27" customHeight="1" x14ac:dyDescent="0.2">
      <c r="A309" s="181"/>
      <c r="B309" s="182"/>
      <c r="C309" s="182"/>
      <c r="D309" s="182"/>
      <c r="E309" s="182"/>
      <c r="F309" s="182"/>
      <c r="G309" s="183"/>
      <c r="H309" s="188"/>
      <c r="I309" s="170"/>
      <c r="J309" s="170"/>
      <c r="K309" s="170"/>
      <c r="L309" s="168" t="s">
        <v>25</v>
      </c>
      <c r="M309" s="168" t="s">
        <v>26</v>
      </c>
      <c r="N309" s="168" t="s">
        <v>27</v>
      </c>
      <c r="O309" s="170"/>
      <c r="P309" s="168" t="s">
        <v>28</v>
      </c>
      <c r="Q309" s="168" t="s">
        <v>29</v>
      </c>
      <c r="R309" s="168" t="s">
        <v>30</v>
      </c>
      <c r="S309" s="168" t="s">
        <v>31</v>
      </c>
      <c r="T309" s="170"/>
      <c r="U309" s="171" t="s">
        <v>32</v>
      </c>
      <c r="V309" s="172"/>
      <c r="W309" s="172"/>
      <c r="X309" s="173"/>
      <c r="Y309" s="168" t="s">
        <v>33</v>
      </c>
      <c r="Z309" s="171" t="s">
        <v>34</v>
      </c>
      <c r="AA309" s="173"/>
      <c r="AB309" s="170"/>
    </row>
    <row r="310" spans="1:28" ht="78" customHeight="1" x14ac:dyDescent="0.2">
      <c r="A310" s="184"/>
      <c r="B310" s="185"/>
      <c r="C310" s="185"/>
      <c r="D310" s="185"/>
      <c r="E310" s="185"/>
      <c r="F310" s="185"/>
      <c r="G310" s="186"/>
      <c r="H310" s="18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9" t="s">
        <v>35</v>
      </c>
      <c r="V310" s="16" t="s">
        <v>36</v>
      </c>
      <c r="W310" s="16" t="s">
        <v>37</v>
      </c>
      <c r="X310" s="16" t="s">
        <v>38</v>
      </c>
      <c r="Y310" s="169"/>
      <c r="Z310" s="18" t="s">
        <v>39</v>
      </c>
      <c r="AA310" s="17" t="s">
        <v>40</v>
      </c>
      <c r="AB310" s="169"/>
    </row>
    <row r="311" spans="1:28" ht="14.25" customHeight="1" x14ac:dyDescent="0.2">
      <c r="A311" s="150" t="s">
        <v>41</v>
      </c>
      <c r="B311" s="151"/>
      <c r="C311" s="151"/>
      <c r="D311" s="151"/>
      <c r="E311" s="151"/>
      <c r="F311" s="151"/>
      <c r="G311" s="152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53" t="s">
        <v>43</v>
      </c>
      <c r="B312" s="154"/>
      <c r="C312" s="154"/>
      <c r="D312" s="154"/>
      <c r="E312" s="154"/>
      <c r="F312" s="154"/>
      <c r="G312" s="155"/>
      <c r="H312" s="23">
        <v>1</v>
      </c>
      <c r="I312" s="31">
        <v>2730</v>
      </c>
      <c r="J312" s="31">
        <v>962</v>
      </c>
      <c r="K312" s="31">
        <v>3</v>
      </c>
      <c r="L312" s="31">
        <v>0</v>
      </c>
      <c r="M312" s="31">
        <v>3</v>
      </c>
      <c r="N312" s="31">
        <v>0</v>
      </c>
      <c r="O312" s="31">
        <v>899</v>
      </c>
      <c r="P312" s="31">
        <v>898</v>
      </c>
      <c r="Q312" s="31">
        <v>0</v>
      </c>
      <c r="R312" s="31">
        <v>1</v>
      </c>
      <c r="S312" s="31">
        <v>0</v>
      </c>
      <c r="T312" s="31">
        <v>0</v>
      </c>
      <c r="U312" s="31">
        <v>74</v>
      </c>
      <c r="V312" s="31">
        <v>132</v>
      </c>
      <c r="W312" s="31">
        <v>1</v>
      </c>
      <c r="X312" s="31">
        <v>3</v>
      </c>
      <c r="Y312" s="31">
        <v>377</v>
      </c>
      <c r="Z312" s="31">
        <v>377</v>
      </c>
      <c r="AA312" s="31">
        <v>0</v>
      </c>
      <c r="AB312" s="31">
        <v>1828</v>
      </c>
    </row>
    <row r="313" spans="1:28" ht="21" customHeight="1" x14ac:dyDescent="0.2">
      <c r="A313" s="156" t="s">
        <v>181</v>
      </c>
      <c r="B313" s="158"/>
      <c r="C313" s="165" t="s">
        <v>51</v>
      </c>
      <c r="D313" s="166"/>
      <c r="E313" s="166"/>
      <c r="F313" s="166"/>
      <c r="G313" s="167"/>
      <c r="H313" s="23">
        <v>2</v>
      </c>
      <c r="I313" s="31">
        <v>3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3</v>
      </c>
    </row>
    <row r="314" spans="1:28" ht="21" customHeight="1" x14ac:dyDescent="0.2">
      <c r="A314" s="159"/>
      <c r="B314" s="161"/>
      <c r="C314" s="165" t="s">
        <v>52</v>
      </c>
      <c r="D314" s="166"/>
      <c r="E314" s="166"/>
      <c r="F314" s="166"/>
      <c r="G314" s="167"/>
      <c r="H314" s="23">
        <v>3</v>
      </c>
      <c r="I314" s="31">
        <v>430</v>
      </c>
      <c r="J314" s="31">
        <v>174</v>
      </c>
      <c r="K314" s="31">
        <v>1</v>
      </c>
      <c r="L314" s="31">
        <v>0</v>
      </c>
      <c r="M314" s="31">
        <v>1</v>
      </c>
      <c r="N314" s="31">
        <v>0</v>
      </c>
      <c r="O314" s="31">
        <v>153</v>
      </c>
      <c r="P314" s="31">
        <v>153</v>
      </c>
      <c r="Q314" s="31">
        <v>0</v>
      </c>
      <c r="R314" s="31">
        <v>0</v>
      </c>
      <c r="S314" s="31">
        <v>0</v>
      </c>
      <c r="T314" s="31">
        <v>0</v>
      </c>
      <c r="U314" s="31">
        <v>14</v>
      </c>
      <c r="V314" s="31">
        <v>72</v>
      </c>
      <c r="W314" s="31">
        <v>0</v>
      </c>
      <c r="X314" s="31">
        <v>1</v>
      </c>
      <c r="Y314" s="31">
        <v>12</v>
      </c>
      <c r="Z314" s="31">
        <v>12</v>
      </c>
      <c r="AA314" s="31">
        <v>0</v>
      </c>
      <c r="AB314" s="31">
        <v>276</v>
      </c>
    </row>
    <row r="315" spans="1:28" ht="21" customHeight="1" x14ac:dyDescent="0.2">
      <c r="A315" s="159"/>
      <c r="B315" s="161"/>
      <c r="C315" s="165" t="s">
        <v>182</v>
      </c>
      <c r="D315" s="166"/>
      <c r="E315" s="166"/>
      <c r="F315" s="166"/>
      <c r="G315" s="167"/>
      <c r="H315" s="23">
        <v>4</v>
      </c>
      <c r="I315" s="31">
        <v>1665</v>
      </c>
      <c r="J315" s="31">
        <v>467</v>
      </c>
      <c r="K315" s="31">
        <v>2</v>
      </c>
      <c r="L315" s="31">
        <v>0</v>
      </c>
      <c r="M315" s="31">
        <v>2</v>
      </c>
      <c r="N315" s="31">
        <v>0</v>
      </c>
      <c r="O315" s="31">
        <v>437</v>
      </c>
      <c r="P315" s="31">
        <v>437</v>
      </c>
      <c r="Q315" s="31">
        <v>0</v>
      </c>
      <c r="R315" s="31">
        <v>0</v>
      </c>
      <c r="S315" s="31">
        <v>0</v>
      </c>
      <c r="T315" s="31">
        <v>0</v>
      </c>
      <c r="U315" s="31">
        <v>33</v>
      </c>
      <c r="V315" s="31">
        <v>40</v>
      </c>
      <c r="W315" s="31">
        <v>1</v>
      </c>
      <c r="X315" s="31">
        <v>2</v>
      </c>
      <c r="Y315" s="31">
        <v>271</v>
      </c>
      <c r="Z315" s="31">
        <v>271</v>
      </c>
      <c r="AA315" s="31">
        <v>0</v>
      </c>
      <c r="AB315" s="31">
        <v>1226</v>
      </c>
    </row>
    <row r="316" spans="1:28" ht="21" customHeight="1" x14ac:dyDescent="0.2">
      <c r="A316" s="162"/>
      <c r="B316" s="164"/>
      <c r="C316" s="165" t="s">
        <v>49</v>
      </c>
      <c r="D316" s="166"/>
      <c r="E316" s="166"/>
      <c r="F316" s="166"/>
      <c r="G316" s="167"/>
      <c r="H316" s="23">
        <v>5</v>
      </c>
      <c r="I316" s="31">
        <v>632</v>
      </c>
      <c r="J316" s="31">
        <v>321</v>
      </c>
      <c r="K316" s="31">
        <v>0</v>
      </c>
      <c r="L316" s="31">
        <v>0</v>
      </c>
      <c r="M316" s="31">
        <v>0</v>
      </c>
      <c r="N316" s="31">
        <v>0</v>
      </c>
      <c r="O316" s="31">
        <v>309</v>
      </c>
      <c r="P316" s="31">
        <v>308</v>
      </c>
      <c r="Q316" s="31">
        <v>0</v>
      </c>
      <c r="R316" s="31">
        <v>1</v>
      </c>
      <c r="S316" s="31">
        <v>0</v>
      </c>
      <c r="T316" s="31">
        <v>0</v>
      </c>
      <c r="U316" s="31">
        <v>27</v>
      </c>
      <c r="V316" s="31">
        <v>20</v>
      </c>
      <c r="W316" s="31">
        <v>0</v>
      </c>
      <c r="X316" s="31">
        <v>0</v>
      </c>
      <c r="Y316" s="31">
        <v>94</v>
      </c>
      <c r="Z316" s="31">
        <v>94</v>
      </c>
      <c r="AA316" s="31">
        <v>0</v>
      </c>
      <c r="AB316" s="31">
        <v>323</v>
      </c>
    </row>
    <row r="317" spans="1:28" ht="23.25" customHeight="1" x14ac:dyDescent="0.2">
      <c r="A317" s="144" t="s">
        <v>165</v>
      </c>
      <c r="B317" s="138" t="s">
        <v>409</v>
      </c>
      <c r="C317" s="139"/>
      <c r="D317" s="139"/>
      <c r="E317" s="139"/>
      <c r="F317" s="139"/>
      <c r="G317" s="140"/>
      <c r="H317" s="23">
        <v>6</v>
      </c>
      <c r="I317" s="31">
        <v>20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20</v>
      </c>
    </row>
    <row r="318" spans="1:28" ht="30.75" customHeight="1" x14ac:dyDescent="0.2">
      <c r="A318" s="145"/>
      <c r="B318" s="138" t="s">
        <v>410</v>
      </c>
      <c r="C318" s="139"/>
      <c r="D318" s="139"/>
      <c r="E318" s="139"/>
      <c r="F318" s="139"/>
      <c r="G318" s="140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45"/>
      <c r="B319" s="138" t="s">
        <v>411</v>
      </c>
      <c r="C319" s="139"/>
      <c r="D319" s="139"/>
      <c r="E319" s="139"/>
      <c r="F319" s="139"/>
      <c r="G319" s="140"/>
      <c r="H319" s="23">
        <v>8</v>
      </c>
      <c r="I319" s="31">
        <v>0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1</v>
      </c>
      <c r="Z319" s="31">
        <v>1</v>
      </c>
      <c r="AA319" s="31">
        <v>0</v>
      </c>
      <c r="AB319" s="31">
        <v>0</v>
      </c>
    </row>
    <row r="320" spans="1:28" ht="21.75" customHeight="1" x14ac:dyDescent="0.2">
      <c r="A320" s="145"/>
      <c r="B320" s="138" t="s">
        <v>412</v>
      </c>
      <c r="C320" s="139"/>
      <c r="D320" s="139"/>
      <c r="E320" s="139"/>
      <c r="F320" s="139"/>
      <c r="G320" s="140"/>
      <c r="H320" s="23">
        <v>9</v>
      </c>
      <c r="I320" s="31">
        <v>195</v>
      </c>
      <c r="J320" s="31">
        <v>36</v>
      </c>
      <c r="K320" s="31">
        <v>0</v>
      </c>
      <c r="L320" s="31">
        <v>0</v>
      </c>
      <c r="M320" s="31">
        <v>0</v>
      </c>
      <c r="N320" s="31">
        <v>0</v>
      </c>
      <c r="O320" s="31">
        <v>32</v>
      </c>
      <c r="P320" s="31">
        <v>32</v>
      </c>
      <c r="Q320" s="31">
        <v>0</v>
      </c>
      <c r="R320" s="31">
        <v>0</v>
      </c>
      <c r="S320" s="31">
        <v>0</v>
      </c>
      <c r="T320" s="31">
        <v>0</v>
      </c>
      <c r="U320" s="31">
        <v>1</v>
      </c>
      <c r="V320" s="31">
        <v>6</v>
      </c>
      <c r="W320" s="31">
        <v>0</v>
      </c>
      <c r="X320" s="31">
        <v>0</v>
      </c>
      <c r="Y320" s="31">
        <v>24</v>
      </c>
      <c r="Z320" s="31">
        <v>24</v>
      </c>
      <c r="AA320" s="31">
        <v>0</v>
      </c>
      <c r="AB320" s="31">
        <v>163</v>
      </c>
    </row>
    <row r="321" spans="1:28" ht="27.2" customHeight="1" x14ac:dyDescent="0.2">
      <c r="A321" s="145"/>
      <c r="B321" s="138" t="s">
        <v>413</v>
      </c>
      <c r="C321" s="139"/>
      <c r="D321" s="139"/>
      <c r="E321" s="139"/>
      <c r="F321" s="139"/>
      <c r="G321" s="140"/>
      <c r="H321" s="23">
        <v>10</v>
      </c>
      <c r="I321" s="62">
        <v>14</v>
      </c>
      <c r="J321" s="31">
        <v>4</v>
      </c>
      <c r="K321" s="31">
        <v>0</v>
      </c>
      <c r="L321" s="31">
        <v>0</v>
      </c>
      <c r="M321" s="31">
        <v>0</v>
      </c>
      <c r="N321" s="31">
        <v>0</v>
      </c>
      <c r="O321" s="31">
        <v>4</v>
      </c>
      <c r="P321" s="31">
        <v>4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4</v>
      </c>
      <c r="Z321" s="31">
        <v>4</v>
      </c>
      <c r="AA321" s="31">
        <v>0</v>
      </c>
      <c r="AB321" s="31">
        <v>10</v>
      </c>
    </row>
    <row r="322" spans="1:28" ht="25.5" customHeight="1" x14ac:dyDescent="0.2">
      <c r="A322" s="145"/>
      <c r="B322" s="190" t="s">
        <v>32</v>
      </c>
      <c r="C322" s="138" t="s">
        <v>414</v>
      </c>
      <c r="D322" s="139"/>
      <c r="E322" s="139"/>
      <c r="F322" s="139"/>
      <c r="G322" s="140"/>
      <c r="H322" s="23">
        <v>11</v>
      </c>
      <c r="I322" s="31">
        <v>13</v>
      </c>
      <c r="J322" s="31">
        <v>4</v>
      </c>
      <c r="K322" s="31">
        <v>0</v>
      </c>
      <c r="L322" s="31">
        <v>0</v>
      </c>
      <c r="M322" s="31">
        <v>0</v>
      </c>
      <c r="N322" s="31">
        <v>0</v>
      </c>
      <c r="O322" s="31">
        <v>4</v>
      </c>
      <c r="P322" s="31">
        <v>4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3</v>
      </c>
      <c r="Z322" s="31">
        <v>3</v>
      </c>
      <c r="AA322" s="31">
        <v>0</v>
      </c>
      <c r="AB322" s="31">
        <v>9</v>
      </c>
    </row>
    <row r="323" spans="1:28" ht="26.25" customHeight="1" x14ac:dyDescent="0.2">
      <c r="A323" s="145"/>
      <c r="B323" s="191"/>
      <c r="C323" s="139" t="s">
        <v>415</v>
      </c>
      <c r="D323" s="139"/>
      <c r="E323" s="139"/>
      <c r="F323" s="139"/>
      <c r="G323" s="140"/>
      <c r="H323" s="23">
        <v>12</v>
      </c>
      <c r="I323" s="54">
        <v>1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1</v>
      </c>
      <c r="Z323" s="31">
        <v>1</v>
      </c>
      <c r="AA323" s="31">
        <v>0</v>
      </c>
      <c r="AB323" s="31">
        <v>1</v>
      </c>
    </row>
    <row r="324" spans="1:28" ht="27.2" customHeight="1" x14ac:dyDescent="0.2">
      <c r="A324" s="145"/>
      <c r="B324" s="138" t="s">
        <v>416</v>
      </c>
      <c r="C324" s="139"/>
      <c r="D324" s="139"/>
      <c r="E324" s="139"/>
      <c r="F324" s="139"/>
      <c r="G324" s="140"/>
      <c r="H324" s="23">
        <v>13</v>
      </c>
      <c r="I324" s="62">
        <v>14</v>
      </c>
      <c r="J324" s="31">
        <v>6</v>
      </c>
      <c r="K324" s="31">
        <v>0</v>
      </c>
      <c r="L324" s="31">
        <v>0</v>
      </c>
      <c r="M324" s="31">
        <v>0</v>
      </c>
      <c r="N324" s="31">
        <v>0</v>
      </c>
      <c r="O324" s="31">
        <v>5</v>
      </c>
      <c r="P324" s="31">
        <v>5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1</v>
      </c>
      <c r="Z324" s="31">
        <v>1</v>
      </c>
      <c r="AA324" s="31">
        <v>0</v>
      </c>
      <c r="AB324" s="31">
        <v>9</v>
      </c>
    </row>
    <row r="325" spans="1:28" ht="25.5" customHeight="1" x14ac:dyDescent="0.2">
      <c r="A325" s="145"/>
      <c r="B325" s="190" t="s">
        <v>32</v>
      </c>
      <c r="C325" s="138" t="s">
        <v>417</v>
      </c>
      <c r="D325" s="139"/>
      <c r="E325" s="139"/>
      <c r="F325" s="139"/>
      <c r="G325" s="140"/>
      <c r="H325" s="23">
        <v>14</v>
      </c>
      <c r="I325" s="31">
        <v>12</v>
      </c>
      <c r="J325" s="31">
        <v>6</v>
      </c>
      <c r="K325" s="31">
        <v>0</v>
      </c>
      <c r="L325" s="31">
        <v>0</v>
      </c>
      <c r="M325" s="31">
        <v>0</v>
      </c>
      <c r="N325" s="31">
        <v>0</v>
      </c>
      <c r="O325" s="31">
        <v>5</v>
      </c>
      <c r="P325" s="31">
        <v>5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1</v>
      </c>
      <c r="Z325" s="31">
        <v>1</v>
      </c>
      <c r="AA325" s="31">
        <v>0</v>
      </c>
      <c r="AB325" s="31">
        <v>7</v>
      </c>
    </row>
    <row r="326" spans="1:28" ht="26.25" customHeight="1" x14ac:dyDescent="0.2">
      <c r="A326" s="145"/>
      <c r="B326" s="191"/>
      <c r="C326" s="139" t="s">
        <v>418</v>
      </c>
      <c r="D326" s="139"/>
      <c r="E326" s="139"/>
      <c r="F326" s="139"/>
      <c r="G326" s="140"/>
      <c r="H326" s="23">
        <v>15</v>
      </c>
      <c r="I326" s="54">
        <v>2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2</v>
      </c>
    </row>
    <row r="327" spans="1:28" ht="31.5" customHeight="1" x14ac:dyDescent="0.2">
      <c r="A327" s="145"/>
      <c r="B327" s="138" t="s">
        <v>419</v>
      </c>
      <c r="C327" s="139"/>
      <c r="D327" s="139"/>
      <c r="E327" s="139"/>
      <c r="F327" s="139"/>
      <c r="G327" s="140"/>
      <c r="H327" s="23">
        <v>16</v>
      </c>
      <c r="I327" s="62">
        <v>158</v>
      </c>
      <c r="J327" s="31">
        <v>35</v>
      </c>
      <c r="K327" s="31">
        <v>0</v>
      </c>
      <c r="L327" s="31">
        <v>0</v>
      </c>
      <c r="M327" s="31">
        <v>0</v>
      </c>
      <c r="N327" s="31">
        <v>0</v>
      </c>
      <c r="O327" s="31">
        <v>33</v>
      </c>
      <c r="P327" s="31">
        <v>33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10</v>
      </c>
      <c r="W327" s="31">
        <v>0</v>
      </c>
      <c r="X327" s="31">
        <v>0</v>
      </c>
      <c r="Y327" s="31">
        <v>16</v>
      </c>
      <c r="Z327" s="31">
        <v>16</v>
      </c>
      <c r="AA327" s="31">
        <v>0</v>
      </c>
      <c r="AB327" s="31">
        <v>125</v>
      </c>
    </row>
    <row r="328" spans="1:28" ht="40.5" customHeight="1" x14ac:dyDescent="0.2">
      <c r="A328" s="145"/>
      <c r="B328" s="227" t="s">
        <v>817</v>
      </c>
      <c r="C328" s="228"/>
      <c r="D328" s="228"/>
      <c r="E328" s="228"/>
      <c r="F328" s="228"/>
      <c r="G328" s="229"/>
      <c r="H328" s="23">
        <v>17</v>
      </c>
      <c r="I328" s="62">
        <v>88</v>
      </c>
      <c r="J328" s="31">
        <v>58</v>
      </c>
      <c r="K328" s="31">
        <v>2</v>
      </c>
      <c r="L328" s="31">
        <v>0</v>
      </c>
      <c r="M328" s="31">
        <v>2</v>
      </c>
      <c r="N328" s="31">
        <v>0</v>
      </c>
      <c r="O328" s="31">
        <v>55</v>
      </c>
      <c r="P328" s="31">
        <v>55</v>
      </c>
      <c r="Q328" s="31">
        <v>0</v>
      </c>
      <c r="R328" s="31">
        <v>0</v>
      </c>
      <c r="S328" s="31">
        <v>0</v>
      </c>
      <c r="T328" s="31">
        <v>0</v>
      </c>
      <c r="U328" s="31">
        <v>3</v>
      </c>
      <c r="V328" s="31">
        <v>15</v>
      </c>
      <c r="W328" s="31">
        <v>0</v>
      </c>
      <c r="X328" s="31">
        <v>0</v>
      </c>
      <c r="Y328" s="31">
        <v>5</v>
      </c>
      <c r="Z328" s="31">
        <v>5</v>
      </c>
      <c r="AA328" s="31">
        <v>0</v>
      </c>
      <c r="AB328" s="31">
        <v>31</v>
      </c>
    </row>
    <row r="329" spans="1:28" ht="21" customHeight="1" x14ac:dyDescent="0.2">
      <c r="A329" s="145"/>
      <c r="B329" s="138" t="s">
        <v>421</v>
      </c>
      <c r="C329" s="139"/>
      <c r="D329" s="139"/>
      <c r="E329" s="139"/>
      <c r="F329" s="139"/>
      <c r="G329" s="140"/>
      <c r="H329" s="23">
        <v>18</v>
      </c>
      <c r="I329" s="31">
        <v>33</v>
      </c>
      <c r="J329" s="31">
        <v>2</v>
      </c>
      <c r="K329" s="31">
        <v>0</v>
      </c>
      <c r="L329" s="31">
        <v>0</v>
      </c>
      <c r="M329" s="31">
        <v>0</v>
      </c>
      <c r="N329" s="31">
        <v>0</v>
      </c>
      <c r="O329" s="31">
        <v>1</v>
      </c>
      <c r="P329" s="31">
        <v>1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3</v>
      </c>
      <c r="Z329" s="31">
        <v>3</v>
      </c>
      <c r="AA329" s="31">
        <v>0</v>
      </c>
      <c r="AB329" s="31">
        <v>32</v>
      </c>
    </row>
    <row r="330" spans="1:28" ht="20.25" customHeight="1" x14ac:dyDescent="0.2">
      <c r="A330" s="145"/>
      <c r="B330" s="138" t="s">
        <v>422</v>
      </c>
      <c r="C330" s="139"/>
      <c r="D330" s="139"/>
      <c r="E330" s="139"/>
      <c r="F330" s="139"/>
      <c r="G330" s="140"/>
      <c r="H330" s="23">
        <v>19</v>
      </c>
      <c r="I330" s="31">
        <v>64</v>
      </c>
      <c r="J330" s="31">
        <v>2</v>
      </c>
      <c r="K330" s="31">
        <v>0</v>
      </c>
      <c r="L330" s="31">
        <v>0</v>
      </c>
      <c r="M330" s="31">
        <v>0</v>
      </c>
      <c r="N330" s="31">
        <v>0</v>
      </c>
      <c r="O330" s="31">
        <v>2</v>
      </c>
      <c r="P330" s="31">
        <v>2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10</v>
      </c>
      <c r="Z330" s="31">
        <v>10</v>
      </c>
      <c r="AA330" s="31">
        <v>0</v>
      </c>
      <c r="AB330" s="31">
        <v>62</v>
      </c>
    </row>
    <row r="331" spans="1:28" ht="21" customHeight="1" x14ac:dyDescent="0.2">
      <c r="A331" s="145"/>
      <c r="B331" s="138" t="s">
        <v>423</v>
      </c>
      <c r="C331" s="139"/>
      <c r="D331" s="139"/>
      <c r="E331" s="139"/>
      <c r="F331" s="139"/>
      <c r="G331" s="140"/>
      <c r="H331" s="23">
        <v>20</v>
      </c>
      <c r="I331" s="31">
        <v>1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1</v>
      </c>
    </row>
    <row r="332" spans="1:28" ht="27.2" customHeight="1" x14ac:dyDescent="0.2">
      <c r="A332" s="145"/>
      <c r="B332" s="138" t="s">
        <v>424</v>
      </c>
      <c r="C332" s="139"/>
      <c r="D332" s="139"/>
      <c r="E332" s="139"/>
      <c r="F332" s="139"/>
      <c r="G332" s="140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45"/>
      <c r="B333" s="138" t="s">
        <v>425</v>
      </c>
      <c r="C333" s="139"/>
      <c r="D333" s="139"/>
      <c r="E333" s="139"/>
      <c r="F333" s="139"/>
      <c r="G333" s="140"/>
      <c r="H333" s="23">
        <v>22</v>
      </c>
      <c r="I333" s="31">
        <v>29</v>
      </c>
      <c r="J333" s="31">
        <v>7</v>
      </c>
      <c r="K333" s="31">
        <v>0</v>
      </c>
      <c r="L333" s="31">
        <v>0</v>
      </c>
      <c r="M333" s="31">
        <v>0</v>
      </c>
      <c r="N333" s="31">
        <v>0</v>
      </c>
      <c r="O333" s="31">
        <v>7</v>
      </c>
      <c r="P333" s="31">
        <v>7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1</v>
      </c>
      <c r="W333" s="31">
        <v>0</v>
      </c>
      <c r="X333" s="31">
        <v>0</v>
      </c>
      <c r="Y333" s="31">
        <v>6</v>
      </c>
      <c r="Z333" s="31">
        <v>6</v>
      </c>
      <c r="AA333" s="31">
        <v>0</v>
      </c>
      <c r="AB333" s="31">
        <v>22</v>
      </c>
    </row>
    <row r="334" spans="1:28" ht="28.5" customHeight="1" x14ac:dyDescent="0.2">
      <c r="A334" s="145"/>
      <c r="B334" s="138" t="s">
        <v>426</v>
      </c>
      <c r="C334" s="139"/>
      <c r="D334" s="139"/>
      <c r="E334" s="139"/>
      <c r="F334" s="139"/>
      <c r="G334" s="140"/>
      <c r="H334" s="23">
        <v>23</v>
      </c>
      <c r="I334" s="31">
        <v>1483</v>
      </c>
      <c r="J334" s="31">
        <v>491</v>
      </c>
      <c r="K334" s="31">
        <v>1</v>
      </c>
      <c r="L334" s="31">
        <v>0</v>
      </c>
      <c r="M334" s="31">
        <v>1</v>
      </c>
      <c r="N334" s="31">
        <v>0</v>
      </c>
      <c r="O334" s="31">
        <v>451</v>
      </c>
      <c r="P334" s="31">
        <v>451</v>
      </c>
      <c r="Q334" s="31">
        <v>0</v>
      </c>
      <c r="R334" s="31">
        <v>0</v>
      </c>
      <c r="S334" s="31">
        <v>0</v>
      </c>
      <c r="T334" s="31">
        <v>0</v>
      </c>
      <c r="U334" s="31">
        <v>37</v>
      </c>
      <c r="V334" s="31">
        <v>79</v>
      </c>
      <c r="W334" s="31">
        <v>1</v>
      </c>
      <c r="X334" s="31">
        <v>3</v>
      </c>
      <c r="Y334" s="31">
        <v>212</v>
      </c>
      <c r="Z334" s="31">
        <v>212</v>
      </c>
      <c r="AA334" s="31">
        <v>0</v>
      </c>
      <c r="AB334" s="31">
        <v>1031</v>
      </c>
    </row>
    <row r="335" spans="1:28" ht="25.5" customHeight="1" x14ac:dyDescent="0.2">
      <c r="A335" s="145"/>
      <c r="B335" s="138" t="s">
        <v>427</v>
      </c>
      <c r="C335" s="139"/>
      <c r="D335" s="139"/>
      <c r="E335" s="139"/>
      <c r="F335" s="139"/>
      <c r="G335" s="140"/>
      <c r="H335" s="23">
        <v>24</v>
      </c>
      <c r="I335" s="62">
        <v>5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1</v>
      </c>
      <c r="Z335" s="31">
        <v>1</v>
      </c>
      <c r="AA335" s="31">
        <v>0</v>
      </c>
      <c r="AB335" s="31">
        <v>5</v>
      </c>
    </row>
    <row r="336" spans="1:28" ht="24" customHeight="1" x14ac:dyDescent="0.2">
      <c r="A336" s="145"/>
      <c r="B336" s="138" t="s">
        <v>428</v>
      </c>
      <c r="C336" s="139"/>
      <c r="D336" s="139"/>
      <c r="E336" s="139"/>
      <c r="F336" s="139"/>
      <c r="G336" s="140"/>
      <c r="H336" s="23">
        <v>25</v>
      </c>
      <c r="I336" s="62">
        <v>17</v>
      </c>
      <c r="J336" s="31">
        <v>5</v>
      </c>
      <c r="K336" s="31">
        <v>0</v>
      </c>
      <c r="L336" s="31">
        <v>0</v>
      </c>
      <c r="M336" s="31">
        <v>0</v>
      </c>
      <c r="N336" s="31">
        <v>0</v>
      </c>
      <c r="O336" s="31">
        <v>5</v>
      </c>
      <c r="P336" s="31">
        <v>5</v>
      </c>
      <c r="Q336" s="31">
        <v>0</v>
      </c>
      <c r="R336" s="31">
        <v>0</v>
      </c>
      <c r="S336" s="31">
        <v>0</v>
      </c>
      <c r="T336" s="31">
        <v>0</v>
      </c>
      <c r="U336" s="31">
        <v>1</v>
      </c>
      <c r="V336" s="31">
        <v>0</v>
      </c>
      <c r="W336" s="31">
        <v>0</v>
      </c>
      <c r="X336" s="31">
        <v>0</v>
      </c>
      <c r="Y336" s="31">
        <v>10</v>
      </c>
      <c r="Z336" s="31">
        <v>10</v>
      </c>
      <c r="AA336" s="31">
        <v>0</v>
      </c>
      <c r="AB336" s="31">
        <v>12</v>
      </c>
    </row>
    <row r="337" spans="1:28" ht="25.5" customHeight="1" x14ac:dyDescent="0.2">
      <c r="A337" s="145"/>
      <c r="B337" s="190" t="s">
        <v>32</v>
      </c>
      <c r="C337" s="138" t="s">
        <v>429</v>
      </c>
      <c r="D337" s="139"/>
      <c r="E337" s="139"/>
      <c r="F337" s="139"/>
      <c r="G337" s="140"/>
      <c r="H337" s="23">
        <v>26</v>
      </c>
      <c r="I337" s="31">
        <v>15</v>
      </c>
      <c r="J337" s="31">
        <v>3</v>
      </c>
      <c r="K337" s="31">
        <v>0</v>
      </c>
      <c r="L337" s="31">
        <v>0</v>
      </c>
      <c r="M337" s="31">
        <v>0</v>
      </c>
      <c r="N337" s="31">
        <v>0</v>
      </c>
      <c r="O337" s="31">
        <v>3</v>
      </c>
      <c r="P337" s="31">
        <v>3</v>
      </c>
      <c r="Q337" s="31">
        <v>0</v>
      </c>
      <c r="R337" s="31">
        <v>0</v>
      </c>
      <c r="S337" s="31">
        <v>0</v>
      </c>
      <c r="T337" s="31">
        <v>0</v>
      </c>
      <c r="U337" s="31">
        <v>1</v>
      </c>
      <c r="V337" s="31">
        <v>0</v>
      </c>
      <c r="W337" s="31">
        <v>0</v>
      </c>
      <c r="X337" s="31">
        <v>0</v>
      </c>
      <c r="Y337" s="31">
        <v>9</v>
      </c>
      <c r="Z337" s="31">
        <v>9</v>
      </c>
      <c r="AA337" s="31">
        <v>0</v>
      </c>
      <c r="AB337" s="31">
        <v>12</v>
      </c>
    </row>
    <row r="338" spans="1:28" ht="26.25" customHeight="1" x14ac:dyDescent="0.2">
      <c r="A338" s="145"/>
      <c r="B338" s="191"/>
      <c r="C338" s="139" t="s">
        <v>430</v>
      </c>
      <c r="D338" s="139"/>
      <c r="E338" s="139"/>
      <c r="F338" s="139"/>
      <c r="G338" s="140"/>
      <c r="H338" s="23">
        <v>27</v>
      </c>
      <c r="I338" s="54">
        <v>2</v>
      </c>
      <c r="J338" s="54">
        <v>2</v>
      </c>
      <c r="K338" s="54">
        <v>0</v>
      </c>
      <c r="L338" s="54">
        <v>0</v>
      </c>
      <c r="M338" s="31">
        <v>0</v>
      </c>
      <c r="N338" s="31">
        <v>0</v>
      </c>
      <c r="O338" s="31">
        <v>2</v>
      </c>
      <c r="P338" s="31">
        <v>2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1</v>
      </c>
      <c r="Z338" s="31">
        <v>1</v>
      </c>
      <c r="AA338" s="31">
        <v>0</v>
      </c>
      <c r="AB338" s="31">
        <v>0</v>
      </c>
    </row>
    <row r="339" spans="1:28" ht="27.2" customHeight="1" x14ac:dyDescent="0.2">
      <c r="A339" s="145"/>
      <c r="B339" s="138" t="s">
        <v>431</v>
      </c>
      <c r="C339" s="139"/>
      <c r="D339" s="139"/>
      <c r="E339" s="139"/>
      <c r="F339" s="139"/>
      <c r="G339" s="140"/>
      <c r="H339" s="23">
        <v>28</v>
      </c>
      <c r="I339" s="62">
        <v>503</v>
      </c>
      <c r="J339" s="31">
        <v>285</v>
      </c>
      <c r="K339" s="31">
        <v>0</v>
      </c>
      <c r="L339" s="31">
        <v>0</v>
      </c>
      <c r="M339" s="31">
        <v>0</v>
      </c>
      <c r="N339" s="31">
        <v>0</v>
      </c>
      <c r="O339" s="31">
        <v>273</v>
      </c>
      <c r="P339" s="31">
        <v>272</v>
      </c>
      <c r="Q339" s="31">
        <v>0</v>
      </c>
      <c r="R339" s="31">
        <v>1</v>
      </c>
      <c r="S339" s="31">
        <v>0</v>
      </c>
      <c r="T339" s="31">
        <v>0</v>
      </c>
      <c r="U339" s="31">
        <v>28</v>
      </c>
      <c r="V339" s="31">
        <v>21</v>
      </c>
      <c r="W339" s="31">
        <v>0</v>
      </c>
      <c r="X339" s="31">
        <v>0</v>
      </c>
      <c r="Y339" s="31">
        <v>65</v>
      </c>
      <c r="Z339" s="31">
        <v>65</v>
      </c>
      <c r="AA339" s="31">
        <v>0</v>
      </c>
      <c r="AB339" s="31">
        <v>230</v>
      </c>
    </row>
    <row r="340" spans="1:28" ht="25.5" customHeight="1" x14ac:dyDescent="0.2">
      <c r="A340" s="145"/>
      <c r="B340" s="190" t="s">
        <v>32</v>
      </c>
      <c r="C340" s="138" t="s">
        <v>432</v>
      </c>
      <c r="D340" s="139"/>
      <c r="E340" s="139"/>
      <c r="F340" s="139"/>
      <c r="G340" s="140"/>
      <c r="H340" s="23">
        <v>29</v>
      </c>
      <c r="I340" s="31">
        <v>485</v>
      </c>
      <c r="J340" s="31">
        <v>277</v>
      </c>
      <c r="K340" s="31">
        <v>0</v>
      </c>
      <c r="L340" s="31">
        <v>0</v>
      </c>
      <c r="M340" s="31">
        <v>0</v>
      </c>
      <c r="N340" s="31">
        <v>0</v>
      </c>
      <c r="O340" s="31">
        <v>266</v>
      </c>
      <c r="P340" s="31">
        <v>265</v>
      </c>
      <c r="Q340" s="31">
        <v>0</v>
      </c>
      <c r="R340" s="31">
        <v>1</v>
      </c>
      <c r="S340" s="31">
        <v>0</v>
      </c>
      <c r="T340" s="31">
        <v>0</v>
      </c>
      <c r="U340" s="31">
        <v>24</v>
      </c>
      <c r="V340" s="31">
        <v>20</v>
      </c>
      <c r="W340" s="31">
        <v>0</v>
      </c>
      <c r="X340" s="31">
        <v>0</v>
      </c>
      <c r="Y340" s="31">
        <v>63</v>
      </c>
      <c r="Z340" s="31">
        <v>63</v>
      </c>
      <c r="AA340" s="31">
        <v>0</v>
      </c>
      <c r="AB340" s="31">
        <v>219</v>
      </c>
    </row>
    <row r="341" spans="1:28" ht="26.25" customHeight="1" x14ac:dyDescent="0.2">
      <c r="A341" s="145"/>
      <c r="B341" s="191"/>
      <c r="C341" s="139" t="s">
        <v>433</v>
      </c>
      <c r="D341" s="139"/>
      <c r="E341" s="139"/>
      <c r="F341" s="139"/>
      <c r="G341" s="140"/>
      <c r="H341" s="23">
        <v>30</v>
      </c>
      <c r="I341" s="54">
        <v>18</v>
      </c>
      <c r="J341" s="54">
        <v>8</v>
      </c>
      <c r="K341" s="54">
        <v>0</v>
      </c>
      <c r="L341" s="54">
        <v>0</v>
      </c>
      <c r="M341" s="31">
        <v>0</v>
      </c>
      <c r="N341" s="31">
        <v>0</v>
      </c>
      <c r="O341" s="31">
        <v>7</v>
      </c>
      <c r="P341" s="31">
        <v>7</v>
      </c>
      <c r="Q341" s="31">
        <v>0</v>
      </c>
      <c r="R341" s="31">
        <v>0</v>
      </c>
      <c r="S341" s="31">
        <v>0</v>
      </c>
      <c r="T341" s="31">
        <v>0</v>
      </c>
      <c r="U341" s="31">
        <v>4</v>
      </c>
      <c r="V341" s="31">
        <v>1</v>
      </c>
      <c r="W341" s="31">
        <v>0</v>
      </c>
      <c r="X341" s="31">
        <v>0</v>
      </c>
      <c r="Y341" s="31">
        <v>2</v>
      </c>
      <c r="Z341" s="31">
        <v>2</v>
      </c>
      <c r="AA341" s="31">
        <v>0</v>
      </c>
      <c r="AB341" s="31">
        <v>11</v>
      </c>
    </row>
    <row r="342" spans="1:28" ht="30" customHeight="1" x14ac:dyDescent="0.2">
      <c r="A342" s="145"/>
      <c r="B342" s="138" t="s">
        <v>434</v>
      </c>
      <c r="C342" s="139"/>
      <c r="D342" s="139"/>
      <c r="E342" s="139"/>
      <c r="F342" s="139"/>
      <c r="G342" s="140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45"/>
      <c r="B343" s="138" t="s">
        <v>435</v>
      </c>
      <c r="C343" s="139"/>
      <c r="D343" s="139"/>
      <c r="E343" s="139"/>
      <c r="F343" s="139"/>
      <c r="G343" s="140"/>
      <c r="H343" s="23">
        <v>32</v>
      </c>
      <c r="I343" s="31">
        <v>0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2</v>
      </c>
      <c r="Z343" s="31">
        <v>2</v>
      </c>
      <c r="AA343" s="31">
        <v>0</v>
      </c>
      <c r="AB343" s="31">
        <v>0</v>
      </c>
    </row>
    <row r="344" spans="1:28" ht="42" customHeight="1" x14ac:dyDescent="0.2">
      <c r="A344" s="145"/>
      <c r="B344" s="138" t="s">
        <v>436</v>
      </c>
      <c r="C344" s="139"/>
      <c r="D344" s="139"/>
      <c r="E344" s="139"/>
      <c r="F344" s="139"/>
      <c r="G344" s="140"/>
      <c r="H344" s="23">
        <v>33</v>
      </c>
      <c r="I344" s="62">
        <v>18</v>
      </c>
      <c r="J344" s="31">
        <v>2</v>
      </c>
      <c r="K344" s="31">
        <v>0</v>
      </c>
      <c r="L344" s="31">
        <v>0</v>
      </c>
      <c r="M344" s="31">
        <v>0</v>
      </c>
      <c r="N344" s="31">
        <v>0</v>
      </c>
      <c r="O344" s="31">
        <v>2</v>
      </c>
      <c r="P344" s="31">
        <v>2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1</v>
      </c>
      <c r="Z344" s="31">
        <v>1</v>
      </c>
      <c r="AA344" s="31">
        <v>0</v>
      </c>
      <c r="AB344" s="31">
        <v>16</v>
      </c>
    </row>
    <row r="345" spans="1:28" ht="25.5" customHeight="1" x14ac:dyDescent="0.2">
      <c r="A345" s="145"/>
      <c r="B345" s="190" t="s">
        <v>32</v>
      </c>
      <c r="C345" s="138" t="s">
        <v>437</v>
      </c>
      <c r="D345" s="139"/>
      <c r="E345" s="139"/>
      <c r="F345" s="139"/>
      <c r="G345" s="140"/>
      <c r="H345" s="23">
        <v>34</v>
      </c>
      <c r="I345" s="31">
        <v>15</v>
      </c>
      <c r="J345" s="31">
        <v>2</v>
      </c>
      <c r="K345" s="31">
        <v>0</v>
      </c>
      <c r="L345" s="31">
        <v>0</v>
      </c>
      <c r="M345" s="31">
        <v>0</v>
      </c>
      <c r="N345" s="31">
        <v>0</v>
      </c>
      <c r="O345" s="31">
        <v>2</v>
      </c>
      <c r="P345" s="31">
        <v>2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1</v>
      </c>
      <c r="Z345" s="31">
        <v>1</v>
      </c>
      <c r="AA345" s="31">
        <v>0</v>
      </c>
      <c r="AB345" s="31">
        <v>13</v>
      </c>
    </row>
    <row r="346" spans="1:28" ht="26.25" customHeight="1" x14ac:dyDescent="0.2">
      <c r="A346" s="145"/>
      <c r="B346" s="191"/>
      <c r="C346" s="139" t="s">
        <v>438</v>
      </c>
      <c r="D346" s="139"/>
      <c r="E346" s="139"/>
      <c r="F346" s="139"/>
      <c r="G346" s="140"/>
      <c r="H346" s="23">
        <v>35</v>
      </c>
      <c r="I346" s="54">
        <v>3</v>
      </c>
      <c r="J346" s="54">
        <v>0</v>
      </c>
      <c r="K346" s="54">
        <v>0</v>
      </c>
      <c r="L346" s="54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3</v>
      </c>
    </row>
    <row r="347" spans="1:28" ht="27" customHeight="1" x14ac:dyDescent="0.2">
      <c r="A347" s="145"/>
      <c r="B347" s="138" t="s">
        <v>439</v>
      </c>
      <c r="C347" s="139"/>
      <c r="D347" s="139"/>
      <c r="E347" s="139"/>
      <c r="F347" s="139"/>
      <c r="G347" s="140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45"/>
      <c r="B348" s="190" t="s">
        <v>32</v>
      </c>
      <c r="C348" s="138" t="s">
        <v>440</v>
      </c>
      <c r="D348" s="139"/>
      <c r="E348" s="139"/>
      <c r="F348" s="139"/>
      <c r="G348" s="140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45"/>
      <c r="B349" s="191"/>
      <c r="C349" s="139" t="s">
        <v>441</v>
      </c>
      <c r="D349" s="139"/>
      <c r="E349" s="139"/>
      <c r="F349" s="139"/>
      <c r="G349" s="140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45"/>
      <c r="B350" s="138" t="s">
        <v>442</v>
      </c>
      <c r="C350" s="139"/>
      <c r="D350" s="139"/>
      <c r="E350" s="139"/>
      <c r="F350" s="139"/>
      <c r="G350" s="140"/>
      <c r="H350" s="23">
        <v>39</v>
      </c>
      <c r="I350" s="62">
        <v>88</v>
      </c>
      <c r="J350" s="31">
        <v>29</v>
      </c>
      <c r="K350" s="31">
        <v>0</v>
      </c>
      <c r="L350" s="31">
        <v>0</v>
      </c>
      <c r="M350" s="31">
        <v>0</v>
      </c>
      <c r="N350" s="31">
        <v>0</v>
      </c>
      <c r="O350" s="31">
        <v>29</v>
      </c>
      <c r="P350" s="31">
        <v>29</v>
      </c>
      <c r="Q350" s="31">
        <v>0</v>
      </c>
      <c r="R350" s="31">
        <v>0</v>
      </c>
      <c r="S350" s="31">
        <v>0</v>
      </c>
      <c r="T350" s="31">
        <v>0</v>
      </c>
      <c r="U350" s="31">
        <v>2</v>
      </c>
      <c r="V350" s="31">
        <v>0</v>
      </c>
      <c r="W350" s="31">
        <v>0</v>
      </c>
      <c r="X350" s="31">
        <v>0</v>
      </c>
      <c r="Y350" s="31">
        <v>16</v>
      </c>
      <c r="Z350" s="31">
        <v>16</v>
      </c>
      <c r="AA350" s="31">
        <v>0</v>
      </c>
      <c r="AB350" s="31">
        <v>59</v>
      </c>
    </row>
    <row r="351" spans="1:28" ht="27" customHeight="1" x14ac:dyDescent="0.2">
      <c r="A351" s="146"/>
      <c r="B351" s="138" t="s">
        <v>179</v>
      </c>
      <c r="C351" s="139"/>
      <c r="D351" s="139"/>
      <c r="E351" s="139"/>
      <c r="F351" s="139"/>
      <c r="G351" s="140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8" t="s">
        <v>443</v>
      </c>
      <c r="B352" s="139"/>
      <c r="C352" s="139"/>
      <c r="D352" s="139"/>
      <c r="E352" s="139"/>
      <c r="F352" s="139"/>
      <c r="G352" s="140"/>
      <c r="H352" s="23">
        <v>41</v>
      </c>
      <c r="I352" s="31">
        <f t="shared" ref="I352:AB352" si="6">SUM(I312:I351)</f>
        <v>8756</v>
      </c>
      <c r="J352" s="31">
        <f t="shared" si="6"/>
        <v>3188</v>
      </c>
      <c r="K352" s="31">
        <f t="shared" si="6"/>
        <v>9</v>
      </c>
      <c r="L352" s="31">
        <f t="shared" si="6"/>
        <v>0</v>
      </c>
      <c r="M352" s="31">
        <f t="shared" si="6"/>
        <v>9</v>
      </c>
      <c r="N352" s="31">
        <f t="shared" si="6"/>
        <v>0</v>
      </c>
      <c r="O352" s="31">
        <f t="shared" si="6"/>
        <v>2986</v>
      </c>
      <c r="P352" s="31">
        <f t="shared" si="6"/>
        <v>2982</v>
      </c>
      <c r="Q352" s="31">
        <f t="shared" si="6"/>
        <v>0</v>
      </c>
      <c r="R352" s="31">
        <f t="shared" si="6"/>
        <v>4</v>
      </c>
      <c r="S352" s="31">
        <f t="shared" si="6"/>
        <v>0</v>
      </c>
      <c r="T352" s="31">
        <f t="shared" si="6"/>
        <v>0</v>
      </c>
      <c r="U352" s="31">
        <f t="shared" si="6"/>
        <v>251</v>
      </c>
      <c r="V352" s="31">
        <f t="shared" si="6"/>
        <v>417</v>
      </c>
      <c r="W352" s="31">
        <f t="shared" si="6"/>
        <v>3</v>
      </c>
      <c r="X352" s="31">
        <f t="shared" si="6"/>
        <v>9</v>
      </c>
      <c r="Y352" s="31">
        <f t="shared" si="6"/>
        <v>1212</v>
      </c>
      <c r="Z352" s="31">
        <f t="shared" si="6"/>
        <v>1212</v>
      </c>
      <c r="AA352" s="31">
        <f t="shared" si="6"/>
        <v>0</v>
      </c>
      <c r="AB352" s="31">
        <f t="shared" si="6"/>
        <v>5761</v>
      </c>
    </row>
    <row r="353" spans="1:28" ht="12.75" customHeight="1" x14ac:dyDescent="0.2"/>
    <row r="354" spans="1:28" ht="29.25" customHeight="1" x14ac:dyDescent="0.25">
      <c r="A354" s="177" t="s">
        <v>818</v>
      </c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</row>
    <row r="355" spans="1:28" ht="30.75" customHeight="1" x14ac:dyDescent="0.2">
      <c r="A355" s="178"/>
      <c r="B355" s="179"/>
      <c r="C355" s="179"/>
      <c r="D355" s="179"/>
      <c r="E355" s="179"/>
      <c r="F355" s="179"/>
      <c r="G355" s="180"/>
      <c r="H355" s="187" t="s">
        <v>15</v>
      </c>
      <c r="I355" s="168" t="s">
        <v>1148</v>
      </c>
      <c r="J355" s="168" t="s">
        <v>16</v>
      </c>
      <c r="K355" s="168" t="s">
        <v>17</v>
      </c>
      <c r="L355" s="171" t="s">
        <v>18</v>
      </c>
      <c r="M355" s="172"/>
      <c r="N355" s="173"/>
      <c r="O355" s="168" t="s">
        <v>19</v>
      </c>
      <c r="P355" s="171" t="s">
        <v>20</v>
      </c>
      <c r="Q355" s="172"/>
      <c r="R355" s="172"/>
      <c r="S355" s="173"/>
      <c r="T355" s="168" t="s">
        <v>21</v>
      </c>
      <c r="U355" s="171" t="s">
        <v>22</v>
      </c>
      <c r="V355" s="172"/>
      <c r="W355" s="172"/>
      <c r="X355" s="173"/>
      <c r="Y355" s="171" t="s">
        <v>23</v>
      </c>
      <c r="Z355" s="172"/>
      <c r="AA355" s="173"/>
      <c r="AB355" s="168" t="s">
        <v>24</v>
      </c>
    </row>
    <row r="356" spans="1:28" ht="27" customHeight="1" x14ac:dyDescent="0.2">
      <c r="A356" s="181"/>
      <c r="B356" s="182"/>
      <c r="C356" s="182"/>
      <c r="D356" s="182"/>
      <c r="E356" s="182"/>
      <c r="F356" s="182"/>
      <c r="G356" s="183"/>
      <c r="H356" s="188"/>
      <c r="I356" s="170"/>
      <c r="J356" s="170"/>
      <c r="K356" s="170"/>
      <c r="L356" s="168" t="s">
        <v>25</v>
      </c>
      <c r="M356" s="168" t="s">
        <v>26</v>
      </c>
      <c r="N356" s="168" t="s">
        <v>27</v>
      </c>
      <c r="O356" s="170"/>
      <c r="P356" s="168" t="s">
        <v>28</v>
      </c>
      <c r="Q356" s="168" t="s">
        <v>29</v>
      </c>
      <c r="R356" s="168" t="s">
        <v>30</v>
      </c>
      <c r="S356" s="168" t="s">
        <v>31</v>
      </c>
      <c r="T356" s="170"/>
      <c r="U356" s="171" t="s">
        <v>32</v>
      </c>
      <c r="V356" s="172"/>
      <c r="W356" s="172"/>
      <c r="X356" s="173"/>
      <c r="Y356" s="168" t="s">
        <v>33</v>
      </c>
      <c r="Z356" s="171" t="s">
        <v>34</v>
      </c>
      <c r="AA356" s="173"/>
      <c r="AB356" s="170"/>
    </row>
    <row r="357" spans="1:28" ht="77.25" customHeight="1" x14ac:dyDescent="0.2">
      <c r="A357" s="184"/>
      <c r="B357" s="185"/>
      <c r="C357" s="185"/>
      <c r="D357" s="185"/>
      <c r="E357" s="185"/>
      <c r="F357" s="185"/>
      <c r="G357" s="186"/>
      <c r="H357" s="18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9" t="s">
        <v>35</v>
      </c>
      <c r="V357" s="16" t="s">
        <v>36</v>
      </c>
      <c r="W357" s="16" t="s">
        <v>37</v>
      </c>
      <c r="X357" s="16" t="s">
        <v>38</v>
      </c>
      <c r="Y357" s="169"/>
      <c r="Z357" s="18" t="s">
        <v>39</v>
      </c>
      <c r="AA357" s="17" t="s">
        <v>40</v>
      </c>
      <c r="AB357" s="169"/>
    </row>
    <row r="358" spans="1:28" ht="14.25" customHeight="1" x14ac:dyDescent="0.2">
      <c r="A358" s="150" t="s">
        <v>41</v>
      </c>
      <c r="B358" s="151"/>
      <c r="C358" s="151"/>
      <c r="D358" s="151"/>
      <c r="E358" s="151"/>
      <c r="F358" s="151"/>
      <c r="G358" s="152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53" t="s">
        <v>43</v>
      </c>
      <c r="B359" s="154"/>
      <c r="C359" s="154"/>
      <c r="D359" s="154"/>
      <c r="E359" s="154"/>
      <c r="F359" s="154"/>
      <c r="G359" s="155"/>
      <c r="H359" s="23">
        <v>1</v>
      </c>
      <c r="I359" s="37">
        <v>5231</v>
      </c>
      <c r="J359" s="37">
        <v>2895</v>
      </c>
      <c r="K359" s="37">
        <v>25</v>
      </c>
      <c r="L359" s="37">
        <v>0</v>
      </c>
      <c r="M359" s="37">
        <v>22</v>
      </c>
      <c r="N359" s="37">
        <v>0</v>
      </c>
      <c r="O359" s="37">
        <v>2266</v>
      </c>
      <c r="P359" s="37">
        <v>2229</v>
      </c>
      <c r="Q359" s="37">
        <v>1</v>
      </c>
      <c r="R359" s="37">
        <v>19</v>
      </c>
      <c r="S359" s="37">
        <v>17</v>
      </c>
      <c r="T359" s="37">
        <v>0</v>
      </c>
      <c r="U359" s="37">
        <v>389</v>
      </c>
      <c r="V359" s="37">
        <v>71</v>
      </c>
      <c r="W359" s="37">
        <v>69</v>
      </c>
      <c r="X359" s="37">
        <v>20</v>
      </c>
      <c r="Y359" s="37">
        <v>2746</v>
      </c>
      <c r="Z359" s="37">
        <v>2722</v>
      </c>
      <c r="AA359" s="37">
        <v>0</v>
      </c>
      <c r="AB359" s="37">
        <v>2916</v>
      </c>
    </row>
    <row r="360" spans="1:28" ht="21" customHeight="1" x14ac:dyDescent="0.2">
      <c r="A360" s="156" t="s">
        <v>181</v>
      </c>
      <c r="B360" s="158"/>
      <c r="C360" s="165" t="s">
        <v>51</v>
      </c>
      <c r="D360" s="166"/>
      <c r="E360" s="166"/>
      <c r="F360" s="166"/>
      <c r="G360" s="167"/>
      <c r="H360" s="23">
        <v>2</v>
      </c>
      <c r="I360" s="31">
        <v>102</v>
      </c>
      <c r="J360" s="31">
        <v>78</v>
      </c>
      <c r="K360" s="31">
        <v>0</v>
      </c>
      <c r="L360" s="31">
        <v>0</v>
      </c>
      <c r="M360" s="31">
        <v>0</v>
      </c>
      <c r="N360" s="31">
        <v>0</v>
      </c>
      <c r="O360" s="31">
        <v>34</v>
      </c>
      <c r="P360" s="31">
        <v>34</v>
      </c>
      <c r="Q360" s="31">
        <v>0</v>
      </c>
      <c r="R360" s="31">
        <v>0</v>
      </c>
      <c r="S360" s="31">
        <v>0</v>
      </c>
      <c r="T360" s="31">
        <v>0</v>
      </c>
      <c r="U360" s="31">
        <v>14</v>
      </c>
      <c r="V360" s="31">
        <v>27</v>
      </c>
      <c r="W360" s="31">
        <v>0</v>
      </c>
      <c r="X360" s="31">
        <v>0</v>
      </c>
      <c r="Y360" s="31">
        <v>1</v>
      </c>
      <c r="Z360" s="31">
        <v>1</v>
      </c>
      <c r="AA360" s="31">
        <v>0</v>
      </c>
      <c r="AB360" s="31">
        <v>68</v>
      </c>
    </row>
    <row r="361" spans="1:28" ht="21" customHeight="1" x14ac:dyDescent="0.2">
      <c r="A361" s="159"/>
      <c r="B361" s="161"/>
      <c r="C361" s="165" t="s">
        <v>52</v>
      </c>
      <c r="D361" s="166"/>
      <c r="E361" s="166"/>
      <c r="F361" s="166"/>
      <c r="G361" s="167"/>
      <c r="H361" s="23">
        <v>3</v>
      </c>
      <c r="I361" s="31">
        <v>4600</v>
      </c>
      <c r="J361" s="31">
        <v>2475</v>
      </c>
      <c r="K361" s="31">
        <v>23</v>
      </c>
      <c r="L361" s="31">
        <v>0</v>
      </c>
      <c r="M361" s="31">
        <v>20</v>
      </c>
      <c r="N361" s="31">
        <v>0</v>
      </c>
      <c r="O361" s="31">
        <v>1920</v>
      </c>
      <c r="P361" s="31">
        <v>1889</v>
      </c>
      <c r="Q361" s="31">
        <v>1</v>
      </c>
      <c r="R361" s="31">
        <v>14</v>
      </c>
      <c r="S361" s="31">
        <v>16</v>
      </c>
      <c r="T361" s="31">
        <v>0</v>
      </c>
      <c r="U361" s="31">
        <v>322</v>
      </c>
      <c r="V361" s="31">
        <v>43</v>
      </c>
      <c r="W361" s="31">
        <v>62</v>
      </c>
      <c r="X361" s="31">
        <v>18</v>
      </c>
      <c r="Y361" s="31">
        <v>2243</v>
      </c>
      <c r="Z361" s="31">
        <v>2219</v>
      </c>
      <c r="AA361" s="31">
        <v>0</v>
      </c>
      <c r="AB361" s="31">
        <v>2633</v>
      </c>
    </row>
    <row r="362" spans="1:28" ht="21" customHeight="1" x14ac:dyDescent="0.2">
      <c r="A362" s="159"/>
      <c r="B362" s="161"/>
      <c r="C362" s="165" t="s">
        <v>182</v>
      </c>
      <c r="D362" s="166"/>
      <c r="E362" s="166"/>
      <c r="F362" s="166"/>
      <c r="G362" s="167"/>
      <c r="H362" s="23">
        <v>4</v>
      </c>
      <c r="I362" s="31">
        <v>529</v>
      </c>
      <c r="J362" s="31">
        <v>342</v>
      </c>
      <c r="K362" s="31">
        <v>2</v>
      </c>
      <c r="L362" s="31">
        <v>0</v>
      </c>
      <c r="M362" s="31">
        <v>2</v>
      </c>
      <c r="N362" s="31">
        <v>0</v>
      </c>
      <c r="O362" s="31">
        <v>312</v>
      </c>
      <c r="P362" s="31">
        <v>306</v>
      </c>
      <c r="Q362" s="31">
        <v>0</v>
      </c>
      <c r="R362" s="31">
        <v>5</v>
      </c>
      <c r="S362" s="31">
        <v>1</v>
      </c>
      <c r="T362" s="31">
        <v>0</v>
      </c>
      <c r="U362" s="31">
        <v>53</v>
      </c>
      <c r="V362" s="31">
        <v>1</v>
      </c>
      <c r="W362" s="31">
        <v>7</v>
      </c>
      <c r="X362" s="31">
        <v>2</v>
      </c>
      <c r="Y362" s="31">
        <v>502</v>
      </c>
      <c r="Z362" s="31">
        <v>502</v>
      </c>
      <c r="AA362" s="31">
        <v>0</v>
      </c>
      <c r="AB362" s="31">
        <v>215</v>
      </c>
    </row>
    <row r="363" spans="1:28" ht="21" customHeight="1" x14ac:dyDescent="0.2">
      <c r="A363" s="162"/>
      <c r="B363" s="164"/>
      <c r="C363" s="165" t="s">
        <v>49</v>
      </c>
      <c r="D363" s="166"/>
      <c r="E363" s="166"/>
      <c r="F363" s="166"/>
      <c r="G363" s="167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10" t="s">
        <v>165</v>
      </c>
      <c r="B364" s="174" t="s">
        <v>445</v>
      </c>
      <c r="C364" s="175"/>
      <c r="D364" s="175"/>
      <c r="E364" s="175"/>
      <c r="F364" s="175"/>
      <c r="G364" s="176"/>
      <c r="H364" s="23">
        <v>6</v>
      </c>
      <c r="I364" s="31">
        <v>67</v>
      </c>
      <c r="J364" s="31">
        <v>58</v>
      </c>
      <c r="K364" s="31">
        <v>0</v>
      </c>
      <c r="L364" s="31">
        <v>0</v>
      </c>
      <c r="M364" s="31">
        <v>0</v>
      </c>
      <c r="N364" s="31">
        <v>0</v>
      </c>
      <c r="O364" s="31">
        <v>23</v>
      </c>
      <c r="P364" s="31">
        <v>23</v>
      </c>
      <c r="Q364" s="31">
        <v>0</v>
      </c>
      <c r="R364" s="31">
        <v>0</v>
      </c>
      <c r="S364" s="31">
        <v>0</v>
      </c>
      <c r="T364" s="31">
        <v>0</v>
      </c>
      <c r="U364" s="31">
        <v>6</v>
      </c>
      <c r="V364" s="31">
        <v>23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44</v>
      </c>
    </row>
    <row r="365" spans="1:28" ht="29.25" customHeight="1" x14ac:dyDescent="0.2">
      <c r="A365" s="211"/>
      <c r="B365" s="174" t="s">
        <v>449</v>
      </c>
      <c r="C365" s="175"/>
      <c r="D365" s="175"/>
      <c r="E365" s="175"/>
      <c r="F365" s="175"/>
      <c r="G365" s="176"/>
      <c r="H365" s="23">
        <v>7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7.2" customHeight="1" x14ac:dyDescent="0.2">
      <c r="A366" s="211"/>
      <c r="B366" s="174" t="s">
        <v>450</v>
      </c>
      <c r="C366" s="175"/>
      <c r="D366" s="175"/>
      <c r="E366" s="175"/>
      <c r="F366" s="175"/>
      <c r="G366" s="176"/>
      <c r="H366" s="23">
        <v>8</v>
      </c>
      <c r="I366" s="31">
        <v>3</v>
      </c>
      <c r="J366" s="31">
        <v>2</v>
      </c>
      <c r="K366" s="31">
        <v>0</v>
      </c>
      <c r="L366" s="31">
        <v>0</v>
      </c>
      <c r="M366" s="31">
        <v>0</v>
      </c>
      <c r="N366" s="31">
        <v>0</v>
      </c>
      <c r="O366" s="31">
        <v>2</v>
      </c>
      <c r="P366" s="31">
        <v>2</v>
      </c>
      <c r="Q366" s="31">
        <v>0</v>
      </c>
      <c r="R366" s="31">
        <v>0</v>
      </c>
      <c r="S366" s="31">
        <v>0</v>
      </c>
      <c r="T366" s="31">
        <v>0</v>
      </c>
      <c r="U366" s="31">
        <v>2</v>
      </c>
      <c r="V366" s="31">
        <v>2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1</v>
      </c>
    </row>
    <row r="367" spans="1:28" ht="40.5" customHeight="1" x14ac:dyDescent="0.2">
      <c r="A367" s="211"/>
      <c r="B367" s="174" t="s">
        <v>458</v>
      </c>
      <c r="C367" s="175"/>
      <c r="D367" s="175"/>
      <c r="E367" s="175"/>
      <c r="F367" s="175"/>
      <c r="G367" s="176"/>
      <c r="H367" s="23">
        <v>9</v>
      </c>
      <c r="I367" s="31">
        <v>1119</v>
      </c>
      <c r="J367" s="31">
        <v>99</v>
      </c>
      <c r="K367" s="31">
        <v>3</v>
      </c>
      <c r="L367" s="31">
        <v>0</v>
      </c>
      <c r="M367" s="31">
        <v>3</v>
      </c>
      <c r="N367" s="31">
        <v>0</v>
      </c>
      <c r="O367" s="31">
        <v>96</v>
      </c>
      <c r="P367" s="31">
        <v>76</v>
      </c>
      <c r="Q367" s="31">
        <v>0</v>
      </c>
      <c r="R367" s="31">
        <v>6</v>
      </c>
      <c r="S367" s="31">
        <v>14</v>
      </c>
      <c r="T367" s="31">
        <v>0</v>
      </c>
      <c r="U367" s="31">
        <v>13</v>
      </c>
      <c r="V367" s="31">
        <v>0</v>
      </c>
      <c r="W367" s="31">
        <v>24</v>
      </c>
      <c r="X367" s="31">
        <v>13</v>
      </c>
      <c r="Y367" s="31">
        <v>62</v>
      </c>
      <c r="Z367" s="31">
        <v>62</v>
      </c>
      <c r="AA367" s="31">
        <v>0</v>
      </c>
      <c r="AB367" s="31">
        <v>1020</v>
      </c>
    </row>
    <row r="368" spans="1:28" ht="27.2" customHeight="1" x14ac:dyDescent="0.2">
      <c r="A368" s="211"/>
      <c r="B368" s="174" t="s">
        <v>459</v>
      </c>
      <c r="C368" s="175"/>
      <c r="D368" s="175"/>
      <c r="E368" s="175"/>
      <c r="F368" s="175"/>
      <c r="G368" s="176"/>
      <c r="H368" s="23">
        <v>10</v>
      </c>
      <c r="I368" s="31">
        <v>9</v>
      </c>
      <c r="J368" s="31">
        <v>7</v>
      </c>
      <c r="K368" s="31">
        <v>6</v>
      </c>
      <c r="L368" s="31">
        <v>0</v>
      </c>
      <c r="M368" s="31">
        <v>6</v>
      </c>
      <c r="N368" s="31">
        <v>0</v>
      </c>
      <c r="O368" s="31">
        <v>1</v>
      </c>
      <c r="P368" s="31">
        <v>1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31">
        <v>0</v>
      </c>
      <c r="Y368" s="31">
        <v>0</v>
      </c>
      <c r="Z368" s="31">
        <v>0</v>
      </c>
      <c r="AA368" s="31">
        <v>0</v>
      </c>
      <c r="AB368" s="31">
        <v>2</v>
      </c>
    </row>
    <row r="369" spans="1:28" ht="68.25" customHeight="1" x14ac:dyDescent="0.2">
      <c r="A369" s="211"/>
      <c r="B369" s="174" t="s">
        <v>461</v>
      </c>
      <c r="C369" s="175"/>
      <c r="D369" s="175"/>
      <c r="E369" s="175"/>
      <c r="F369" s="175"/>
      <c r="G369" s="176"/>
      <c r="H369" s="23">
        <v>11</v>
      </c>
      <c r="I369" s="31">
        <v>28</v>
      </c>
      <c r="J369" s="31">
        <v>11</v>
      </c>
      <c r="K369" s="31">
        <v>1</v>
      </c>
      <c r="L369" s="31">
        <v>0</v>
      </c>
      <c r="M369" s="31">
        <v>1</v>
      </c>
      <c r="N369" s="31">
        <v>0</v>
      </c>
      <c r="O369" s="31">
        <v>10</v>
      </c>
      <c r="P369" s="31">
        <v>9</v>
      </c>
      <c r="Q369" s="31">
        <v>0</v>
      </c>
      <c r="R369" s="31">
        <v>1</v>
      </c>
      <c r="S369" s="31">
        <v>0</v>
      </c>
      <c r="T369" s="31">
        <v>0</v>
      </c>
      <c r="U369" s="31">
        <v>1</v>
      </c>
      <c r="V369" s="31">
        <v>0</v>
      </c>
      <c r="W369" s="31">
        <v>2</v>
      </c>
      <c r="X369" s="31">
        <v>0</v>
      </c>
      <c r="Y369" s="31">
        <v>6</v>
      </c>
      <c r="Z369" s="31">
        <v>6</v>
      </c>
      <c r="AA369" s="31">
        <v>0</v>
      </c>
      <c r="AB369" s="31">
        <v>17</v>
      </c>
    </row>
    <row r="370" spans="1:28" ht="30.75" customHeight="1" x14ac:dyDescent="0.2">
      <c r="A370" s="211"/>
      <c r="B370" s="174" t="s">
        <v>462</v>
      </c>
      <c r="C370" s="175"/>
      <c r="D370" s="175"/>
      <c r="E370" s="175"/>
      <c r="F370" s="175"/>
      <c r="G370" s="176"/>
      <c r="H370" s="23">
        <v>12</v>
      </c>
      <c r="I370" s="31">
        <v>3588</v>
      </c>
      <c r="J370" s="31">
        <v>2605</v>
      </c>
      <c r="K370" s="31">
        <v>15</v>
      </c>
      <c r="L370" s="31">
        <v>0</v>
      </c>
      <c r="M370" s="31">
        <v>12</v>
      </c>
      <c r="N370" s="31">
        <v>0</v>
      </c>
      <c r="O370" s="31">
        <v>2048</v>
      </c>
      <c r="P370" s="31">
        <v>2032</v>
      </c>
      <c r="Q370" s="31">
        <v>1</v>
      </c>
      <c r="R370" s="31">
        <v>12</v>
      </c>
      <c r="S370" s="31">
        <v>3</v>
      </c>
      <c r="T370" s="31">
        <v>0</v>
      </c>
      <c r="U370" s="31">
        <v>351</v>
      </c>
      <c r="V370" s="31">
        <v>41</v>
      </c>
      <c r="W370" s="31">
        <v>43</v>
      </c>
      <c r="X370" s="31">
        <v>7</v>
      </c>
      <c r="Y370" s="31">
        <v>2173</v>
      </c>
      <c r="Z370" s="31">
        <v>2150</v>
      </c>
      <c r="AA370" s="31">
        <v>0</v>
      </c>
      <c r="AB370" s="31">
        <v>1502</v>
      </c>
    </row>
    <row r="371" spans="1:28" ht="69.75" customHeight="1" x14ac:dyDescent="0.2">
      <c r="A371" s="211"/>
      <c r="B371" s="174" t="s">
        <v>463</v>
      </c>
      <c r="C371" s="175"/>
      <c r="D371" s="175"/>
      <c r="E371" s="175"/>
      <c r="F371" s="175"/>
      <c r="G371" s="176"/>
      <c r="H371" s="23">
        <v>13</v>
      </c>
      <c r="I371" s="31">
        <v>90</v>
      </c>
      <c r="J371" s="31">
        <v>82</v>
      </c>
      <c r="K371" s="31">
        <v>0</v>
      </c>
      <c r="L371" s="31">
        <v>0</v>
      </c>
      <c r="M371" s="31">
        <v>0</v>
      </c>
      <c r="N371" s="31">
        <v>0</v>
      </c>
      <c r="O371" s="31">
        <v>68</v>
      </c>
      <c r="P371" s="31">
        <v>68</v>
      </c>
      <c r="Q371" s="31">
        <v>0</v>
      </c>
      <c r="R371" s="31">
        <v>0</v>
      </c>
      <c r="S371" s="31">
        <v>0</v>
      </c>
      <c r="T371" s="31">
        <v>0</v>
      </c>
      <c r="U371" s="31">
        <v>8</v>
      </c>
      <c r="V371" s="31">
        <v>3</v>
      </c>
      <c r="W371" s="31">
        <v>0</v>
      </c>
      <c r="X371" s="31">
        <v>0</v>
      </c>
      <c r="Y371" s="31">
        <v>2</v>
      </c>
      <c r="Z371" s="31">
        <v>1</v>
      </c>
      <c r="AA371" s="31">
        <v>0</v>
      </c>
      <c r="AB371" s="31">
        <v>21</v>
      </c>
    </row>
    <row r="372" spans="1:28" ht="27.2" customHeight="1" x14ac:dyDescent="0.2">
      <c r="A372" s="211"/>
      <c r="B372" s="174" t="s">
        <v>464</v>
      </c>
      <c r="C372" s="175"/>
      <c r="D372" s="175"/>
      <c r="E372" s="175"/>
      <c r="F372" s="175"/>
      <c r="G372" s="176"/>
      <c r="H372" s="23">
        <v>14</v>
      </c>
      <c r="I372" s="31">
        <v>5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1</v>
      </c>
      <c r="Z372" s="31">
        <v>1</v>
      </c>
      <c r="AA372" s="31">
        <v>0</v>
      </c>
      <c r="AB372" s="31">
        <v>5</v>
      </c>
    </row>
    <row r="373" spans="1:28" ht="29.25" customHeight="1" x14ac:dyDescent="0.2">
      <c r="A373" s="211"/>
      <c r="B373" s="174" t="s">
        <v>465</v>
      </c>
      <c r="C373" s="175"/>
      <c r="D373" s="175"/>
      <c r="E373" s="175"/>
      <c r="F373" s="175"/>
      <c r="G373" s="176"/>
      <c r="H373" s="23">
        <v>15</v>
      </c>
      <c r="I373" s="31">
        <v>5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5</v>
      </c>
    </row>
    <row r="374" spans="1:28" ht="33.75" customHeight="1" x14ac:dyDescent="0.2">
      <c r="A374" s="211"/>
      <c r="B374" s="174" t="s">
        <v>467</v>
      </c>
      <c r="C374" s="175"/>
      <c r="D374" s="175"/>
      <c r="E374" s="175"/>
      <c r="F374" s="175"/>
      <c r="G374" s="176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11"/>
      <c r="B375" s="174" t="s">
        <v>468</v>
      </c>
      <c r="C375" s="175"/>
      <c r="D375" s="175"/>
      <c r="E375" s="175"/>
      <c r="F375" s="175"/>
      <c r="G375" s="176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0</v>
      </c>
    </row>
    <row r="376" spans="1:28" ht="24" customHeight="1" x14ac:dyDescent="0.2">
      <c r="A376" s="211"/>
      <c r="B376" s="174" t="s">
        <v>469</v>
      </c>
      <c r="C376" s="175"/>
      <c r="D376" s="175"/>
      <c r="E376" s="175"/>
      <c r="F376" s="175"/>
      <c r="G376" s="176"/>
      <c r="H376" s="23">
        <v>18</v>
      </c>
      <c r="I376" s="31">
        <v>6</v>
      </c>
      <c r="J376" s="31">
        <v>4</v>
      </c>
      <c r="K376" s="31">
        <v>0</v>
      </c>
      <c r="L376" s="31">
        <v>0</v>
      </c>
      <c r="M376" s="31">
        <v>0</v>
      </c>
      <c r="N376" s="31">
        <v>0</v>
      </c>
      <c r="O376" s="31">
        <v>4</v>
      </c>
      <c r="P376" s="31">
        <v>4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2</v>
      </c>
    </row>
    <row r="377" spans="1:28" ht="27.2" customHeight="1" x14ac:dyDescent="0.2">
      <c r="A377" s="211"/>
      <c r="B377" s="174" t="s">
        <v>470</v>
      </c>
      <c r="C377" s="175"/>
      <c r="D377" s="175"/>
      <c r="E377" s="175"/>
      <c r="F377" s="175"/>
      <c r="G377" s="176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11"/>
      <c r="B378" s="190" t="s">
        <v>32</v>
      </c>
      <c r="C378" s="138" t="s">
        <v>471</v>
      </c>
      <c r="D378" s="139"/>
      <c r="E378" s="139"/>
      <c r="F378" s="139"/>
      <c r="G378" s="140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11"/>
      <c r="B379" s="191"/>
      <c r="C379" s="139" t="s">
        <v>472</v>
      </c>
      <c r="D379" s="139"/>
      <c r="E379" s="139"/>
      <c r="F379" s="139"/>
      <c r="G379" s="140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11"/>
      <c r="B380" s="174" t="s">
        <v>473</v>
      </c>
      <c r="C380" s="175"/>
      <c r="D380" s="175"/>
      <c r="E380" s="175"/>
      <c r="F380" s="175"/>
      <c r="G380" s="176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11"/>
      <c r="B381" s="174" t="s">
        <v>474</v>
      </c>
      <c r="C381" s="175"/>
      <c r="D381" s="175"/>
      <c r="E381" s="175"/>
      <c r="F381" s="175"/>
      <c r="G381" s="176"/>
      <c r="H381" s="23">
        <v>23</v>
      </c>
      <c r="I381" s="31">
        <v>271</v>
      </c>
      <c r="J381" s="31">
        <v>3</v>
      </c>
      <c r="K381" s="31">
        <v>0</v>
      </c>
      <c r="L381" s="31">
        <v>0</v>
      </c>
      <c r="M381" s="31">
        <v>0</v>
      </c>
      <c r="N381" s="31">
        <v>0</v>
      </c>
      <c r="O381" s="31">
        <v>2</v>
      </c>
      <c r="P381" s="31">
        <v>2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499</v>
      </c>
      <c r="Z381" s="31">
        <v>499</v>
      </c>
      <c r="AA381" s="31">
        <v>0</v>
      </c>
      <c r="AB381" s="31">
        <v>269</v>
      </c>
    </row>
    <row r="382" spans="1:28" ht="27.2" customHeight="1" x14ac:dyDescent="0.2">
      <c r="A382" s="211"/>
      <c r="B382" s="174" t="s">
        <v>475</v>
      </c>
      <c r="C382" s="175"/>
      <c r="D382" s="175"/>
      <c r="E382" s="175"/>
      <c r="F382" s="175"/>
      <c r="G382" s="176"/>
      <c r="H382" s="23">
        <v>24</v>
      </c>
      <c r="I382" s="31">
        <v>2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1</v>
      </c>
      <c r="Z382" s="31">
        <v>1</v>
      </c>
      <c r="AA382" s="31">
        <v>0</v>
      </c>
      <c r="AB382" s="31">
        <v>2</v>
      </c>
    </row>
    <row r="383" spans="1:28" ht="23.25" customHeight="1" x14ac:dyDescent="0.2">
      <c r="A383" s="212"/>
      <c r="B383" s="174" t="s">
        <v>179</v>
      </c>
      <c r="C383" s="175"/>
      <c r="D383" s="175"/>
      <c r="E383" s="175"/>
      <c r="F383" s="175"/>
      <c r="G383" s="176"/>
      <c r="H383" s="23">
        <v>25</v>
      </c>
      <c r="I383" s="31">
        <v>38</v>
      </c>
      <c r="J383" s="31">
        <v>24</v>
      </c>
      <c r="K383" s="31">
        <v>0</v>
      </c>
      <c r="L383" s="31">
        <v>0</v>
      </c>
      <c r="M383" s="31">
        <v>0</v>
      </c>
      <c r="N383" s="31">
        <v>0</v>
      </c>
      <c r="O383" s="31">
        <v>12</v>
      </c>
      <c r="P383" s="31">
        <v>12</v>
      </c>
      <c r="Q383" s="31">
        <v>0</v>
      </c>
      <c r="R383" s="31">
        <v>0</v>
      </c>
      <c r="S383" s="31">
        <v>0</v>
      </c>
      <c r="T383" s="31">
        <v>0</v>
      </c>
      <c r="U383" s="31">
        <v>8</v>
      </c>
      <c r="V383" s="31">
        <v>2</v>
      </c>
      <c r="W383" s="31">
        <v>0</v>
      </c>
      <c r="X383" s="31">
        <v>0</v>
      </c>
      <c r="Y383" s="31">
        <v>1</v>
      </c>
      <c r="Z383" s="31">
        <v>1</v>
      </c>
      <c r="AA383" s="31">
        <v>0</v>
      </c>
      <c r="AB383" s="31">
        <v>26</v>
      </c>
    </row>
    <row r="384" spans="1:28" ht="22.5" customHeight="1" x14ac:dyDescent="0.2">
      <c r="A384" s="138" t="s">
        <v>443</v>
      </c>
      <c r="B384" s="139"/>
      <c r="C384" s="139"/>
      <c r="D384" s="139"/>
      <c r="E384" s="139"/>
      <c r="F384" s="139"/>
      <c r="G384" s="140"/>
      <c r="H384" s="23">
        <v>26</v>
      </c>
      <c r="I384" s="31">
        <f t="shared" ref="I384:AB384" si="7">SUM(I359:I383)</f>
        <v>15693</v>
      </c>
      <c r="J384" s="31">
        <f t="shared" si="7"/>
        <v>8685</v>
      </c>
      <c r="K384" s="31">
        <f t="shared" si="7"/>
        <v>75</v>
      </c>
      <c r="L384" s="31">
        <f t="shared" si="7"/>
        <v>0</v>
      </c>
      <c r="M384" s="31">
        <f t="shared" si="7"/>
        <v>66</v>
      </c>
      <c r="N384" s="31">
        <f t="shared" si="7"/>
        <v>0</v>
      </c>
      <c r="O384" s="31">
        <f t="shared" si="7"/>
        <v>6798</v>
      </c>
      <c r="P384" s="31">
        <f t="shared" si="7"/>
        <v>6687</v>
      </c>
      <c r="Q384" s="31">
        <f t="shared" si="7"/>
        <v>3</v>
      </c>
      <c r="R384" s="31">
        <f t="shared" si="7"/>
        <v>57</v>
      </c>
      <c r="S384" s="31">
        <f t="shared" si="7"/>
        <v>51</v>
      </c>
      <c r="T384" s="31">
        <f t="shared" si="7"/>
        <v>0</v>
      </c>
      <c r="U384" s="31">
        <f t="shared" si="7"/>
        <v>1167</v>
      </c>
      <c r="V384" s="31">
        <f t="shared" si="7"/>
        <v>213</v>
      </c>
      <c r="W384" s="31">
        <f t="shared" si="7"/>
        <v>207</v>
      </c>
      <c r="X384" s="31">
        <f t="shared" si="7"/>
        <v>60</v>
      </c>
      <c r="Y384" s="31">
        <f t="shared" si="7"/>
        <v>8238</v>
      </c>
      <c r="Z384" s="31">
        <f t="shared" si="7"/>
        <v>8166</v>
      </c>
      <c r="AA384" s="31">
        <f t="shared" si="7"/>
        <v>0</v>
      </c>
      <c r="AB384" s="31">
        <f t="shared" si="7"/>
        <v>8748</v>
      </c>
    </row>
    <row r="385" spans="1:28" ht="13.5" customHeight="1" x14ac:dyDescent="0.2"/>
    <row r="386" spans="1:28" ht="13.5" customHeight="1" x14ac:dyDescent="0.25">
      <c r="A386" s="177" t="s">
        <v>819</v>
      </c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</row>
    <row r="387" spans="1:28" ht="25.5" customHeight="1" x14ac:dyDescent="0.2">
      <c r="A387" s="178"/>
      <c r="B387" s="179"/>
      <c r="C387" s="179"/>
      <c r="D387" s="179"/>
      <c r="E387" s="179"/>
      <c r="F387" s="179"/>
      <c r="G387" s="180"/>
      <c r="H387" s="187" t="s">
        <v>15</v>
      </c>
      <c r="I387" s="168" t="s">
        <v>1148</v>
      </c>
      <c r="J387" s="168" t="s">
        <v>16</v>
      </c>
      <c r="K387" s="168" t="s">
        <v>17</v>
      </c>
      <c r="L387" s="171" t="s">
        <v>18</v>
      </c>
      <c r="M387" s="172"/>
      <c r="N387" s="173"/>
      <c r="O387" s="168" t="s">
        <v>19</v>
      </c>
      <c r="P387" s="171" t="s">
        <v>20</v>
      </c>
      <c r="Q387" s="172"/>
      <c r="R387" s="172"/>
      <c r="S387" s="173"/>
      <c r="T387" s="168" t="s">
        <v>21</v>
      </c>
      <c r="U387" s="171" t="s">
        <v>22</v>
      </c>
      <c r="V387" s="172"/>
      <c r="W387" s="172"/>
      <c r="X387" s="173"/>
      <c r="Y387" s="171" t="s">
        <v>23</v>
      </c>
      <c r="Z387" s="172"/>
      <c r="AA387" s="173"/>
      <c r="AB387" s="168" t="s">
        <v>24</v>
      </c>
    </row>
    <row r="388" spans="1:28" ht="19.5" customHeight="1" x14ac:dyDescent="0.2">
      <c r="A388" s="181"/>
      <c r="B388" s="182"/>
      <c r="C388" s="182"/>
      <c r="D388" s="182"/>
      <c r="E388" s="182"/>
      <c r="F388" s="182"/>
      <c r="G388" s="183"/>
      <c r="H388" s="188"/>
      <c r="I388" s="170"/>
      <c r="J388" s="170"/>
      <c r="K388" s="170"/>
      <c r="L388" s="168" t="s">
        <v>25</v>
      </c>
      <c r="M388" s="168" t="s">
        <v>26</v>
      </c>
      <c r="N388" s="168" t="s">
        <v>27</v>
      </c>
      <c r="O388" s="170"/>
      <c r="P388" s="168" t="s">
        <v>28</v>
      </c>
      <c r="Q388" s="168" t="s">
        <v>29</v>
      </c>
      <c r="R388" s="168" t="s">
        <v>30</v>
      </c>
      <c r="S388" s="168" t="s">
        <v>31</v>
      </c>
      <c r="T388" s="170"/>
      <c r="U388" s="171" t="s">
        <v>32</v>
      </c>
      <c r="V388" s="172"/>
      <c r="W388" s="172"/>
      <c r="X388" s="173"/>
      <c r="Y388" s="168" t="s">
        <v>33</v>
      </c>
      <c r="Z388" s="171" t="s">
        <v>34</v>
      </c>
      <c r="AA388" s="173"/>
      <c r="AB388" s="170"/>
    </row>
    <row r="389" spans="1:28" ht="83.25" customHeight="1" x14ac:dyDescent="0.2">
      <c r="A389" s="184"/>
      <c r="B389" s="185"/>
      <c r="C389" s="185"/>
      <c r="D389" s="185"/>
      <c r="E389" s="185"/>
      <c r="F389" s="185"/>
      <c r="G389" s="186"/>
      <c r="H389" s="18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9" t="s">
        <v>35</v>
      </c>
      <c r="V389" s="16" t="s">
        <v>36</v>
      </c>
      <c r="W389" s="16" t="s">
        <v>37</v>
      </c>
      <c r="X389" s="16" t="s">
        <v>38</v>
      </c>
      <c r="Y389" s="169"/>
      <c r="Z389" s="18" t="s">
        <v>39</v>
      </c>
      <c r="AA389" s="17" t="s">
        <v>40</v>
      </c>
      <c r="AB389" s="169"/>
    </row>
    <row r="390" spans="1:28" ht="15" customHeight="1" x14ac:dyDescent="0.2">
      <c r="A390" s="150" t="s">
        <v>41</v>
      </c>
      <c r="B390" s="151"/>
      <c r="C390" s="151"/>
      <c r="D390" s="151"/>
      <c r="E390" s="151"/>
      <c r="F390" s="151"/>
      <c r="G390" s="152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53" t="s">
        <v>43</v>
      </c>
      <c r="B391" s="154"/>
      <c r="C391" s="154"/>
      <c r="D391" s="154"/>
      <c r="E391" s="154"/>
      <c r="F391" s="154"/>
      <c r="G391" s="155"/>
      <c r="H391" s="23">
        <v>1</v>
      </c>
      <c r="I391" s="31">
        <v>438</v>
      </c>
      <c r="J391" s="31">
        <v>1</v>
      </c>
      <c r="K391" s="31">
        <v>0</v>
      </c>
      <c r="L391" s="31">
        <v>0</v>
      </c>
      <c r="M391" s="31">
        <v>0</v>
      </c>
      <c r="N391" s="31">
        <v>0</v>
      </c>
      <c r="O391" s="31">
        <v>1</v>
      </c>
      <c r="P391" s="31">
        <v>1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30</v>
      </c>
      <c r="Z391" s="31">
        <v>30</v>
      </c>
      <c r="AA391" s="31">
        <v>0</v>
      </c>
      <c r="AB391" s="31">
        <v>437</v>
      </c>
    </row>
    <row r="392" spans="1:28" ht="19.5" customHeight="1" x14ac:dyDescent="0.2">
      <c r="A392" s="156" t="s">
        <v>181</v>
      </c>
      <c r="B392" s="158"/>
      <c r="C392" s="165" t="s">
        <v>51</v>
      </c>
      <c r="D392" s="166"/>
      <c r="E392" s="166"/>
      <c r="F392" s="166"/>
      <c r="G392" s="167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9"/>
      <c r="B393" s="161"/>
      <c r="C393" s="165" t="s">
        <v>52</v>
      </c>
      <c r="D393" s="166"/>
      <c r="E393" s="166"/>
      <c r="F393" s="166"/>
      <c r="G393" s="167"/>
      <c r="H393" s="23">
        <v>3</v>
      </c>
      <c r="I393" s="31">
        <v>225</v>
      </c>
      <c r="J393" s="31">
        <v>1</v>
      </c>
      <c r="K393" s="31">
        <v>0</v>
      </c>
      <c r="L393" s="31">
        <v>0</v>
      </c>
      <c r="M393" s="31">
        <v>0</v>
      </c>
      <c r="N393" s="31">
        <v>0</v>
      </c>
      <c r="O393" s="31">
        <v>1</v>
      </c>
      <c r="P393" s="31">
        <v>1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11</v>
      </c>
      <c r="Z393" s="31">
        <v>11</v>
      </c>
      <c r="AA393" s="31">
        <v>0</v>
      </c>
      <c r="AB393" s="31">
        <v>224</v>
      </c>
    </row>
    <row r="394" spans="1:28" ht="19.5" customHeight="1" x14ac:dyDescent="0.2">
      <c r="A394" s="159"/>
      <c r="B394" s="161"/>
      <c r="C394" s="165" t="s">
        <v>182</v>
      </c>
      <c r="D394" s="166"/>
      <c r="E394" s="166"/>
      <c r="F394" s="166"/>
      <c r="G394" s="167"/>
      <c r="H394" s="23">
        <v>4</v>
      </c>
      <c r="I394" s="31">
        <v>4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4</v>
      </c>
    </row>
    <row r="395" spans="1:28" ht="20.25" customHeight="1" x14ac:dyDescent="0.2">
      <c r="A395" s="162"/>
      <c r="B395" s="164"/>
      <c r="C395" s="165" t="s">
        <v>49</v>
      </c>
      <c r="D395" s="166"/>
      <c r="E395" s="166"/>
      <c r="F395" s="166"/>
      <c r="G395" s="167"/>
      <c r="H395" s="23">
        <v>5</v>
      </c>
      <c r="I395" s="31">
        <v>209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19</v>
      </c>
      <c r="Z395" s="31">
        <v>19</v>
      </c>
      <c r="AA395" s="31">
        <v>0</v>
      </c>
      <c r="AB395" s="31">
        <v>209</v>
      </c>
    </row>
    <row r="396" spans="1:28" ht="27.2" customHeight="1" x14ac:dyDescent="0.2">
      <c r="A396" s="144" t="s">
        <v>364</v>
      </c>
      <c r="B396" s="138" t="s">
        <v>477</v>
      </c>
      <c r="C396" s="139"/>
      <c r="D396" s="139"/>
      <c r="E396" s="139"/>
      <c r="F396" s="139"/>
      <c r="G396" s="140"/>
      <c r="H396" s="23">
        <v>6</v>
      </c>
      <c r="I396" s="31">
        <v>148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13</v>
      </c>
      <c r="Z396" s="31">
        <v>13</v>
      </c>
      <c r="AA396" s="31">
        <v>0</v>
      </c>
      <c r="AB396" s="31">
        <v>148</v>
      </c>
    </row>
    <row r="397" spans="1:28" ht="27.2" customHeight="1" x14ac:dyDescent="0.2">
      <c r="A397" s="145"/>
      <c r="B397" s="190" t="s">
        <v>32</v>
      </c>
      <c r="C397" s="138" t="s">
        <v>478</v>
      </c>
      <c r="D397" s="139"/>
      <c r="E397" s="139"/>
      <c r="F397" s="139"/>
      <c r="G397" s="140"/>
      <c r="H397" s="23">
        <v>7</v>
      </c>
      <c r="I397" s="31">
        <v>104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11</v>
      </c>
      <c r="Z397" s="31">
        <v>11</v>
      </c>
      <c r="AA397" s="31">
        <v>0</v>
      </c>
      <c r="AB397" s="31">
        <v>104</v>
      </c>
    </row>
    <row r="398" spans="1:28" ht="26.25" customHeight="1" x14ac:dyDescent="0.2">
      <c r="A398" s="145"/>
      <c r="B398" s="191"/>
      <c r="C398" s="138" t="s">
        <v>479</v>
      </c>
      <c r="D398" s="139"/>
      <c r="E398" s="139"/>
      <c r="F398" s="139"/>
      <c r="G398" s="140"/>
      <c r="H398" s="23">
        <v>8</v>
      </c>
      <c r="I398" s="54">
        <v>44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2</v>
      </c>
      <c r="Z398" s="31">
        <v>2</v>
      </c>
      <c r="AA398" s="31">
        <v>0</v>
      </c>
      <c r="AB398" s="31">
        <v>44</v>
      </c>
    </row>
    <row r="399" spans="1:28" ht="36.75" customHeight="1" x14ac:dyDescent="0.2">
      <c r="A399" s="145"/>
      <c r="B399" s="138" t="s">
        <v>480</v>
      </c>
      <c r="C399" s="139"/>
      <c r="D399" s="139"/>
      <c r="E399" s="139"/>
      <c r="F399" s="139"/>
      <c r="G399" s="140"/>
      <c r="H399" s="23">
        <v>9</v>
      </c>
      <c r="I399" s="31">
        <v>268</v>
      </c>
      <c r="J399" s="31">
        <v>1</v>
      </c>
      <c r="K399" s="31">
        <v>0</v>
      </c>
      <c r="L399" s="31">
        <v>0</v>
      </c>
      <c r="M399" s="31">
        <v>0</v>
      </c>
      <c r="N399" s="31">
        <v>0</v>
      </c>
      <c r="O399" s="31">
        <v>1</v>
      </c>
      <c r="P399" s="31">
        <v>1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17</v>
      </c>
      <c r="Z399" s="31">
        <v>17</v>
      </c>
      <c r="AA399" s="31">
        <v>0</v>
      </c>
      <c r="AB399" s="31">
        <v>267</v>
      </c>
    </row>
    <row r="400" spans="1:28" ht="27.2" customHeight="1" x14ac:dyDescent="0.2">
      <c r="A400" s="145"/>
      <c r="B400" s="190" t="s">
        <v>32</v>
      </c>
      <c r="C400" s="138" t="s">
        <v>481</v>
      </c>
      <c r="D400" s="139"/>
      <c r="E400" s="139"/>
      <c r="F400" s="139"/>
      <c r="G400" s="140"/>
      <c r="H400" s="23">
        <v>10</v>
      </c>
      <c r="I400" s="31">
        <v>88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8</v>
      </c>
      <c r="Z400" s="31">
        <v>8</v>
      </c>
      <c r="AA400" s="31">
        <v>0</v>
      </c>
      <c r="AB400" s="31">
        <v>88</v>
      </c>
    </row>
    <row r="401" spans="1:28" ht="26.25" customHeight="1" x14ac:dyDescent="0.2">
      <c r="A401" s="146"/>
      <c r="B401" s="191"/>
      <c r="C401" s="138" t="s">
        <v>482</v>
      </c>
      <c r="D401" s="139"/>
      <c r="E401" s="139"/>
      <c r="F401" s="139"/>
      <c r="G401" s="140"/>
      <c r="H401" s="23">
        <v>11</v>
      </c>
      <c r="I401" s="54">
        <v>180</v>
      </c>
      <c r="J401" s="54">
        <v>1</v>
      </c>
      <c r="K401" s="54">
        <v>0</v>
      </c>
      <c r="L401" s="54">
        <v>0</v>
      </c>
      <c r="M401" s="31">
        <v>0</v>
      </c>
      <c r="N401" s="31">
        <v>0</v>
      </c>
      <c r="O401" s="31">
        <v>1</v>
      </c>
      <c r="P401" s="31">
        <v>1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9</v>
      </c>
      <c r="Z401" s="31">
        <v>9</v>
      </c>
      <c r="AA401" s="31">
        <v>0</v>
      </c>
      <c r="AB401" s="31">
        <v>179</v>
      </c>
    </row>
    <row r="402" spans="1:28" ht="15" customHeight="1" x14ac:dyDescent="0.2">
      <c r="A402" s="198" t="s">
        <v>41</v>
      </c>
      <c r="B402" s="199"/>
      <c r="C402" s="199"/>
      <c r="D402" s="199"/>
      <c r="E402" s="199"/>
      <c r="F402" s="199"/>
      <c r="G402" s="200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45" t="s">
        <v>364</v>
      </c>
      <c r="B403" s="307" t="s">
        <v>483</v>
      </c>
      <c r="C403" s="308"/>
      <c r="D403" s="308"/>
      <c r="E403" s="308"/>
      <c r="F403" s="308"/>
      <c r="G403" s="309"/>
      <c r="H403" s="23">
        <v>12</v>
      </c>
      <c r="I403" s="31">
        <v>2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2</v>
      </c>
    </row>
    <row r="404" spans="1:28" ht="27.75" customHeight="1" x14ac:dyDescent="0.2">
      <c r="A404" s="145"/>
      <c r="B404" s="138" t="s">
        <v>484</v>
      </c>
      <c r="C404" s="139"/>
      <c r="D404" s="139"/>
      <c r="E404" s="139"/>
      <c r="F404" s="139"/>
      <c r="G404" s="140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45"/>
      <c r="B405" s="138" t="s">
        <v>485</v>
      </c>
      <c r="C405" s="139"/>
      <c r="D405" s="139"/>
      <c r="E405" s="139"/>
      <c r="F405" s="139"/>
      <c r="G405" s="140"/>
      <c r="H405" s="23">
        <v>14</v>
      </c>
      <c r="I405" s="31">
        <v>20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20</v>
      </c>
    </row>
    <row r="406" spans="1:28" ht="27.2" customHeight="1" x14ac:dyDescent="0.2">
      <c r="A406" s="145"/>
      <c r="B406" s="190" t="s">
        <v>32</v>
      </c>
      <c r="C406" s="138" t="s">
        <v>486</v>
      </c>
      <c r="D406" s="139"/>
      <c r="E406" s="139"/>
      <c r="F406" s="139"/>
      <c r="G406" s="140"/>
      <c r="H406" s="23">
        <v>15</v>
      </c>
      <c r="I406" s="31">
        <v>17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17</v>
      </c>
    </row>
    <row r="407" spans="1:28" ht="26.25" customHeight="1" x14ac:dyDescent="0.2">
      <c r="A407" s="145"/>
      <c r="B407" s="191"/>
      <c r="C407" s="139" t="s">
        <v>487</v>
      </c>
      <c r="D407" s="139"/>
      <c r="E407" s="139"/>
      <c r="F407" s="139"/>
      <c r="G407" s="140"/>
      <c r="H407" s="23">
        <v>16</v>
      </c>
      <c r="I407" s="54">
        <v>3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3</v>
      </c>
    </row>
    <row r="408" spans="1:28" ht="25.5" customHeight="1" x14ac:dyDescent="0.2">
      <c r="A408" s="146"/>
      <c r="B408" s="138" t="s">
        <v>179</v>
      </c>
      <c r="C408" s="139"/>
      <c r="D408" s="139"/>
      <c r="E408" s="139"/>
      <c r="F408" s="139"/>
      <c r="G408" s="140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8" t="s">
        <v>443</v>
      </c>
      <c r="B409" s="139"/>
      <c r="C409" s="139"/>
      <c r="D409" s="139"/>
      <c r="E409" s="139"/>
      <c r="F409" s="139"/>
      <c r="G409" s="140"/>
      <c r="H409" s="23">
        <v>18</v>
      </c>
      <c r="I409" s="31">
        <f t="shared" ref="I409:AB409" si="8">SUM(I391:I401,I403:I408)</f>
        <v>1750</v>
      </c>
      <c r="J409" s="31">
        <f t="shared" si="8"/>
        <v>4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4</v>
      </c>
      <c r="P409" s="31">
        <f t="shared" si="8"/>
        <v>4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120</v>
      </c>
      <c r="Z409" s="31">
        <f t="shared" si="8"/>
        <v>120</v>
      </c>
      <c r="AA409" s="31">
        <f t="shared" si="8"/>
        <v>0</v>
      </c>
      <c r="AB409" s="31">
        <f t="shared" si="8"/>
        <v>1746</v>
      </c>
    </row>
    <row r="410" spans="1:28" ht="14.25" customHeight="1" x14ac:dyDescent="0.2"/>
    <row r="411" spans="1:28" ht="29.25" customHeight="1" x14ac:dyDescent="0.25">
      <c r="A411" s="177" t="s">
        <v>820</v>
      </c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</row>
    <row r="412" spans="1:28" ht="33" customHeight="1" x14ac:dyDescent="0.2">
      <c r="A412" s="178"/>
      <c r="B412" s="179"/>
      <c r="C412" s="179"/>
      <c r="D412" s="179"/>
      <c r="E412" s="179"/>
      <c r="F412" s="179"/>
      <c r="G412" s="180"/>
      <c r="H412" s="187" t="s">
        <v>15</v>
      </c>
      <c r="I412" s="168" t="s">
        <v>1148</v>
      </c>
      <c r="J412" s="168" t="s">
        <v>16</v>
      </c>
      <c r="K412" s="168" t="s">
        <v>17</v>
      </c>
      <c r="L412" s="171" t="s">
        <v>18</v>
      </c>
      <c r="M412" s="172"/>
      <c r="N412" s="173"/>
      <c r="O412" s="168" t="s">
        <v>19</v>
      </c>
      <c r="P412" s="171" t="s">
        <v>20</v>
      </c>
      <c r="Q412" s="172"/>
      <c r="R412" s="172"/>
      <c r="S412" s="173"/>
      <c r="T412" s="168" t="s">
        <v>21</v>
      </c>
      <c r="U412" s="171" t="s">
        <v>22</v>
      </c>
      <c r="V412" s="172"/>
      <c r="W412" s="172"/>
      <c r="X412" s="173"/>
      <c r="Y412" s="171" t="s">
        <v>23</v>
      </c>
      <c r="Z412" s="172"/>
      <c r="AA412" s="173"/>
      <c r="AB412" s="168" t="s">
        <v>24</v>
      </c>
    </row>
    <row r="413" spans="1:28" ht="25.5" customHeight="1" x14ac:dyDescent="0.2">
      <c r="A413" s="181"/>
      <c r="B413" s="182"/>
      <c r="C413" s="182"/>
      <c r="D413" s="182"/>
      <c r="E413" s="182"/>
      <c r="F413" s="182"/>
      <c r="G413" s="183"/>
      <c r="H413" s="188"/>
      <c r="I413" s="170"/>
      <c r="J413" s="170"/>
      <c r="K413" s="170"/>
      <c r="L413" s="168" t="s">
        <v>25</v>
      </c>
      <c r="M413" s="168" t="s">
        <v>26</v>
      </c>
      <c r="N413" s="168" t="s">
        <v>27</v>
      </c>
      <c r="O413" s="170"/>
      <c r="P413" s="168" t="s">
        <v>28</v>
      </c>
      <c r="Q413" s="168" t="s">
        <v>29</v>
      </c>
      <c r="R413" s="168" t="s">
        <v>30</v>
      </c>
      <c r="S413" s="168" t="s">
        <v>31</v>
      </c>
      <c r="T413" s="170"/>
      <c r="U413" s="171" t="s">
        <v>32</v>
      </c>
      <c r="V413" s="172"/>
      <c r="W413" s="172"/>
      <c r="X413" s="173"/>
      <c r="Y413" s="168" t="s">
        <v>33</v>
      </c>
      <c r="Z413" s="171" t="s">
        <v>34</v>
      </c>
      <c r="AA413" s="173"/>
      <c r="AB413" s="170"/>
    </row>
    <row r="414" spans="1:28" ht="78" customHeight="1" x14ac:dyDescent="0.2">
      <c r="A414" s="184"/>
      <c r="B414" s="185"/>
      <c r="C414" s="185"/>
      <c r="D414" s="185"/>
      <c r="E414" s="185"/>
      <c r="F414" s="185"/>
      <c r="G414" s="186"/>
      <c r="H414" s="18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9" t="s">
        <v>35</v>
      </c>
      <c r="V414" s="16" t="s">
        <v>36</v>
      </c>
      <c r="W414" s="16" t="s">
        <v>37</v>
      </c>
      <c r="X414" s="16" t="s">
        <v>38</v>
      </c>
      <c r="Y414" s="169"/>
      <c r="Z414" s="18" t="s">
        <v>39</v>
      </c>
      <c r="AA414" s="17" t="s">
        <v>40</v>
      </c>
      <c r="AB414" s="169"/>
    </row>
    <row r="415" spans="1:28" ht="14.25" customHeight="1" x14ac:dyDescent="0.2">
      <c r="A415" s="150" t="s">
        <v>41</v>
      </c>
      <c r="B415" s="151"/>
      <c r="C415" s="151"/>
      <c r="D415" s="151"/>
      <c r="E415" s="151"/>
      <c r="F415" s="151"/>
      <c r="G415" s="152"/>
      <c r="H415" s="74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53" t="s">
        <v>43</v>
      </c>
      <c r="B416" s="154"/>
      <c r="C416" s="154"/>
      <c r="D416" s="154"/>
      <c r="E416" s="154"/>
      <c r="F416" s="154"/>
      <c r="G416" s="155"/>
      <c r="H416" s="75">
        <v>1</v>
      </c>
      <c r="I416" s="31">
        <v>5047</v>
      </c>
      <c r="J416" s="31">
        <v>2333</v>
      </c>
      <c r="K416" s="31">
        <v>19</v>
      </c>
      <c r="L416" s="31">
        <v>1</v>
      </c>
      <c r="M416" s="31">
        <v>17</v>
      </c>
      <c r="N416" s="31">
        <v>0</v>
      </c>
      <c r="O416" s="31">
        <v>1920</v>
      </c>
      <c r="P416" s="31">
        <v>1821</v>
      </c>
      <c r="Q416" s="31">
        <v>71</v>
      </c>
      <c r="R416" s="31">
        <v>13</v>
      </c>
      <c r="S416" s="31">
        <v>15</v>
      </c>
      <c r="T416" s="31">
        <v>2</v>
      </c>
      <c r="U416" s="31">
        <v>134</v>
      </c>
      <c r="V416" s="31">
        <v>35</v>
      </c>
      <c r="W416" s="31">
        <v>260</v>
      </c>
      <c r="X416" s="31">
        <v>82</v>
      </c>
      <c r="Y416" s="31">
        <v>1762</v>
      </c>
      <c r="Z416" s="31">
        <v>1680</v>
      </c>
      <c r="AA416" s="31">
        <v>0</v>
      </c>
      <c r="AB416" s="31">
        <v>3024</v>
      </c>
    </row>
    <row r="417" spans="1:28" ht="21" customHeight="1" x14ac:dyDescent="0.2">
      <c r="A417" s="156" t="s">
        <v>181</v>
      </c>
      <c r="B417" s="158"/>
      <c r="C417" s="165" t="s">
        <v>51</v>
      </c>
      <c r="D417" s="166"/>
      <c r="E417" s="166"/>
      <c r="F417" s="166"/>
      <c r="G417" s="167"/>
      <c r="H417" s="75">
        <v>2</v>
      </c>
      <c r="I417" s="31">
        <v>53</v>
      </c>
      <c r="J417" s="31">
        <v>39</v>
      </c>
      <c r="K417" s="31">
        <v>4</v>
      </c>
      <c r="L417" s="31">
        <v>0</v>
      </c>
      <c r="M417" s="31">
        <v>4</v>
      </c>
      <c r="N417" s="31">
        <v>0</v>
      </c>
      <c r="O417" s="31">
        <v>24</v>
      </c>
      <c r="P417" s="31">
        <v>23</v>
      </c>
      <c r="Q417" s="31">
        <v>0</v>
      </c>
      <c r="R417" s="31">
        <v>1</v>
      </c>
      <c r="S417" s="31">
        <v>0</v>
      </c>
      <c r="T417" s="31">
        <v>0</v>
      </c>
      <c r="U417" s="31">
        <v>4</v>
      </c>
      <c r="V417" s="31">
        <v>4</v>
      </c>
      <c r="W417" s="31">
        <v>10</v>
      </c>
      <c r="X417" s="31">
        <v>1</v>
      </c>
      <c r="Y417" s="31">
        <v>9</v>
      </c>
      <c r="Z417" s="31">
        <v>3</v>
      </c>
      <c r="AA417" s="31">
        <v>0</v>
      </c>
      <c r="AB417" s="31">
        <v>19</v>
      </c>
    </row>
    <row r="418" spans="1:28" ht="21" customHeight="1" x14ac:dyDescent="0.2">
      <c r="A418" s="159"/>
      <c r="B418" s="161"/>
      <c r="C418" s="165" t="s">
        <v>52</v>
      </c>
      <c r="D418" s="166"/>
      <c r="E418" s="166"/>
      <c r="F418" s="166"/>
      <c r="G418" s="167"/>
      <c r="H418" s="75">
        <v>3</v>
      </c>
      <c r="I418" s="31">
        <v>1500</v>
      </c>
      <c r="J418" s="31">
        <v>851</v>
      </c>
      <c r="K418" s="31">
        <v>10</v>
      </c>
      <c r="L418" s="31">
        <v>1</v>
      </c>
      <c r="M418" s="31">
        <v>9</v>
      </c>
      <c r="N418" s="31">
        <v>0</v>
      </c>
      <c r="O418" s="31">
        <v>618</v>
      </c>
      <c r="P418" s="31">
        <v>611</v>
      </c>
      <c r="Q418" s="31">
        <v>0</v>
      </c>
      <c r="R418" s="31">
        <v>4</v>
      </c>
      <c r="S418" s="31">
        <v>3</v>
      </c>
      <c r="T418" s="31">
        <v>0</v>
      </c>
      <c r="U418" s="31">
        <v>94</v>
      </c>
      <c r="V418" s="31">
        <v>30</v>
      </c>
      <c r="W418" s="31">
        <v>109</v>
      </c>
      <c r="X418" s="31">
        <v>47</v>
      </c>
      <c r="Y418" s="31">
        <v>560</v>
      </c>
      <c r="Z418" s="31">
        <v>505</v>
      </c>
      <c r="AA418" s="31">
        <v>0</v>
      </c>
      <c r="AB418" s="31">
        <v>817</v>
      </c>
    </row>
    <row r="419" spans="1:28" ht="21" customHeight="1" x14ac:dyDescent="0.2">
      <c r="A419" s="159"/>
      <c r="B419" s="161"/>
      <c r="C419" s="165" t="s">
        <v>182</v>
      </c>
      <c r="D419" s="166"/>
      <c r="E419" s="166"/>
      <c r="F419" s="166"/>
      <c r="G419" s="167"/>
      <c r="H419" s="75">
        <v>4</v>
      </c>
      <c r="I419" s="31">
        <v>3207</v>
      </c>
      <c r="J419" s="31">
        <v>1439</v>
      </c>
      <c r="K419" s="31">
        <v>5</v>
      </c>
      <c r="L419" s="31">
        <v>0</v>
      </c>
      <c r="M419" s="31">
        <v>4</v>
      </c>
      <c r="N419" s="31">
        <v>0</v>
      </c>
      <c r="O419" s="31">
        <v>1275</v>
      </c>
      <c r="P419" s="31">
        <v>1184</v>
      </c>
      <c r="Q419" s="31">
        <v>71</v>
      </c>
      <c r="R419" s="31">
        <v>8</v>
      </c>
      <c r="S419" s="31">
        <v>12</v>
      </c>
      <c r="T419" s="31">
        <v>0</v>
      </c>
      <c r="U419" s="31">
        <v>35</v>
      </c>
      <c r="V419" s="31">
        <v>1</v>
      </c>
      <c r="W419" s="31">
        <v>141</v>
      </c>
      <c r="X419" s="31">
        <v>34</v>
      </c>
      <c r="Y419" s="31">
        <v>1071</v>
      </c>
      <c r="Z419" s="31">
        <v>1050</v>
      </c>
      <c r="AA419" s="31">
        <v>0</v>
      </c>
      <c r="AB419" s="31">
        <v>1906</v>
      </c>
    </row>
    <row r="420" spans="1:28" ht="21" customHeight="1" x14ac:dyDescent="0.2">
      <c r="A420" s="162"/>
      <c r="B420" s="164"/>
      <c r="C420" s="165" t="s">
        <v>49</v>
      </c>
      <c r="D420" s="166"/>
      <c r="E420" s="166"/>
      <c r="F420" s="166"/>
      <c r="G420" s="167"/>
      <c r="H420" s="75">
        <v>5</v>
      </c>
      <c r="I420" s="31">
        <v>287</v>
      </c>
      <c r="J420" s="31">
        <v>4</v>
      </c>
      <c r="K420" s="31">
        <v>0</v>
      </c>
      <c r="L420" s="31">
        <v>0</v>
      </c>
      <c r="M420" s="31">
        <v>0</v>
      </c>
      <c r="N420" s="31">
        <v>0</v>
      </c>
      <c r="O420" s="31">
        <v>3</v>
      </c>
      <c r="P420" s="31">
        <v>3</v>
      </c>
      <c r="Q420" s="31">
        <v>0</v>
      </c>
      <c r="R420" s="31">
        <v>0</v>
      </c>
      <c r="S420" s="31">
        <v>0</v>
      </c>
      <c r="T420" s="31">
        <v>2</v>
      </c>
      <c r="U420" s="31">
        <v>1</v>
      </c>
      <c r="V420" s="31">
        <v>0</v>
      </c>
      <c r="W420" s="31">
        <v>0</v>
      </c>
      <c r="X420" s="31">
        <v>0</v>
      </c>
      <c r="Y420" s="31">
        <v>122</v>
      </c>
      <c r="Z420" s="31">
        <v>122</v>
      </c>
      <c r="AA420" s="31">
        <v>0</v>
      </c>
      <c r="AB420" s="31">
        <v>282</v>
      </c>
    </row>
    <row r="421" spans="1:28" ht="39" customHeight="1" x14ac:dyDescent="0.2">
      <c r="A421" s="144" t="s">
        <v>165</v>
      </c>
      <c r="B421" s="138" t="s">
        <v>489</v>
      </c>
      <c r="C421" s="139"/>
      <c r="D421" s="139"/>
      <c r="E421" s="139"/>
      <c r="F421" s="139"/>
      <c r="G421" s="140"/>
      <c r="H421" s="75">
        <v>6</v>
      </c>
      <c r="I421" s="31">
        <v>76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37</v>
      </c>
      <c r="Z421" s="31">
        <v>37</v>
      </c>
      <c r="AA421" s="31">
        <v>0</v>
      </c>
      <c r="AB421" s="31">
        <v>76</v>
      </c>
    </row>
    <row r="422" spans="1:28" ht="27.2" customHeight="1" x14ac:dyDescent="0.2">
      <c r="A422" s="145"/>
      <c r="B422" s="190" t="s">
        <v>32</v>
      </c>
      <c r="C422" s="138" t="s">
        <v>490</v>
      </c>
      <c r="D422" s="139"/>
      <c r="E422" s="139"/>
      <c r="F422" s="139"/>
      <c r="G422" s="140"/>
      <c r="H422" s="75">
        <v>7</v>
      </c>
      <c r="I422" s="31">
        <v>5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1</v>
      </c>
      <c r="Z422" s="31">
        <v>1</v>
      </c>
      <c r="AA422" s="31">
        <v>0</v>
      </c>
      <c r="AB422" s="31">
        <v>5</v>
      </c>
    </row>
    <row r="423" spans="1:28" ht="26.25" customHeight="1" x14ac:dyDescent="0.2">
      <c r="A423" s="145"/>
      <c r="B423" s="191"/>
      <c r="C423" s="139" t="s">
        <v>491</v>
      </c>
      <c r="D423" s="139"/>
      <c r="E423" s="139"/>
      <c r="F423" s="139"/>
      <c r="G423" s="140"/>
      <c r="H423" s="75">
        <v>8</v>
      </c>
      <c r="I423" s="54">
        <v>71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36</v>
      </c>
      <c r="Z423" s="31">
        <v>36</v>
      </c>
      <c r="AA423" s="31">
        <v>0</v>
      </c>
      <c r="AB423" s="31">
        <v>71</v>
      </c>
    </row>
    <row r="424" spans="1:28" ht="69.75" customHeight="1" x14ac:dyDescent="0.2">
      <c r="A424" s="145"/>
      <c r="B424" s="138" t="s">
        <v>492</v>
      </c>
      <c r="C424" s="139"/>
      <c r="D424" s="139"/>
      <c r="E424" s="139"/>
      <c r="F424" s="139"/>
      <c r="G424" s="140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45"/>
      <c r="B425" s="138" t="s">
        <v>493</v>
      </c>
      <c r="C425" s="139"/>
      <c r="D425" s="139"/>
      <c r="E425" s="139"/>
      <c r="F425" s="139"/>
      <c r="G425" s="140"/>
      <c r="H425" s="75">
        <v>10</v>
      </c>
      <c r="I425" s="31">
        <v>9</v>
      </c>
      <c r="J425" s="31">
        <v>3</v>
      </c>
      <c r="K425" s="31">
        <v>0</v>
      </c>
      <c r="L425" s="31">
        <v>0</v>
      </c>
      <c r="M425" s="31">
        <v>0</v>
      </c>
      <c r="N425" s="31">
        <v>0</v>
      </c>
      <c r="O425" s="31">
        <v>3</v>
      </c>
      <c r="P425" s="31">
        <v>3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1</v>
      </c>
      <c r="W425" s="31">
        <v>0</v>
      </c>
      <c r="X425" s="31">
        <v>1</v>
      </c>
      <c r="Y425" s="31">
        <v>2</v>
      </c>
      <c r="Z425" s="31">
        <v>2</v>
      </c>
      <c r="AA425" s="31">
        <v>0</v>
      </c>
      <c r="AB425" s="31">
        <v>6</v>
      </c>
    </row>
    <row r="426" spans="1:28" ht="27.2" customHeight="1" x14ac:dyDescent="0.2">
      <c r="A426" s="145"/>
      <c r="B426" s="138" t="s">
        <v>821</v>
      </c>
      <c r="C426" s="139"/>
      <c r="D426" s="139"/>
      <c r="E426" s="139"/>
      <c r="F426" s="139"/>
      <c r="G426" s="140"/>
      <c r="H426" s="75">
        <v>11</v>
      </c>
      <c r="I426" s="31">
        <v>3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3</v>
      </c>
    </row>
    <row r="427" spans="1:28" ht="27.2" customHeight="1" x14ac:dyDescent="0.2">
      <c r="A427" s="145"/>
      <c r="B427" s="138" t="s">
        <v>495</v>
      </c>
      <c r="C427" s="139"/>
      <c r="D427" s="139"/>
      <c r="E427" s="139"/>
      <c r="F427" s="139"/>
      <c r="G427" s="140"/>
      <c r="H427" s="75">
        <v>12</v>
      </c>
      <c r="I427" s="31">
        <v>1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1</v>
      </c>
      <c r="Z427" s="31">
        <v>1</v>
      </c>
      <c r="AA427" s="31">
        <v>0</v>
      </c>
      <c r="AB427" s="31">
        <v>1</v>
      </c>
    </row>
    <row r="428" spans="1:28" ht="27.2" customHeight="1" x14ac:dyDescent="0.2">
      <c r="A428" s="145"/>
      <c r="B428" s="190" t="s">
        <v>32</v>
      </c>
      <c r="C428" s="138" t="s">
        <v>496</v>
      </c>
      <c r="D428" s="139"/>
      <c r="E428" s="139"/>
      <c r="F428" s="139"/>
      <c r="G428" s="140"/>
      <c r="H428" s="75">
        <v>13</v>
      </c>
      <c r="I428" s="31">
        <v>1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1</v>
      </c>
      <c r="Z428" s="31">
        <v>1</v>
      </c>
      <c r="AA428" s="31">
        <v>0</v>
      </c>
      <c r="AB428" s="31">
        <v>1</v>
      </c>
    </row>
    <row r="429" spans="1:28" ht="26.25" customHeight="1" x14ac:dyDescent="0.2">
      <c r="A429" s="145"/>
      <c r="B429" s="191"/>
      <c r="C429" s="139" t="s">
        <v>497</v>
      </c>
      <c r="D429" s="139"/>
      <c r="E429" s="139"/>
      <c r="F429" s="139"/>
      <c r="G429" s="140"/>
      <c r="H429" s="75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45"/>
      <c r="B430" s="138" t="s">
        <v>498</v>
      </c>
      <c r="C430" s="139"/>
      <c r="D430" s="139"/>
      <c r="E430" s="139"/>
      <c r="F430" s="139"/>
      <c r="G430" s="140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45"/>
      <c r="B431" s="190" t="s">
        <v>32</v>
      </c>
      <c r="C431" s="138" t="s">
        <v>499</v>
      </c>
      <c r="D431" s="139"/>
      <c r="E431" s="139"/>
      <c r="F431" s="139"/>
      <c r="G431" s="140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45"/>
      <c r="B432" s="191"/>
      <c r="C432" s="139" t="s">
        <v>500</v>
      </c>
      <c r="D432" s="139"/>
      <c r="E432" s="139"/>
      <c r="F432" s="139"/>
      <c r="G432" s="140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45"/>
      <c r="B433" s="138" t="s">
        <v>501</v>
      </c>
      <c r="C433" s="139"/>
      <c r="D433" s="139"/>
      <c r="E433" s="139"/>
      <c r="F433" s="139"/>
      <c r="G433" s="140"/>
      <c r="H433" s="75">
        <v>18</v>
      </c>
      <c r="I433" s="31">
        <v>0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0</v>
      </c>
    </row>
    <row r="434" spans="1:28" ht="27.2" customHeight="1" x14ac:dyDescent="0.2">
      <c r="A434" s="145"/>
      <c r="B434" s="190" t="s">
        <v>32</v>
      </c>
      <c r="C434" s="138" t="s">
        <v>502</v>
      </c>
      <c r="D434" s="139"/>
      <c r="E434" s="139"/>
      <c r="F434" s="139"/>
      <c r="G434" s="140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45"/>
      <c r="B435" s="191"/>
      <c r="C435" s="139" t="s">
        <v>503</v>
      </c>
      <c r="D435" s="139"/>
      <c r="E435" s="139"/>
      <c r="F435" s="139"/>
      <c r="G435" s="140"/>
      <c r="H435" s="75">
        <v>20</v>
      </c>
      <c r="I435" s="54">
        <v>0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45"/>
      <c r="B436" s="138" t="s">
        <v>504</v>
      </c>
      <c r="C436" s="139"/>
      <c r="D436" s="139"/>
      <c r="E436" s="139"/>
      <c r="F436" s="139"/>
      <c r="G436" s="140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45"/>
      <c r="B437" s="190" t="s">
        <v>32</v>
      </c>
      <c r="C437" s="138" t="s">
        <v>505</v>
      </c>
      <c r="D437" s="139"/>
      <c r="E437" s="139"/>
      <c r="F437" s="139"/>
      <c r="G437" s="140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45"/>
      <c r="B438" s="191"/>
      <c r="C438" s="139" t="s">
        <v>506</v>
      </c>
      <c r="D438" s="139"/>
      <c r="E438" s="139"/>
      <c r="F438" s="139"/>
      <c r="G438" s="140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45"/>
      <c r="B439" s="138" t="s">
        <v>507</v>
      </c>
      <c r="C439" s="139"/>
      <c r="D439" s="139"/>
      <c r="E439" s="139"/>
      <c r="F439" s="139"/>
      <c r="G439" s="140"/>
      <c r="H439" s="75">
        <v>24</v>
      </c>
      <c r="I439" s="31">
        <v>1</v>
      </c>
      <c r="J439" s="31">
        <v>1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1</v>
      </c>
    </row>
    <row r="440" spans="1:28" ht="27.2" customHeight="1" x14ac:dyDescent="0.2">
      <c r="A440" s="145"/>
      <c r="B440" s="190" t="s">
        <v>32</v>
      </c>
      <c r="C440" s="138" t="s">
        <v>508</v>
      </c>
      <c r="D440" s="139"/>
      <c r="E440" s="139"/>
      <c r="F440" s="139"/>
      <c r="G440" s="140"/>
      <c r="H440" s="75">
        <v>25</v>
      </c>
      <c r="I440" s="31">
        <v>1</v>
      </c>
      <c r="J440" s="31">
        <v>1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1</v>
      </c>
    </row>
    <row r="441" spans="1:28" ht="26.25" customHeight="1" x14ac:dyDescent="0.2">
      <c r="A441" s="145"/>
      <c r="B441" s="191"/>
      <c r="C441" s="139" t="s">
        <v>509</v>
      </c>
      <c r="D441" s="139"/>
      <c r="E441" s="139"/>
      <c r="F441" s="139"/>
      <c r="G441" s="140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45"/>
      <c r="B442" s="138" t="s">
        <v>510</v>
      </c>
      <c r="C442" s="139"/>
      <c r="D442" s="139"/>
      <c r="E442" s="139"/>
      <c r="F442" s="139"/>
      <c r="G442" s="140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45"/>
      <c r="B443" s="138" t="s">
        <v>511</v>
      </c>
      <c r="C443" s="139"/>
      <c r="D443" s="139"/>
      <c r="E443" s="139"/>
      <c r="F443" s="139"/>
      <c r="G443" s="140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45"/>
      <c r="B444" s="138" t="s">
        <v>512</v>
      </c>
      <c r="C444" s="139"/>
      <c r="D444" s="139"/>
      <c r="E444" s="139"/>
      <c r="F444" s="139"/>
      <c r="G444" s="140"/>
      <c r="H444" s="75">
        <v>29</v>
      </c>
      <c r="I444" s="31">
        <v>3509</v>
      </c>
      <c r="J444" s="31">
        <v>1512</v>
      </c>
      <c r="K444" s="31">
        <v>2</v>
      </c>
      <c r="L444" s="31">
        <v>0</v>
      </c>
      <c r="M444" s="31">
        <v>2</v>
      </c>
      <c r="N444" s="31">
        <v>0</v>
      </c>
      <c r="O444" s="31">
        <v>1312</v>
      </c>
      <c r="P444" s="31">
        <v>1236</v>
      </c>
      <c r="Q444" s="31">
        <v>69</v>
      </c>
      <c r="R444" s="31">
        <v>0</v>
      </c>
      <c r="S444" s="31">
        <v>7</v>
      </c>
      <c r="T444" s="31">
        <v>0</v>
      </c>
      <c r="U444" s="31">
        <v>16</v>
      </c>
      <c r="V444" s="31">
        <v>0</v>
      </c>
      <c r="W444" s="31">
        <v>0</v>
      </c>
      <c r="X444" s="31">
        <v>24</v>
      </c>
      <c r="Y444" s="31">
        <v>1133</v>
      </c>
      <c r="Z444" s="31">
        <v>1079</v>
      </c>
      <c r="AA444" s="31">
        <v>0</v>
      </c>
      <c r="AB444" s="31">
        <v>2141</v>
      </c>
    </row>
    <row r="445" spans="1:28" ht="30" customHeight="1" x14ac:dyDescent="0.2">
      <c r="A445" s="145"/>
      <c r="B445" s="39" t="s">
        <v>34</v>
      </c>
      <c r="C445" s="138" t="s">
        <v>513</v>
      </c>
      <c r="D445" s="139"/>
      <c r="E445" s="139"/>
      <c r="F445" s="139"/>
      <c r="G445" s="140"/>
      <c r="H445" s="75">
        <v>30</v>
      </c>
      <c r="I445" s="31">
        <v>532</v>
      </c>
      <c r="J445" s="31">
        <v>246</v>
      </c>
      <c r="K445" s="31">
        <v>1</v>
      </c>
      <c r="L445" s="31">
        <v>0</v>
      </c>
      <c r="M445" s="31">
        <v>1</v>
      </c>
      <c r="N445" s="31">
        <v>0</v>
      </c>
      <c r="O445" s="31">
        <v>178</v>
      </c>
      <c r="P445" s="31">
        <v>175</v>
      </c>
      <c r="Q445" s="31">
        <v>0</v>
      </c>
      <c r="R445" s="31">
        <v>0</v>
      </c>
      <c r="S445" s="31">
        <v>3</v>
      </c>
      <c r="T445" s="31">
        <v>0</v>
      </c>
      <c r="U445" s="31">
        <v>5</v>
      </c>
      <c r="V445" s="31">
        <v>0</v>
      </c>
      <c r="W445" s="31">
        <v>0</v>
      </c>
      <c r="X445" s="31">
        <v>5</v>
      </c>
      <c r="Y445" s="31">
        <v>215</v>
      </c>
      <c r="Z445" s="31">
        <v>186</v>
      </c>
      <c r="AA445" s="31">
        <v>0</v>
      </c>
      <c r="AB445" s="31">
        <v>324</v>
      </c>
    </row>
    <row r="446" spans="1:28" ht="44.25" customHeight="1" x14ac:dyDescent="0.2">
      <c r="A446" s="145"/>
      <c r="B446" s="138" t="s">
        <v>515</v>
      </c>
      <c r="C446" s="139"/>
      <c r="D446" s="139"/>
      <c r="E446" s="139"/>
      <c r="F446" s="139"/>
      <c r="G446" s="140"/>
      <c r="H446" s="75">
        <v>31</v>
      </c>
      <c r="I446" s="31">
        <v>32</v>
      </c>
      <c r="J446" s="31">
        <v>9</v>
      </c>
      <c r="K446" s="31">
        <v>0</v>
      </c>
      <c r="L446" s="31">
        <v>0</v>
      </c>
      <c r="M446" s="31">
        <v>0</v>
      </c>
      <c r="N446" s="31">
        <v>0</v>
      </c>
      <c r="O446" s="31">
        <v>8</v>
      </c>
      <c r="P446" s="31">
        <v>8</v>
      </c>
      <c r="Q446" s="31">
        <v>0</v>
      </c>
      <c r="R446" s="31">
        <v>0</v>
      </c>
      <c r="S446" s="31">
        <v>0</v>
      </c>
      <c r="T446" s="31">
        <v>0</v>
      </c>
      <c r="U446" s="31">
        <v>2</v>
      </c>
      <c r="V446" s="31">
        <v>0</v>
      </c>
      <c r="W446" s="31">
        <v>4</v>
      </c>
      <c r="X446" s="31">
        <v>0</v>
      </c>
      <c r="Y446" s="31">
        <v>1</v>
      </c>
      <c r="Z446" s="31">
        <v>1</v>
      </c>
      <c r="AA446" s="31">
        <v>0</v>
      </c>
      <c r="AB446" s="31">
        <v>24</v>
      </c>
    </row>
    <row r="447" spans="1:28" ht="28.5" customHeight="1" x14ac:dyDescent="0.2">
      <c r="A447" s="146"/>
      <c r="B447" s="138" t="s">
        <v>516</v>
      </c>
      <c r="C447" s="139"/>
      <c r="D447" s="139"/>
      <c r="E447" s="139"/>
      <c r="F447" s="139"/>
      <c r="G447" s="140"/>
      <c r="H447" s="75">
        <v>32</v>
      </c>
      <c r="I447" s="31">
        <v>2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2</v>
      </c>
    </row>
    <row r="448" spans="1:28" ht="14.25" customHeight="1" x14ac:dyDescent="0.2">
      <c r="A448" s="150" t="s">
        <v>41</v>
      </c>
      <c r="B448" s="151"/>
      <c r="C448" s="151"/>
      <c r="D448" s="151"/>
      <c r="E448" s="151"/>
      <c r="F448" s="151"/>
      <c r="G448" s="152"/>
      <c r="H448" s="74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44" t="s">
        <v>165</v>
      </c>
      <c r="B449" s="138" t="s">
        <v>517</v>
      </c>
      <c r="C449" s="139"/>
      <c r="D449" s="139"/>
      <c r="E449" s="139"/>
      <c r="F449" s="139"/>
      <c r="G449" s="140"/>
      <c r="H449" s="75">
        <v>33</v>
      </c>
      <c r="I449" s="31">
        <v>572</v>
      </c>
      <c r="J449" s="31">
        <v>509</v>
      </c>
      <c r="K449" s="31">
        <v>16</v>
      </c>
      <c r="L449" s="31">
        <v>1</v>
      </c>
      <c r="M449" s="31">
        <v>14</v>
      </c>
      <c r="N449" s="31">
        <v>0</v>
      </c>
      <c r="O449" s="31">
        <v>381</v>
      </c>
      <c r="P449" s="31">
        <v>361</v>
      </c>
      <c r="Q449" s="31">
        <v>2</v>
      </c>
      <c r="R449" s="31">
        <v>13</v>
      </c>
      <c r="S449" s="31">
        <v>5</v>
      </c>
      <c r="T449" s="31">
        <v>0</v>
      </c>
      <c r="U449" s="31">
        <v>105</v>
      </c>
      <c r="V449" s="31">
        <v>34</v>
      </c>
      <c r="W449" s="31">
        <v>59</v>
      </c>
      <c r="X449" s="31">
        <v>54</v>
      </c>
      <c r="Y449" s="31">
        <v>136</v>
      </c>
      <c r="Z449" s="31">
        <v>136</v>
      </c>
      <c r="AA449" s="31">
        <v>0</v>
      </c>
      <c r="AB449" s="31">
        <v>175</v>
      </c>
    </row>
    <row r="450" spans="1:28" ht="21.75" customHeight="1" x14ac:dyDescent="0.2">
      <c r="A450" s="145"/>
      <c r="B450" s="224" t="s">
        <v>518</v>
      </c>
      <c r="C450" s="165" t="s">
        <v>324</v>
      </c>
      <c r="D450" s="166"/>
      <c r="E450" s="166"/>
      <c r="F450" s="166"/>
      <c r="G450" s="167"/>
      <c r="H450" s="75">
        <v>34</v>
      </c>
      <c r="I450" s="31">
        <v>5</v>
      </c>
      <c r="J450" s="31">
        <v>3</v>
      </c>
      <c r="K450" s="31">
        <v>0</v>
      </c>
      <c r="L450" s="31">
        <v>0</v>
      </c>
      <c r="M450" s="31">
        <v>0</v>
      </c>
      <c r="N450" s="31">
        <v>0</v>
      </c>
      <c r="O450" s="31">
        <v>3</v>
      </c>
      <c r="P450" s="31">
        <v>3</v>
      </c>
      <c r="Q450" s="31">
        <v>0</v>
      </c>
      <c r="R450" s="31">
        <v>0</v>
      </c>
      <c r="S450" s="31">
        <v>0</v>
      </c>
      <c r="T450" s="31">
        <v>0</v>
      </c>
      <c r="U450" s="31">
        <v>2</v>
      </c>
      <c r="V450" s="31">
        <v>0</v>
      </c>
      <c r="W450" s="31">
        <v>1</v>
      </c>
      <c r="X450" s="31">
        <v>0</v>
      </c>
      <c r="Y450" s="31">
        <v>3</v>
      </c>
      <c r="Z450" s="31">
        <v>3</v>
      </c>
      <c r="AA450" s="31">
        <v>0</v>
      </c>
      <c r="AB450" s="31">
        <v>2</v>
      </c>
    </row>
    <row r="451" spans="1:28" ht="27.2" customHeight="1" x14ac:dyDescent="0.2">
      <c r="A451" s="145"/>
      <c r="B451" s="225"/>
      <c r="C451" s="165" t="s">
        <v>325</v>
      </c>
      <c r="D451" s="166"/>
      <c r="E451" s="166"/>
      <c r="F451" s="166"/>
      <c r="G451" s="167"/>
      <c r="H451" s="75">
        <v>35</v>
      </c>
      <c r="I451" s="31">
        <v>529</v>
      </c>
      <c r="J451" s="31">
        <v>478</v>
      </c>
      <c r="K451" s="31">
        <v>16</v>
      </c>
      <c r="L451" s="31">
        <v>1</v>
      </c>
      <c r="M451" s="31">
        <v>14</v>
      </c>
      <c r="N451" s="31">
        <v>0</v>
      </c>
      <c r="O451" s="31">
        <v>363</v>
      </c>
      <c r="P451" s="31">
        <v>343</v>
      </c>
      <c r="Q451" s="31">
        <v>2</v>
      </c>
      <c r="R451" s="31">
        <v>13</v>
      </c>
      <c r="S451" s="31">
        <v>5</v>
      </c>
      <c r="T451" s="31">
        <v>0</v>
      </c>
      <c r="U451" s="31">
        <v>99</v>
      </c>
      <c r="V451" s="31">
        <v>31</v>
      </c>
      <c r="W451" s="31">
        <v>57</v>
      </c>
      <c r="X451" s="31">
        <v>50</v>
      </c>
      <c r="Y451" s="31">
        <v>118</v>
      </c>
      <c r="Z451" s="31">
        <v>118</v>
      </c>
      <c r="AA451" s="31">
        <v>0</v>
      </c>
      <c r="AB451" s="31">
        <v>150</v>
      </c>
    </row>
    <row r="452" spans="1:28" ht="26.25" customHeight="1" x14ac:dyDescent="0.2">
      <c r="A452" s="145"/>
      <c r="B452" s="225"/>
      <c r="C452" s="165" t="s">
        <v>519</v>
      </c>
      <c r="D452" s="166"/>
      <c r="E452" s="166"/>
      <c r="F452" s="166"/>
      <c r="G452" s="167"/>
      <c r="H452" s="75">
        <v>36</v>
      </c>
      <c r="I452" s="31">
        <v>17</v>
      </c>
      <c r="J452" s="31">
        <v>14</v>
      </c>
      <c r="K452" s="31">
        <v>1</v>
      </c>
      <c r="L452" s="31">
        <v>0</v>
      </c>
      <c r="M452" s="31">
        <v>1</v>
      </c>
      <c r="N452" s="31">
        <v>0</v>
      </c>
      <c r="O452" s="31">
        <v>6</v>
      </c>
      <c r="P452" s="31">
        <v>6</v>
      </c>
      <c r="Q452" s="31">
        <v>0</v>
      </c>
      <c r="R452" s="31">
        <v>0</v>
      </c>
      <c r="S452" s="31">
        <v>0</v>
      </c>
      <c r="T452" s="31">
        <v>0</v>
      </c>
      <c r="U452" s="31">
        <v>3</v>
      </c>
      <c r="V452" s="31">
        <v>1</v>
      </c>
      <c r="W452" s="31">
        <v>2</v>
      </c>
      <c r="X452" s="31">
        <v>0</v>
      </c>
      <c r="Y452" s="31">
        <v>1</v>
      </c>
      <c r="Z452" s="31">
        <v>1</v>
      </c>
      <c r="AA452" s="31">
        <v>0</v>
      </c>
      <c r="AB452" s="31">
        <v>10</v>
      </c>
    </row>
    <row r="453" spans="1:28" ht="22.5" customHeight="1" x14ac:dyDescent="0.2">
      <c r="A453" s="145"/>
      <c r="B453" s="225"/>
      <c r="C453" s="156" t="s">
        <v>520</v>
      </c>
      <c r="D453" s="158"/>
      <c r="E453" s="165" t="s">
        <v>521</v>
      </c>
      <c r="F453" s="166"/>
      <c r="G453" s="167"/>
      <c r="H453" s="75">
        <v>37</v>
      </c>
      <c r="I453" s="31">
        <v>442</v>
      </c>
      <c r="J453" s="31">
        <v>399</v>
      </c>
      <c r="K453" s="31">
        <v>10</v>
      </c>
      <c r="L453" s="31">
        <v>1</v>
      </c>
      <c r="M453" s="31">
        <v>8</v>
      </c>
      <c r="N453" s="31">
        <v>0</v>
      </c>
      <c r="O453" s="31">
        <v>306</v>
      </c>
      <c r="P453" s="31">
        <v>286</v>
      </c>
      <c r="Q453" s="31">
        <v>2</v>
      </c>
      <c r="R453" s="31">
        <v>13</v>
      </c>
      <c r="S453" s="31">
        <v>5</v>
      </c>
      <c r="T453" s="31">
        <v>0</v>
      </c>
      <c r="U453" s="31">
        <v>91</v>
      </c>
      <c r="V453" s="31">
        <v>26</v>
      </c>
      <c r="W453" s="31">
        <v>44</v>
      </c>
      <c r="X453" s="31">
        <v>49</v>
      </c>
      <c r="Y453" s="31">
        <v>87</v>
      </c>
      <c r="Z453" s="31">
        <v>87</v>
      </c>
      <c r="AA453" s="31">
        <v>0</v>
      </c>
      <c r="AB453" s="31">
        <v>126</v>
      </c>
    </row>
    <row r="454" spans="1:28" ht="22.5" customHeight="1" x14ac:dyDescent="0.2">
      <c r="A454" s="145"/>
      <c r="B454" s="225"/>
      <c r="C454" s="159"/>
      <c r="D454" s="161"/>
      <c r="E454" s="165" t="s">
        <v>522</v>
      </c>
      <c r="F454" s="166"/>
      <c r="G454" s="167"/>
      <c r="H454" s="75">
        <v>38</v>
      </c>
      <c r="I454" s="31">
        <v>3</v>
      </c>
      <c r="J454" s="31">
        <v>3</v>
      </c>
      <c r="K454" s="31">
        <v>0</v>
      </c>
      <c r="L454" s="31">
        <v>0</v>
      </c>
      <c r="M454" s="31">
        <v>0</v>
      </c>
      <c r="N454" s="31">
        <v>0</v>
      </c>
      <c r="O454" s="31">
        <v>3</v>
      </c>
      <c r="P454" s="31">
        <v>3</v>
      </c>
      <c r="Q454" s="31">
        <v>0</v>
      </c>
      <c r="R454" s="31">
        <v>0</v>
      </c>
      <c r="S454" s="31">
        <v>0</v>
      </c>
      <c r="T454" s="31">
        <v>0</v>
      </c>
      <c r="U454" s="31">
        <v>1</v>
      </c>
      <c r="V454" s="31">
        <v>2</v>
      </c>
      <c r="W454" s="31">
        <v>1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</row>
    <row r="455" spans="1:28" ht="22.5" customHeight="1" x14ac:dyDescent="0.2">
      <c r="A455" s="145"/>
      <c r="B455" s="225"/>
      <c r="C455" s="159"/>
      <c r="D455" s="161"/>
      <c r="E455" s="165" t="s">
        <v>523</v>
      </c>
      <c r="F455" s="166"/>
      <c r="G455" s="167"/>
      <c r="H455" s="75">
        <v>39</v>
      </c>
      <c r="I455" s="31">
        <v>6</v>
      </c>
      <c r="J455" s="31">
        <v>6</v>
      </c>
      <c r="K455" s="31">
        <v>1</v>
      </c>
      <c r="L455" s="31">
        <v>0</v>
      </c>
      <c r="M455" s="31">
        <v>1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1</v>
      </c>
      <c r="V455" s="31">
        <v>1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4</v>
      </c>
    </row>
    <row r="456" spans="1:28" ht="22.5" customHeight="1" x14ac:dyDescent="0.2">
      <c r="A456" s="145"/>
      <c r="B456" s="225"/>
      <c r="C456" s="162"/>
      <c r="D456" s="164"/>
      <c r="E456" s="165" t="s">
        <v>524</v>
      </c>
      <c r="F456" s="166"/>
      <c r="G456" s="167"/>
      <c r="H456" s="75">
        <v>40</v>
      </c>
      <c r="I456" s="31">
        <v>33</v>
      </c>
      <c r="J456" s="31">
        <v>26</v>
      </c>
      <c r="K456" s="31">
        <v>3</v>
      </c>
      <c r="L456" s="31">
        <v>0</v>
      </c>
      <c r="M456" s="31">
        <v>3</v>
      </c>
      <c r="N456" s="31">
        <v>0</v>
      </c>
      <c r="O456" s="31">
        <v>20</v>
      </c>
      <c r="P456" s="31">
        <v>20</v>
      </c>
      <c r="Q456" s="31">
        <v>0</v>
      </c>
      <c r="R456" s="31">
        <v>0</v>
      </c>
      <c r="S456" s="31">
        <v>0</v>
      </c>
      <c r="T456" s="31">
        <v>0</v>
      </c>
      <c r="U456" s="31">
        <v>5</v>
      </c>
      <c r="V456" s="31">
        <v>0</v>
      </c>
      <c r="W456" s="31">
        <v>1</v>
      </c>
      <c r="X456" s="31">
        <v>0</v>
      </c>
      <c r="Y456" s="31">
        <v>17</v>
      </c>
      <c r="Z456" s="31">
        <v>17</v>
      </c>
      <c r="AA456" s="31">
        <v>0</v>
      </c>
      <c r="AB456" s="31">
        <v>10</v>
      </c>
    </row>
    <row r="457" spans="1:28" ht="15.75" customHeight="1" x14ac:dyDescent="0.2">
      <c r="A457" s="145"/>
      <c r="B457" s="225"/>
      <c r="C457" s="165" t="s">
        <v>525</v>
      </c>
      <c r="D457" s="166"/>
      <c r="E457" s="166"/>
      <c r="F457" s="166"/>
      <c r="G457" s="167"/>
      <c r="H457" s="75">
        <v>41</v>
      </c>
      <c r="I457" s="31">
        <v>336</v>
      </c>
      <c r="J457" s="31">
        <v>297</v>
      </c>
      <c r="K457" s="31">
        <v>12</v>
      </c>
      <c r="L457" s="31">
        <v>0</v>
      </c>
      <c r="M457" s="31">
        <v>11</v>
      </c>
      <c r="N457" s="31">
        <v>0</v>
      </c>
      <c r="O457" s="31">
        <v>224</v>
      </c>
      <c r="P457" s="31">
        <v>211</v>
      </c>
      <c r="Q457" s="31">
        <v>1</v>
      </c>
      <c r="R457" s="31">
        <v>9</v>
      </c>
      <c r="S457" s="31">
        <v>3</v>
      </c>
      <c r="T457" s="31">
        <v>0</v>
      </c>
      <c r="U457" s="31">
        <v>64</v>
      </c>
      <c r="V457" s="31">
        <v>18</v>
      </c>
      <c r="W457" s="31">
        <v>41</v>
      </c>
      <c r="X457" s="31">
        <v>26</v>
      </c>
      <c r="Y457" s="31">
        <v>91</v>
      </c>
      <c r="Z457" s="31">
        <v>91</v>
      </c>
      <c r="AA457" s="31">
        <v>0</v>
      </c>
      <c r="AB457" s="31">
        <v>100</v>
      </c>
    </row>
    <row r="458" spans="1:28" ht="27.2" customHeight="1" x14ac:dyDescent="0.2">
      <c r="A458" s="145"/>
      <c r="B458" s="225"/>
      <c r="C458" s="224" t="s">
        <v>526</v>
      </c>
      <c r="D458" s="165" t="s">
        <v>324</v>
      </c>
      <c r="E458" s="166"/>
      <c r="F458" s="166"/>
      <c r="G458" s="167"/>
      <c r="H458" s="75">
        <v>42</v>
      </c>
      <c r="I458" s="31">
        <v>5</v>
      </c>
      <c r="J458" s="31">
        <v>3</v>
      </c>
      <c r="K458" s="31">
        <v>0</v>
      </c>
      <c r="L458" s="31">
        <v>0</v>
      </c>
      <c r="M458" s="31">
        <v>0</v>
      </c>
      <c r="N458" s="31">
        <v>0</v>
      </c>
      <c r="O458" s="31">
        <v>3</v>
      </c>
      <c r="P458" s="31">
        <v>3</v>
      </c>
      <c r="Q458" s="31">
        <v>0</v>
      </c>
      <c r="R458" s="31">
        <v>0</v>
      </c>
      <c r="S458" s="31">
        <v>0</v>
      </c>
      <c r="T458" s="31">
        <v>0</v>
      </c>
      <c r="U458" s="31">
        <v>2</v>
      </c>
      <c r="V458" s="31">
        <v>0</v>
      </c>
      <c r="W458" s="31">
        <v>1</v>
      </c>
      <c r="X458" s="31">
        <v>0</v>
      </c>
      <c r="Y458" s="31">
        <v>2</v>
      </c>
      <c r="Z458" s="31">
        <v>2</v>
      </c>
      <c r="AA458" s="31">
        <v>0</v>
      </c>
      <c r="AB458" s="31">
        <v>2</v>
      </c>
    </row>
    <row r="459" spans="1:28" ht="27.2" customHeight="1" x14ac:dyDescent="0.2">
      <c r="A459" s="145"/>
      <c r="B459" s="225"/>
      <c r="C459" s="225"/>
      <c r="D459" s="165" t="s">
        <v>325</v>
      </c>
      <c r="E459" s="166"/>
      <c r="F459" s="166"/>
      <c r="G459" s="167"/>
      <c r="H459" s="75">
        <v>43</v>
      </c>
      <c r="I459" s="31">
        <v>322</v>
      </c>
      <c r="J459" s="31">
        <v>289</v>
      </c>
      <c r="K459" s="31">
        <v>12</v>
      </c>
      <c r="L459" s="31">
        <v>0</v>
      </c>
      <c r="M459" s="31">
        <v>11</v>
      </c>
      <c r="N459" s="31">
        <v>0</v>
      </c>
      <c r="O459" s="31">
        <v>218</v>
      </c>
      <c r="P459" s="31">
        <v>205</v>
      </c>
      <c r="Q459" s="31">
        <v>1</v>
      </c>
      <c r="R459" s="31">
        <v>9</v>
      </c>
      <c r="S459" s="31">
        <v>3</v>
      </c>
      <c r="T459" s="31">
        <v>0</v>
      </c>
      <c r="U459" s="31">
        <v>61</v>
      </c>
      <c r="V459" s="31">
        <v>18</v>
      </c>
      <c r="W459" s="31">
        <v>40</v>
      </c>
      <c r="X459" s="31">
        <v>26</v>
      </c>
      <c r="Y459" s="31">
        <v>88</v>
      </c>
      <c r="Z459" s="31">
        <v>88</v>
      </c>
      <c r="AA459" s="31">
        <v>0</v>
      </c>
      <c r="AB459" s="31">
        <v>92</v>
      </c>
    </row>
    <row r="460" spans="1:28" ht="27.2" customHeight="1" x14ac:dyDescent="0.2">
      <c r="A460" s="145"/>
      <c r="B460" s="225"/>
      <c r="C460" s="225"/>
      <c r="D460" s="165" t="s">
        <v>519</v>
      </c>
      <c r="E460" s="166"/>
      <c r="F460" s="166"/>
      <c r="G460" s="167"/>
      <c r="H460" s="75">
        <v>44</v>
      </c>
      <c r="I460" s="31">
        <v>12</v>
      </c>
      <c r="J460" s="31">
        <v>11</v>
      </c>
      <c r="K460" s="31">
        <v>1</v>
      </c>
      <c r="L460" s="31">
        <v>0</v>
      </c>
      <c r="M460" s="31">
        <v>1</v>
      </c>
      <c r="N460" s="31">
        <v>0</v>
      </c>
      <c r="O460" s="31">
        <v>4</v>
      </c>
      <c r="P460" s="31">
        <v>4</v>
      </c>
      <c r="Q460" s="31">
        <v>0</v>
      </c>
      <c r="R460" s="31">
        <v>0</v>
      </c>
      <c r="S460" s="31">
        <v>0</v>
      </c>
      <c r="T460" s="31">
        <v>0</v>
      </c>
      <c r="U460" s="31">
        <v>2</v>
      </c>
      <c r="V460" s="31">
        <v>1</v>
      </c>
      <c r="W460" s="31">
        <v>1</v>
      </c>
      <c r="X460" s="31">
        <v>0</v>
      </c>
      <c r="Y460" s="31">
        <v>1</v>
      </c>
      <c r="Z460" s="31">
        <v>1</v>
      </c>
      <c r="AA460" s="31">
        <v>0</v>
      </c>
      <c r="AB460" s="31">
        <v>7</v>
      </c>
    </row>
    <row r="461" spans="1:28" ht="27.2" customHeight="1" x14ac:dyDescent="0.2">
      <c r="A461" s="145"/>
      <c r="B461" s="225"/>
      <c r="C461" s="225"/>
      <c r="D461" s="224" t="s">
        <v>527</v>
      </c>
      <c r="E461" s="165" t="s">
        <v>521</v>
      </c>
      <c r="F461" s="166"/>
      <c r="G461" s="167"/>
      <c r="H461" s="75">
        <v>45</v>
      </c>
      <c r="I461" s="31">
        <v>255</v>
      </c>
      <c r="J461" s="31">
        <v>229</v>
      </c>
      <c r="K461" s="31">
        <v>6</v>
      </c>
      <c r="L461" s="31">
        <v>0</v>
      </c>
      <c r="M461" s="31">
        <v>5</v>
      </c>
      <c r="N461" s="31">
        <v>0</v>
      </c>
      <c r="O461" s="31">
        <v>180</v>
      </c>
      <c r="P461" s="31">
        <v>167</v>
      </c>
      <c r="Q461" s="31">
        <v>1</v>
      </c>
      <c r="R461" s="31">
        <v>9</v>
      </c>
      <c r="S461" s="31">
        <v>3</v>
      </c>
      <c r="T461" s="31">
        <v>0</v>
      </c>
      <c r="U461" s="31">
        <v>53</v>
      </c>
      <c r="V461" s="31">
        <v>15</v>
      </c>
      <c r="W461" s="31">
        <v>30</v>
      </c>
      <c r="X461" s="31">
        <v>25</v>
      </c>
      <c r="Y461" s="31">
        <v>57</v>
      </c>
      <c r="Z461" s="31">
        <v>57</v>
      </c>
      <c r="AA461" s="31">
        <v>0</v>
      </c>
      <c r="AB461" s="31">
        <v>69</v>
      </c>
    </row>
    <row r="462" spans="1:28" ht="27.2" customHeight="1" x14ac:dyDescent="0.2">
      <c r="A462" s="145"/>
      <c r="B462" s="225"/>
      <c r="C462" s="225"/>
      <c r="D462" s="225"/>
      <c r="E462" s="165" t="s">
        <v>522</v>
      </c>
      <c r="F462" s="166"/>
      <c r="G462" s="167"/>
      <c r="H462" s="75">
        <v>46</v>
      </c>
      <c r="I462" s="31">
        <v>1</v>
      </c>
      <c r="J462" s="31">
        <v>1</v>
      </c>
      <c r="K462" s="31">
        <v>0</v>
      </c>
      <c r="L462" s="31">
        <v>0</v>
      </c>
      <c r="M462" s="31">
        <v>0</v>
      </c>
      <c r="N462" s="31">
        <v>0</v>
      </c>
      <c r="O462" s="31">
        <v>1</v>
      </c>
      <c r="P462" s="31">
        <v>1</v>
      </c>
      <c r="Q462" s="31">
        <v>0</v>
      </c>
      <c r="R462" s="31">
        <v>0</v>
      </c>
      <c r="S462" s="31">
        <v>0</v>
      </c>
      <c r="T462" s="31">
        <v>0</v>
      </c>
      <c r="U462" s="31">
        <v>1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</row>
    <row r="463" spans="1:28" ht="27.2" customHeight="1" x14ac:dyDescent="0.2">
      <c r="A463" s="145"/>
      <c r="B463" s="225"/>
      <c r="C463" s="225"/>
      <c r="D463" s="225"/>
      <c r="E463" s="165" t="s">
        <v>523</v>
      </c>
      <c r="F463" s="166"/>
      <c r="G463" s="167"/>
      <c r="H463" s="75">
        <v>47</v>
      </c>
      <c r="I463" s="31">
        <v>6</v>
      </c>
      <c r="J463" s="31">
        <v>6</v>
      </c>
      <c r="K463" s="31">
        <v>1</v>
      </c>
      <c r="L463" s="31">
        <v>0</v>
      </c>
      <c r="M463" s="31">
        <v>1</v>
      </c>
      <c r="N463" s="31">
        <v>0</v>
      </c>
      <c r="O463" s="31">
        <v>1</v>
      </c>
      <c r="P463" s="31">
        <v>1</v>
      </c>
      <c r="Q463" s="31">
        <v>0</v>
      </c>
      <c r="R463" s="31">
        <v>0</v>
      </c>
      <c r="S463" s="31">
        <v>0</v>
      </c>
      <c r="T463" s="31">
        <v>0</v>
      </c>
      <c r="U463" s="31">
        <v>1</v>
      </c>
      <c r="V463" s="31">
        <v>1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4</v>
      </c>
    </row>
    <row r="464" spans="1:28" ht="27.2" customHeight="1" x14ac:dyDescent="0.2">
      <c r="A464" s="145"/>
      <c r="B464" s="226"/>
      <c r="C464" s="226"/>
      <c r="D464" s="226"/>
      <c r="E464" s="165" t="s">
        <v>524</v>
      </c>
      <c r="F464" s="166"/>
      <c r="G464" s="167"/>
      <c r="H464" s="75">
        <v>48</v>
      </c>
      <c r="I464" s="31">
        <v>25</v>
      </c>
      <c r="J464" s="31">
        <v>21</v>
      </c>
      <c r="K464" s="31">
        <v>3</v>
      </c>
      <c r="L464" s="31">
        <v>0</v>
      </c>
      <c r="M464" s="31">
        <v>3</v>
      </c>
      <c r="N464" s="31">
        <v>0</v>
      </c>
      <c r="O464" s="31">
        <v>15</v>
      </c>
      <c r="P464" s="31">
        <v>15</v>
      </c>
      <c r="Q464" s="31">
        <v>0</v>
      </c>
      <c r="R464" s="31">
        <v>0</v>
      </c>
      <c r="S464" s="31">
        <v>0</v>
      </c>
      <c r="T464" s="31">
        <v>0</v>
      </c>
      <c r="U464" s="31">
        <v>5</v>
      </c>
      <c r="V464" s="31">
        <v>0</v>
      </c>
      <c r="W464" s="31">
        <v>1</v>
      </c>
      <c r="X464" s="31">
        <v>0</v>
      </c>
      <c r="Y464" s="31">
        <v>13</v>
      </c>
      <c r="Z464" s="31">
        <v>13</v>
      </c>
      <c r="AA464" s="31">
        <v>0</v>
      </c>
      <c r="AB464" s="31">
        <v>7</v>
      </c>
    </row>
    <row r="465" spans="1:29" ht="27.2" customHeight="1" x14ac:dyDescent="0.2">
      <c r="A465" s="145"/>
      <c r="B465" s="138" t="s">
        <v>528</v>
      </c>
      <c r="C465" s="139"/>
      <c r="D465" s="139"/>
      <c r="E465" s="139"/>
      <c r="F465" s="139"/>
      <c r="G465" s="140"/>
      <c r="H465" s="75">
        <v>49</v>
      </c>
      <c r="I465" s="31">
        <v>280</v>
      </c>
      <c r="J465" s="31">
        <v>3</v>
      </c>
      <c r="K465" s="31">
        <v>0</v>
      </c>
      <c r="L465" s="31">
        <v>0</v>
      </c>
      <c r="M465" s="31">
        <v>0</v>
      </c>
      <c r="N465" s="31">
        <v>0</v>
      </c>
      <c r="O465" s="31">
        <v>3</v>
      </c>
      <c r="P465" s="31">
        <v>3</v>
      </c>
      <c r="Q465" s="31">
        <v>0</v>
      </c>
      <c r="R465" s="31">
        <v>0</v>
      </c>
      <c r="S465" s="31">
        <v>0</v>
      </c>
      <c r="T465" s="31">
        <v>2</v>
      </c>
      <c r="U465" s="31">
        <v>1</v>
      </c>
      <c r="V465" s="31">
        <v>0</v>
      </c>
      <c r="W465" s="31">
        <v>0</v>
      </c>
      <c r="X465" s="31">
        <v>0</v>
      </c>
      <c r="Y465" s="31">
        <v>120</v>
      </c>
      <c r="Z465" s="31">
        <v>120</v>
      </c>
      <c r="AA465" s="31">
        <v>0</v>
      </c>
      <c r="AB465" s="31">
        <v>275</v>
      </c>
    </row>
    <row r="466" spans="1:29" ht="27" customHeight="1" x14ac:dyDescent="0.2">
      <c r="A466" s="145"/>
      <c r="B466" s="138" t="s">
        <v>529</v>
      </c>
      <c r="C466" s="139"/>
      <c r="D466" s="139"/>
      <c r="E466" s="139"/>
      <c r="F466" s="139"/>
      <c r="G466" s="140"/>
      <c r="H466" s="75">
        <v>50</v>
      </c>
      <c r="I466" s="31">
        <v>87</v>
      </c>
      <c r="J466" s="31">
        <v>13</v>
      </c>
      <c r="K466" s="31">
        <v>0</v>
      </c>
      <c r="L466" s="31">
        <v>0</v>
      </c>
      <c r="M466" s="31">
        <v>0</v>
      </c>
      <c r="N466" s="31">
        <v>0</v>
      </c>
      <c r="O466" s="31">
        <v>13</v>
      </c>
      <c r="P466" s="31">
        <v>11</v>
      </c>
      <c r="Q466" s="31">
        <v>0</v>
      </c>
      <c r="R466" s="31">
        <v>0</v>
      </c>
      <c r="S466" s="31">
        <v>2</v>
      </c>
      <c r="T466" s="31">
        <v>0</v>
      </c>
      <c r="U466" s="31">
        <v>0</v>
      </c>
      <c r="V466" s="31">
        <v>0</v>
      </c>
      <c r="W466" s="31">
        <v>3</v>
      </c>
      <c r="X466" s="31">
        <v>2</v>
      </c>
      <c r="Y466" s="31">
        <v>40</v>
      </c>
      <c r="Z466" s="31">
        <v>40</v>
      </c>
      <c r="AA466" s="31">
        <v>0</v>
      </c>
      <c r="AB466" s="31">
        <v>74</v>
      </c>
    </row>
    <row r="467" spans="1:29" ht="44.25" customHeight="1" x14ac:dyDescent="0.2">
      <c r="A467" s="145"/>
      <c r="B467" s="138" t="s">
        <v>530</v>
      </c>
      <c r="C467" s="139"/>
      <c r="D467" s="139"/>
      <c r="E467" s="139"/>
      <c r="F467" s="139"/>
      <c r="G467" s="140"/>
      <c r="H467" s="75">
        <v>51</v>
      </c>
      <c r="I467" s="31">
        <v>19</v>
      </c>
      <c r="J467" s="31">
        <v>0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4</v>
      </c>
      <c r="Z467" s="31">
        <v>4</v>
      </c>
      <c r="AA467" s="31">
        <v>0</v>
      </c>
      <c r="AB467" s="31">
        <v>19</v>
      </c>
    </row>
    <row r="468" spans="1:29" ht="27.2" customHeight="1" x14ac:dyDescent="0.2">
      <c r="A468" s="146"/>
      <c r="B468" s="138" t="s">
        <v>179</v>
      </c>
      <c r="C468" s="139"/>
      <c r="D468" s="139"/>
      <c r="E468" s="139"/>
      <c r="F468" s="139"/>
      <c r="G468" s="140"/>
      <c r="H468" s="75">
        <v>52</v>
      </c>
      <c r="I468" s="31">
        <v>456</v>
      </c>
      <c r="J468" s="31">
        <v>283</v>
      </c>
      <c r="K468" s="31">
        <v>1</v>
      </c>
      <c r="L468" s="31">
        <v>0</v>
      </c>
      <c r="M468" s="31">
        <v>1</v>
      </c>
      <c r="N468" s="31">
        <v>0</v>
      </c>
      <c r="O468" s="31">
        <v>200</v>
      </c>
      <c r="P468" s="31">
        <v>199</v>
      </c>
      <c r="Q468" s="31">
        <v>0</v>
      </c>
      <c r="R468" s="31">
        <v>0</v>
      </c>
      <c r="S468" s="31">
        <v>1</v>
      </c>
      <c r="T468" s="31">
        <v>0</v>
      </c>
      <c r="U468" s="31">
        <v>10</v>
      </c>
      <c r="V468" s="31">
        <v>0</v>
      </c>
      <c r="W468" s="31">
        <v>194</v>
      </c>
      <c r="X468" s="31">
        <v>1</v>
      </c>
      <c r="Y468" s="31">
        <v>288</v>
      </c>
      <c r="Z468" s="31">
        <v>260</v>
      </c>
      <c r="AA468" s="31">
        <v>0</v>
      </c>
      <c r="AB468" s="31">
        <v>227</v>
      </c>
    </row>
    <row r="469" spans="1:29" ht="22.5" customHeight="1" x14ac:dyDescent="0.2">
      <c r="A469" s="138" t="s">
        <v>443</v>
      </c>
      <c r="B469" s="139"/>
      <c r="C469" s="139"/>
      <c r="D469" s="139"/>
      <c r="E469" s="139"/>
      <c r="F469" s="139"/>
      <c r="G469" s="140"/>
      <c r="H469" s="75">
        <v>53</v>
      </c>
      <c r="I469" s="31">
        <f t="shared" ref="I469:AB469" si="9">SUM(I416:I447,I449:I468)</f>
        <v>17748</v>
      </c>
      <c r="J469" s="31">
        <f t="shared" si="9"/>
        <v>9032</v>
      </c>
      <c r="K469" s="31">
        <f t="shared" si="9"/>
        <v>124</v>
      </c>
      <c r="L469" s="31">
        <f t="shared" si="9"/>
        <v>5</v>
      </c>
      <c r="M469" s="31">
        <f t="shared" si="9"/>
        <v>111</v>
      </c>
      <c r="N469" s="31">
        <f t="shared" si="9"/>
        <v>0</v>
      </c>
      <c r="O469" s="31">
        <f t="shared" si="9"/>
        <v>7286</v>
      </c>
      <c r="P469" s="31">
        <f t="shared" si="9"/>
        <v>6907</v>
      </c>
      <c r="Q469" s="31">
        <f t="shared" si="9"/>
        <v>220</v>
      </c>
      <c r="R469" s="31">
        <f t="shared" si="9"/>
        <v>92</v>
      </c>
      <c r="S469" s="31">
        <f t="shared" si="9"/>
        <v>67</v>
      </c>
      <c r="T469" s="31">
        <f t="shared" si="9"/>
        <v>6</v>
      </c>
      <c r="U469" s="31">
        <f t="shared" si="9"/>
        <v>798</v>
      </c>
      <c r="V469" s="31">
        <f t="shared" si="9"/>
        <v>219</v>
      </c>
      <c r="W469" s="31">
        <f t="shared" si="9"/>
        <v>1000</v>
      </c>
      <c r="X469" s="31">
        <f t="shared" si="9"/>
        <v>427</v>
      </c>
      <c r="Y469" s="31">
        <f t="shared" si="9"/>
        <v>6017</v>
      </c>
      <c r="Z469" s="31">
        <f t="shared" si="9"/>
        <v>5742</v>
      </c>
      <c r="AA469" s="31">
        <f t="shared" si="9"/>
        <v>0</v>
      </c>
      <c r="AB469" s="31">
        <f t="shared" si="9"/>
        <v>10057</v>
      </c>
    </row>
    <row r="470" spans="1:29" ht="19.5" customHeight="1" x14ac:dyDescent="0.2"/>
    <row r="471" spans="1:29" ht="29.25" customHeight="1" x14ac:dyDescent="0.25">
      <c r="A471" s="177" t="s">
        <v>822</v>
      </c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</row>
    <row r="472" spans="1:29" ht="28.5" customHeight="1" x14ac:dyDescent="0.2">
      <c r="A472" s="178"/>
      <c r="B472" s="179"/>
      <c r="C472" s="179"/>
      <c r="D472" s="179"/>
      <c r="E472" s="179"/>
      <c r="F472" s="179"/>
      <c r="G472" s="180"/>
      <c r="H472" s="187" t="s">
        <v>15</v>
      </c>
      <c r="I472" s="168" t="s">
        <v>1148</v>
      </c>
      <c r="J472" s="168" t="s">
        <v>16</v>
      </c>
      <c r="K472" s="168" t="s">
        <v>17</v>
      </c>
      <c r="L472" s="171" t="s">
        <v>18</v>
      </c>
      <c r="M472" s="172"/>
      <c r="N472" s="173"/>
      <c r="O472" s="168" t="s">
        <v>19</v>
      </c>
      <c r="P472" s="171" t="s">
        <v>20</v>
      </c>
      <c r="Q472" s="172"/>
      <c r="R472" s="172"/>
      <c r="S472" s="173"/>
      <c r="T472" s="168" t="s">
        <v>21</v>
      </c>
      <c r="U472" s="171" t="s">
        <v>22</v>
      </c>
      <c r="V472" s="172"/>
      <c r="W472" s="172"/>
      <c r="X472" s="173"/>
      <c r="Y472" s="171" t="s">
        <v>23</v>
      </c>
      <c r="Z472" s="172"/>
      <c r="AA472" s="173"/>
      <c r="AB472" s="168" t="s">
        <v>24</v>
      </c>
    </row>
    <row r="473" spans="1:29" ht="25.5" customHeight="1" x14ac:dyDescent="0.2">
      <c r="A473" s="181"/>
      <c r="B473" s="182"/>
      <c r="C473" s="182"/>
      <c r="D473" s="182"/>
      <c r="E473" s="182"/>
      <c r="F473" s="182"/>
      <c r="G473" s="183"/>
      <c r="H473" s="188"/>
      <c r="I473" s="170"/>
      <c r="J473" s="170"/>
      <c r="K473" s="170"/>
      <c r="L473" s="168" t="s">
        <v>25</v>
      </c>
      <c r="M473" s="168" t="s">
        <v>26</v>
      </c>
      <c r="N473" s="168" t="s">
        <v>27</v>
      </c>
      <c r="O473" s="170"/>
      <c r="P473" s="168" t="s">
        <v>28</v>
      </c>
      <c r="Q473" s="168" t="s">
        <v>29</v>
      </c>
      <c r="R473" s="168" t="s">
        <v>30</v>
      </c>
      <c r="S473" s="168" t="s">
        <v>31</v>
      </c>
      <c r="T473" s="170"/>
      <c r="U473" s="171" t="s">
        <v>32</v>
      </c>
      <c r="V473" s="172"/>
      <c r="W473" s="172"/>
      <c r="X473" s="173"/>
      <c r="Y473" s="168" t="s">
        <v>33</v>
      </c>
      <c r="Z473" s="171" t="s">
        <v>34</v>
      </c>
      <c r="AA473" s="173"/>
      <c r="AB473" s="170"/>
    </row>
    <row r="474" spans="1:29" ht="78" customHeight="1" x14ac:dyDescent="0.2">
      <c r="A474" s="184"/>
      <c r="B474" s="185"/>
      <c r="C474" s="185"/>
      <c r="D474" s="185"/>
      <c r="E474" s="185"/>
      <c r="F474" s="185"/>
      <c r="G474" s="186"/>
      <c r="H474" s="18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9" t="s">
        <v>35</v>
      </c>
      <c r="V474" s="16" t="s">
        <v>36</v>
      </c>
      <c r="W474" s="16" t="s">
        <v>37</v>
      </c>
      <c r="X474" s="16" t="s">
        <v>38</v>
      </c>
      <c r="Y474" s="169"/>
      <c r="Z474" s="18" t="s">
        <v>39</v>
      </c>
      <c r="AA474" s="17" t="s">
        <v>40</v>
      </c>
      <c r="AB474" s="169"/>
    </row>
    <row r="475" spans="1:29" ht="14.25" customHeight="1" x14ac:dyDescent="0.25">
      <c r="A475" s="150" t="s">
        <v>41</v>
      </c>
      <c r="B475" s="151"/>
      <c r="C475" s="151"/>
      <c r="D475" s="151"/>
      <c r="E475" s="151"/>
      <c r="F475" s="151"/>
      <c r="G475" s="152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53" t="s">
        <v>43</v>
      </c>
      <c r="B476" s="154"/>
      <c r="C476" s="154"/>
      <c r="D476" s="154"/>
      <c r="E476" s="154"/>
      <c r="F476" s="154"/>
      <c r="G476" s="155"/>
      <c r="H476" s="23">
        <v>1</v>
      </c>
      <c r="I476" s="31">
        <v>4127</v>
      </c>
      <c r="J476" s="31">
        <v>3505</v>
      </c>
      <c r="K476" s="31">
        <v>15</v>
      </c>
      <c r="L476" s="31">
        <v>0</v>
      </c>
      <c r="M476" s="31">
        <v>13</v>
      </c>
      <c r="N476" s="31">
        <v>0</v>
      </c>
      <c r="O476" s="31">
        <v>3089</v>
      </c>
      <c r="P476" s="31">
        <v>3020</v>
      </c>
      <c r="Q476" s="31">
        <v>2</v>
      </c>
      <c r="R476" s="31">
        <v>62</v>
      </c>
      <c r="S476" s="31">
        <v>5</v>
      </c>
      <c r="T476" s="31">
        <v>0</v>
      </c>
      <c r="U476" s="31">
        <v>173</v>
      </c>
      <c r="V476" s="31">
        <v>94</v>
      </c>
      <c r="W476" s="31">
        <v>154</v>
      </c>
      <c r="X476" s="31">
        <v>58</v>
      </c>
      <c r="Y476" s="31">
        <v>559</v>
      </c>
      <c r="Z476" s="31">
        <v>558</v>
      </c>
      <c r="AA476" s="31">
        <v>0</v>
      </c>
      <c r="AB476" s="31">
        <v>1022</v>
      </c>
      <c r="AC476" s="76"/>
    </row>
    <row r="477" spans="1:29" ht="20.25" customHeight="1" x14ac:dyDescent="0.25">
      <c r="A477" s="156" t="s">
        <v>181</v>
      </c>
      <c r="B477" s="158"/>
      <c r="C477" s="165" t="s">
        <v>51</v>
      </c>
      <c r="D477" s="166"/>
      <c r="E477" s="166"/>
      <c r="F477" s="166"/>
      <c r="G477" s="167"/>
      <c r="H477" s="23">
        <v>2</v>
      </c>
      <c r="I477" s="31">
        <v>73</v>
      </c>
      <c r="J477" s="31">
        <v>55</v>
      </c>
      <c r="K477" s="31">
        <v>1</v>
      </c>
      <c r="L477" s="31">
        <v>0</v>
      </c>
      <c r="M477" s="31">
        <v>1</v>
      </c>
      <c r="N477" s="31">
        <v>0</v>
      </c>
      <c r="O477" s="31">
        <v>45</v>
      </c>
      <c r="P477" s="31">
        <v>44</v>
      </c>
      <c r="Q477" s="31">
        <v>0</v>
      </c>
      <c r="R477" s="31">
        <v>0</v>
      </c>
      <c r="S477" s="31">
        <v>1</v>
      </c>
      <c r="T477" s="31">
        <v>0</v>
      </c>
      <c r="U477" s="31">
        <v>5</v>
      </c>
      <c r="V477" s="31">
        <v>0</v>
      </c>
      <c r="W477" s="31">
        <v>3</v>
      </c>
      <c r="X477" s="31">
        <v>4</v>
      </c>
      <c r="Y477" s="31">
        <v>5</v>
      </c>
      <c r="Z477" s="31">
        <v>5</v>
      </c>
      <c r="AA477" s="31">
        <v>0</v>
      </c>
      <c r="AB477" s="31">
        <v>27</v>
      </c>
      <c r="AC477" s="76"/>
    </row>
    <row r="478" spans="1:29" ht="20.25" customHeight="1" x14ac:dyDescent="0.25">
      <c r="A478" s="159"/>
      <c r="B478" s="161"/>
      <c r="C478" s="165" t="s">
        <v>52</v>
      </c>
      <c r="D478" s="166"/>
      <c r="E478" s="166"/>
      <c r="F478" s="166"/>
      <c r="G478" s="167"/>
      <c r="H478" s="23">
        <v>3</v>
      </c>
      <c r="I478" s="31">
        <v>3087</v>
      </c>
      <c r="J478" s="31">
        <v>2862</v>
      </c>
      <c r="K478" s="31">
        <v>6</v>
      </c>
      <c r="L478" s="31">
        <v>0</v>
      </c>
      <c r="M478" s="31">
        <v>4</v>
      </c>
      <c r="N478" s="31">
        <v>0</v>
      </c>
      <c r="O478" s="31">
        <v>2528</v>
      </c>
      <c r="P478" s="31">
        <v>2508</v>
      </c>
      <c r="Q478" s="31">
        <v>0</v>
      </c>
      <c r="R478" s="31">
        <v>20</v>
      </c>
      <c r="S478" s="31">
        <v>0</v>
      </c>
      <c r="T478" s="31">
        <v>0</v>
      </c>
      <c r="U478" s="31">
        <v>102</v>
      </c>
      <c r="V478" s="31">
        <v>41</v>
      </c>
      <c r="W478" s="31">
        <v>44</v>
      </c>
      <c r="X478" s="31">
        <v>27</v>
      </c>
      <c r="Y478" s="31">
        <v>61</v>
      </c>
      <c r="Z478" s="31">
        <v>61</v>
      </c>
      <c r="AA478" s="31">
        <v>0</v>
      </c>
      <c r="AB478" s="31">
        <v>553</v>
      </c>
      <c r="AC478" s="76"/>
    </row>
    <row r="479" spans="1:29" ht="20.25" customHeight="1" x14ac:dyDescent="0.25">
      <c r="A479" s="159"/>
      <c r="B479" s="161"/>
      <c r="C479" s="165" t="s">
        <v>182</v>
      </c>
      <c r="D479" s="166"/>
      <c r="E479" s="166"/>
      <c r="F479" s="166"/>
      <c r="G479" s="167"/>
      <c r="H479" s="23">
        <v>4</v>
      </c>
      <c r="I479" s="31">
        <v>541</v>
      </c>
      <c r="J479" s="31">
        <v>254</v>
      </c>
      <c r="K479" s="31">
        <v>0</v>
      </c>
      <c r="L479" s="31">
        <v>0</v>
      </c>
      <c r="M479" s="31">
        <v>0</v>
      </c>
      <c r="N479" s="31">
        <v>0</v>
      </c>
      <c r="O479" s="31">
        <v>207</v>
      </c>
      <c r="P479" s="31">
        <v>188</v>
      </c>
      <c r="Q479" s="31">
        <v>0</v>
      </c>
      <c r="R479" s="31">
        <v>16</v>
      </c>
      <c r="S479" s="31">
        <v>3</v>
      </c>
      <c r="T479" s="31">
        <v>0</v>
      </c>
      <c r="U479" s="31">
        <v>24</v>
      </c>
      <c r="V479" s="31">
        <v>53</v>
      </c>
      <c r="W479" s="31">
        <v>23</v>
      </c>
      <c r="X479" s="31">
        <v>16</v>
      </c>
      <c r="Y479" s="31">
        <v>200</v>
      </c>
      <c r="Z479" s="31">
        <v>200</v>
      </c>
      <c r="AA479" s="31">
        <v>0</v>
      </c>
      <c r="AB479" s="31">
        <v>334</v>
      </c>
      <c r="AC479" s="76"/>
    </row>
    <row r="480" spans="1:29" ht="20.25" customHeight="1" x14ac:dyDescent="0.25">
      <c r="A480" s="162"/>
      <c r="B480" s="164"/>
      <c r="C480" s="165" t="s">
        <v>49</v>
      </c>
      <c r="D480" s="166"/>
      <c r="E480" s="166"/>
      <c r="F480" s="166"/>
      <c r="G480" s="167"/>
      <c r="H480" s="23">
        <v>5</v>
      </c>
      <c r="I480" s="31">
        <v>426</v>
      </c>
      <c r="J480" s="31">
        <v>334</v>
      </c>
      <c r="K480" s="31">
        <v>8</v>
      </c>
      <c r="L480" s="31">
        <v>0</v>
      </c>
      <c r="M480" s="31">
        <v>8</v>
      </c>
      <c r="N480" s="31">
        <v>0</v>
      </c>
      <c r="O480" s="31">
        <v>309</v>
      </c>
      <c r="P480" s="31">
        <v>280</v>
      </c>
      <c r="Q480" s="31">
        <v>2</v>
      </c>
      <c r="R480" s="31">
        <v>26</v>
      </c>
      <c r="S480" s="31">
        <v>1</v>
      </c>
      <c r="T480" s="31">
        <v>0</v>
      </c>
      <c r="U480" s="31">
        <v>42</v>
      </c>
      <c r="V480" s="31">
        <v>0</v>
      </c>
      <c r="W480" s="31">
        <v>84</v>
      </c>
      <c r="X480" s="31">
        <v>11</v>
      </c>
      <c r="Y480" s="31">
        <v>293</v>
      </c>
      <c r="Z480" s="31">
        <v>292</v>
      </c>
      <c r="AA480" s="31">
        <v>0</v>
      </c>
      <c r="AB480" s="31">
        <v>108</v>
      </c>
      <c r="AC480" s="76"/>
    </row>
    <row r="481" spans="1:29" ht="27.2" customHeight="1" x14ac:dyDescent="0.25">
      <c r="A481" s="144" t="s">
        <v>165</v>
      </c>
      <c r="B481" s="138" t="s">
        <v>532</v>
      </c>
      <c r="C481" s="139"/>
      <c r="D481" s="139"/>
      <c r="E481" s="139"/>
      <c r="F481" s="139"/>
      <c r="G481" s="140"/>
      <c r="H481" s="23">
        <v>6</v>
      </c>
      <c r="I481" s="31">
        <v>0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76"/>
    </row>
    <row r="482" spans="1:29" ht="21.75" customHeight="1" x14ac:dyDescent="0.25">
      <c r="A482" s="145"/>
      <c r="B482" s="138" t="s">
        <v>533</v>
      </c>
      <c r="C482" s="139"/>
      <c r="D482" s="139"/>
      <c r="E482" s="139"/>
      <c r="F482" s="139"/>
      <c r="G482" s="140"/>
      <c r="H482" s="23">
        <v>7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76"/>
    </row>
    <row r="483" spans="1:29" ht="32.25" customHeight="1" x14ac:dyDescent="0.25">
      <c r="A483" s="145"/>
      <c r="B483" s="138" t="s">
        <v>534</v>
      </c>
      <c r="C483" s="139"/>
      <c r="D483" s="139"/>
      <c r="E483" s="139"/>
      <c r="F483" s="139"/>
      <c r="G483" s="140"/>
      <c r="H483" s="23">
        <v>8</v>
      </c>
      <c r="I483" s="31">
        <v>0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2</v>
      </c>
      <c r="Z483" s="31">
        <v>2</v>
      </c>
      <c r="AA483" s="31">
        <v>0</v>
      </c>
      <c r="AB483" s="31">
        <v>0</v>
      </c>
      <c r="AC483" s="76"/>
    </row>
    <row r="484" spans="1:29" ht="27.2" customHeight="1" x14ac:dyDescent="0.25">
      <c r="A484" s="145"/>
      <c r="B484" s="138" t="s">
        <v>535</v>
      </c>
      <c r="C484" s="139"/>
      <c r="D484" s="139"/>
      <c r="E484" s="139"/>
      <c r="F484" s="139"/>
      <c r="G484" s="140"/>
      <c r="H484" s="23">
        <v>9</v>
      </c>
      <c r="I484" s="31">
        <v>834</v>
      </c>
      <c r="J484" s="31">
        <v>637</v>
      </c>
      <c r="K484" s="31">
        <v>9</v>
      </c>
      <c r="L484" s="31">
        <v>0</v>
      </c>
      <c r="M484" s="31">
        <v>8</v>
      </c>
      <c r="N484" s="31">
        <v>0</v>
      </c>
      <c r="O484" s="31">
        <v>529</v>
      </c>
      <c r="P484" s="31">
        <v>487</v>
      </c>
      <c r="Q484" s="31">
        <v>2</v>
      </c>
      <c r="R484" s="31">
        <v>39</v>
      </c>
      <c r="S484" s="31">
        <v>1</v>
      </c>
      <c r="T484" s="31">
        <v>0</v>
      </c>
      <c r="U484" s="31">
        <v>83</v>
      </c>
      <c r="V484" s="31">
        <v>47</v>
      </c>
      <c r="W484" s="31">
        <v>144</v>
      </c>
      <c r="X484" s="62">
        <v>26</v>
      </c>
      <c r="Y484" s="31">
        <v>402</v>
      </c>
      <c r="Z484" s="31">
        <v>401</v>
      </c>
      <c r="AA484" s="31">
        <v>0</v>
      </c>
      <c r="AB484" s="31">
        <v>295</v>
      </c>
      <c r="AC484" s="76"/>
    </row>
    <row r="485" spans="1:29" ht="27.2" customHeight="1" x14ac:dyDescent="0.25">
      <c r="A485" s="145"/>
      <c r="B485" s="190" t="s">
        <v>32</v>
      </c>
      <c r="C485" s="138" t="s">
        <v>536</v>
      </c>
      <c r="D485" s="139"/>
      <c r="E485" s="139"/>
      <c r="F485" s="139"/>
      <c r="G485" s="140"/>
      <c r="H485" s="23">
        <v>10</v>
      </c>
      <c r="I485" s="31">
        <v>422</v>
      </c>
      <c r="J485" s="31">
        <v>334</v>
      </c>
      <c r="K485" s="31">
        <v>8</v>
      </c>
      <c r="L485" s="31">
        <v>0</v>
      </c>
      <c r="M485" s="31">
        <v>8</v>
      </c>
      <c r="N485" s="31">
        <v>0</v>
      </c>
      <c r="O485" s="31">
        <v>309</v>
      </c>
      <c r="P485" s="31">
        <v>280</v>
      </c>
      <c r="Q485" s="31">
        <v>2</v>
      </c>
      <c r="R485" s="31">
        <v>26</v>
      </c>
      <c r="S485" s="31">
        <v>1</v>
      </c>
      <c r="T485" s="31">
        <v>0</v>
      </c>
      <c r="U485" s="31">
        <v>42</v>
      </c>
      <c r="V485" s="31">
        <v>0</v>
      </c>
      <c r="W485" s="31">
        <v>84</v>
      </c>
      <c r="X485" s="31">
        <v>11</v>
      </c>
      <c r="Y485" s="31">
        <v>291</v>
      </c>
      <c r="Z485" s="31">
        <v>290</v>
      </c>
      <c r="AA485" s="31">
        <v>0</v>
      </c>
      <c r="AB485" s="31">
        <v>104</v>
      </c>
      <c r="AC485" s="76"/>
    </row>
    <row r="486" spans="1:29" ht="26.25" customHeight="1" x14ac:dyDescent="0.25">
      <c r="A486" s="145"/>
      <c r="B486" s="191"/>
      <c r="C486" s="139" t="s">
        <v>537</v>
      </c>
      <c r="D486" s="139"/>
      <c r="E486" s="139"/>
      <c r="F486" s="139"/>
      <c r="G486" s="140"/>
      <c r="H486" s="23">
        <v>11</v>
      </c>
      <c r="I486" s="54">
        <v>412</v>
      </c>
      <c r="J486" s="54">
        <v>303</v>
      </c>
      <c r="K486" s="54">
        <v>1</v>
      </c>
      <c r="L486" s="54">
        <v>0</v>
      </c>
      <c r="M486" s="31">
        <v>0</v>
      </c>
      <c r="N486" s="31">
        <v>0</v>
      </c>
      <c r="O486" s="31">
        <v>220</v>
      </c>
      <c r="P486" s="31">
        <v>207</v>
      </c>
      <c r="Q486" s="31">
        <v>0</v>
      </c>
      <c r="R486" s="31">
        <v>13</v>
      </c>
      <c r="S486" s="31">
        <v>0</v>
      </c>
      <c r="T486" s="31">
        <v>0</v>
      </c>
      <c r="U486" s="31">
        <v>41</v>
      </c>
      <c r="V486" s="31">
        <v>47</v>
      </c>
      <c r="W486" s="31">
        <v>60</v>
      </c>
      <c r="X486" s="31">
        <v>15</v>
      </c>
      <c r="Y486" s="31">
        <v>111</v>
      </c>
      <c r="Z486" s="31">
        <v>111</v>
      </c>
      <c r="AA486" s="31">
        <v>0</v>
      </c>
      <c r="AB486" s="31">
        <v>191</v>
      </c>
      <c r="AC486" s="76"/>
    </row>
    <row r="487" spans="1:29" ht="27.2" customHeight="1" x14ac:dyDescent="0.25">
      <c r="A487" s="145"/>
      <c r="B487" s="138" t="s">
        <v>538</v>
      </c>
      <c r="C487" s="139"/>
      <c r="D487" s="139"/>
      <c r="E487" s="139"/>
      <c r="F487" s="139"/>
      <c r="G487" s="140"/>
      <c r="H487" s="23">
        <v>12</v>
      </c>
      <c r="I487" s="31">
        <v>192</v>
      </c>
      <c r="J487" s="31">
        <v>107</v>
      </c>
      <c r="K487" s="31">
        <v>0</v>
      </c>
      <c r="L487" s="31">
        <v>0</v>
      </c>
      <c r="M487" s="31">
        <v>0</v>
      </c>
      <c r="N487" s="31">
        <v>0</v>
      </c>
      <c r="O487" s="31">
        <v>99</v>
      </c>
      <c r="P487" s="31">
        <v>77</v>
      </c>
      <c r="Q487" s="31">
        <v>0</v>
      </c>
      <c r="R487" s="31">
        <v>20</v>
      </c>
      <c r="S487" s="31">
        <v>2</v>
      </c>
      <c r="T487" s="31">
        <v>0</v>
      </c>
      <c r="U487" s="31">
        <v>37</v>
      </c>
      <c r="V487" s="31">
        <v>0</v>
      </c>
      <c r="W487" s="31">
        <v>4</v>
      </c>
      <c r="X487" s="62">
        <v>26</v>
      </c>
      <c r="Y487" s="31">
        <v>38</v>
      </c>
      <c r="Z487" s="31">
        <v>38</v>
      </c>
      <c r="AA487" s="31">
        <v>0</v>
      </c>
      <c r="AB487" s="31">
        <v>93</v>
      </c>
      <c r="AC487" s="76"/>
    </row>
    <row r="488" spans="1:29" ht="30.75" customHeight="1" x14ac:dyDescent="0.25">
      <c r="A488" s="145"/>
      <c r="B488" s="36" t="s">
        <v>32</v>
      </c>
      <c r="C488" s="138" t="s">
        <v>539</v>
      </c>
      <c r="D488" s="139"/>
      <c r="E488" s="139"/>
      <c r="F488" s="139"/>
      <c r="G488" s="140"/>
      <c r="H488" s="23">
        <v>13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0</v>
      </c>
      <c r="AC488" s="76"/>
    </row>
    <row r="489" spans="1:29" ht="42.75" customHeight="1" x14ac:dyDescent="0.25">
      <c r="A489" s="145"/>
      <c r="B489" s="138" t="s">
        <v>540</v>
      </c>
      <c r="C489" s="139"/>
      <c r="D489" s="139"/>
      <c r="E489" s="139"/>
      <c r="F489" s="139"/>
      <c r="G489" s="140"/>
      <c r="H489" s="23">
        <v>14</v>
      </c>
      <c r="I489" s="31">
        <v>35</v>
      </c>
      <c r="J489" s="31">
        <v>2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2</v>
      </c>
      <c r="Z489" s="31">
        <v>2</v>
      </c>
      <c r="AA489" s="31">
        <v>0</v>
      </c>
      <c r="AB489" s="31">
        <v>34</v>
      </c>
      <c r="AC489" s="76"/>
    </row>
    <row r="490" spans="1:29" ht="27.2" customHeight="1" x14ac:dyDescent="0.25">
      <c r="A490" s="145"/>
      <c r="B490" s="190" t="s">
        <v>32</v>
      </c>
      <c r="C490" s="138" t="s">
        <v>541</v>
      </c>
      <c r="D490" s="139"/>
      <c r="E490" s="139"/>
      <c r="F490" s="139"/>
      <c r="G490" s="140"/>
      <c r="H490" s="23">
        <v>15</v>
      </c>
      <c r="I490" s="31">
        <v>4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4</v>
      </c>
      <c r="AC490" s="76"/>
    </row>
    <row r="491" spans="1:29" ht="26.25" customHeight="1" x14ac:dyDescent="0.25">
      <c r="A491" s="145"/>
      <c r="B491" s="191"/>
      <c r="C491" s="139" t="s">
        <v>542</v>
      </c>
      <c r="D491" s="139"/>
      <c r="E491" s="139"/>
      <c r="F491" s="139"/>
      <c r="G491" s="140"/>
      <c r="H491" s="23">
        <v>16</v>
      </c>
      <c r="I491" s="54">
        <v>31</v>
      </c>
      <c r="J491" s="54">
        <v>2</v>
      </c>
      <c r="K491" s="54">
        <v>0</v>
      </c>
      <c r="L491" s="54">
        <v>0</v>
      </c>
      <c r="M491" s="31">
        <v>0</v>
      </c>
      <c r="N491" s="31">
        <v>0</v>
      </c>
      <c r="O491" s="31">
        <v>1</v>
      </c>
      <c r="P491" s="31">
        <v>1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2</v>
      </c>
      <c r="Z491" s="31">
        <v>2</v>
      </c>
      <c r="AA491" s="31">
        <v>0</v>
      </c>
      <c r="AB491" s="31">
        <v>30</v>
      </c>
      <c r="AC491" s="76"/>
    </row>
    <row r="492" spans="1:29" ht="39.75" customHeight="1" x14ac:dyDescent="0.25">
      <c r="A492" s="145"/>
      <c r="B492" s="138" t="s">
        <v>543</v>
      </c>
      <c r="C492" s="139"/>
      <c r="D492" s="139"/>
      <c r="E492" s="139"/>
      <c r="F492" s="139"/>
      <c r="G492" s="140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45"/>
      <c r="B493" s="190" t="s">
        <v>32</v>
      </c>
      <c r="C493" s="138" t="s">
        <v>544</v>
      </c>
      <c r="D493" s="139"/>
      <c r="E493" s="139"/>
      <c r="F493" s="139"/>
      <c r="G493" s="140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45"/>
      <c r="B494" s="191"/>
      <c r="C494" s="139" t="s">
        <v>545</v>
      </c>
      <c r="D494" s="139"/>
      <c r="E494" s="139"/>
      <c r="F494" s="139"/>
      <c r="G494" s="140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45"/>
      <c r="B495" s="138" t="s">
        <v>546</v>
      </c>
      <c r="C495" s="139"/>
      <c r="D495" s="139"/>
      <c r="E495" s="139"/>
      <c r="F495" s="139"/>
      <c r="G495" s="140"/>
      <c r="H495" s="23">
        <v>20</v>
      </c>
      <c r="I495" s="31">
        <v>511</v>
      </c>
      <c r="J495" s="31">
        <v>417</v>
      </c>
      <c r="K495" s="31">
        <v>1</v>
      </c>
      <c r="L495" s="31">
        <v>0</v>
      </c>
      <c r="M495" s="31">
        <v>0</v>
      </c>
      <c r="N495" s="31">
        <v>0</v>
      </c>
      <c r="O495" s="31">
        <v>413</v>
      </c>
      <c r="P495" s="31">
        <v>411</v>
      </c>
      <c r="Q495" s="31">
        <v>0</v>
      </c>
      <c r="R495" s="31">
        <v>2</v>
      </c>
      <c r="S495" s="31">
        <v>0</v>
      </c>
      <c r="T495" s="31">
        <v>0</v>
      </c>
      <c r="U495" s="31">
        <v>0</v>
      </c>
      <c r="V495" s="31">
        <v>0</v>
      </c>
      <c r="W495" s="31">
        <v>1</v>
      </c>
      <c r="X495" s="62">
        <v>0</v>
      </c>
      <c r="Y495" s="31">
        <v>52</v>
      </c>
      <c r="Z495" s="31">
        <v>52</v>
      </c>
      <c r="AA495" s="31">
        <v>0</v>
      </c>
      <c r="AB495" s="31">
        <v>97</v>
      </c>
      <c r="AC495" s="76"/>
    </row>
    <row r="496" spans="1:29" ht="27.2" customHeight="1" x14ac:dyDescent="0.25">
      <c r="A496" s="145"/>
      <c r="B496" s="190" t="s">
        <v>32</v>
      </c>
      <c r="C496" s="138" t="s">
        <v>547</v>
      </c>
      <c r="D496" s="139"/>
      <c r="E496" s="139"/>
      <c r="F496" s="139"/>
      <c r="G496" s="140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45"/>
      <c r="B497" s="191"/>
      <c r="C497" s="139" t="s">
        <v>548</v>
      </c>
      <c r="D497" s="139"/>
      <c r="E497" s="139"/>
      <c r="F497" s="139"/>
      <c r="G497" s="140"/>
      <c r="H497" s="23">
        <v>22</v>
      </c>
      <c r="I497" s="54">
        <v>511</v>
      </c>
      <c r="J497" s="54">
        <v>417</v>
      </c>
      <c r="K497" s="54">
        <v>1</v>
      </c>
      <c r="L497" s="54">
        <v>0</v>
      </c>
      <c r="M497" s="31">
        <v>0</v>
      </c>
      <c r="N497" s="31">
        <v>0</v>
      </c>
      <c r="O497" s="31">
        <v>413</v>
      </c>
      <c r="P497" s="31">
        <v>411</v>
      </c>
      <c r="Q497" s="31">
        <v>0</v>
      </c>
      <c r="R497" s="31">
        <v>2</v>
      </c>
      <c r="S497" s="31">
        <v>0</v>
      </c>
      <c r="T497" s="31">
        <v>0</v>
      </c>
      <c r="U497" s="31">
        <v>0</v>
      </c>
      <c r="V497" s="31">
        <v>0</v>
      </c>
      <c r="W497" s="31">
        <v>1</v>
      </c>
      <c r="X497" s="31">
        <v>0</v>
      </c>
      <c r="Y497" s="31">
        <v>52</v>
      </c>
      <c r="Z497" s="31">
        <v>52</v>
      </c>
      <c r="AA497" s="31">
        <v>0</v>
      </c>
      <c r="AB497" s="31">
        <v>97</v>
      </c>
      <c r="AC497" s="76"/>
    </row>
    <row r="498" spans="1:29" ht="54" customHeight="1" x14ac:dyDescent="0.25">
      <c r="A498" s="145"/>
      <c r="B498" s="138" t="s">
        <v>549</v>
      </c>
      <c r="C498" s="139"/>
      <c r="D498" s="139"/>
      <c r="E498" s="139"/>
      <c r="F498" s="139"/>
      <c r="G498" s="140"/>
      <c r="H498" s="23">
        <v>23</v>
      </c>
      <c r="I498" s="31">
        <v>1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1</v>
      </c>
      <c r="P498" s="31">
        <v>0</v>
      </c>
      <c r="Q498" s="31">
        <v>0</v>
      </c>
      <c r="R498" s="31">
        <v>0</v>
      </c>
      <c r="S498" s="31">
        <v>1</v>
      </c>
      <c r="T498" s="31">
        <v>0</v>
      </c>
      <c r="U498" s="31">
        <v>0</v>
      </c>
      <c r="V498" s="31">
        <v>0</v>
      </c>
      <c r="W498" s="31">
        <v>0</v>
      </c>
      <c r="X498" s="62">
        <v>1</v>
      </c>
      <c r="Y498" s="31">
        <v>6</v>
      </c>
      <c r="Z498" s="31">
        <v>6</v>
      </c>
      <c r="AA498" s="31">
        <v>0</v>
      </c>
      <c r="AB498" s="31">
        <v>0</v>
      </c>
      <c r="AC498" s="76"/>
    </row>
    <row r="499" spans="1:29" ht="33" customHeight="1" x14ac:dyDescent="0.25">
      <c r="A499" s="146"/>
      <c r="B499" s="138" t="s">
        <v>550</v>
      </c>
      <c r="C499" s="139"/>
      <c r="D499" s="139"/>
      <c r="E499" s="139"/>
      <c r="F499" s="139"/>
      <c r="G499" s="140"/>
      <c r="H499" s="23">
        <v>24</v>
      </c>
      <c r="I499" s="31">
        <v>1411</v>
      </c>
      <c r="J499" s="31">
        <v>1350</v>
      </c>
      <c r="K499" s="31">
        <v>0</v>
      </c>
      <c r="L499" s="31">
        <v>0</v>
      </c>
      <c r="M499" s="31">
        <v>0</v>
      </c>
      <c r="N499" s="31">
        <v>0</v>
      </c>
      <c r="O499" s="31">
        <v>1125</v>
      </c>
      <c r="P499" s="31">
        <v>1125</v>
      </c>
      <c r="Q499" s="31">
        <v>0</v>
      </c>
      <c r="R499" s="31">
        <v>0</v>
      </c>
      <c r="S499" s="31">
        <v>0</v>
      </c>
      <c r="T499" s="31">
        <v>0</v>
      </c>
      <c r="U499" s="31">
        <v>45</v>
      </c>
      <c r="V499" s="31">
        <v>18</v>
      </c>
      <c r="W499" s="31">
        <v>1</v>
      </c>
      <c r="X499" s="62">
        <v>0</v>
      </c>
      <c r="Y499" s="31">
        <v>21</v>
      </c>
      <c r="Z499" s="31">
        <v>21</v>
      </c>
      <c r="AA499" s="31">
        <v>0</v>
      </c>
      <c r="AB499" s="31">
        <v>286</v>
      </c>
      <c r="AC499" s="76"/>
    </row>
    <row r="500" spans="1:29" ht="14.25" customHeight="1" x14ac:dyDescent="0.25">
      <c r="A500" s="198" t="s">
        <v>41</v>
      </c>
      <c r="B500" s="199"/>
      <c r="C500" s="199"/>
      <c r="D500" s="199"/>
      <c r="E500" s="199"/>
      <c r="F500" s="199"/>
      <c r="G500" s="200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44" t="s">
        <v>165</v>
      </c>
      <c r="B501" s="138" t="s">
        <v>553</v>
      </c>
      <c r="C501" s="139"/>
      <c r="D501" s="139"/>
      <c r="E501" s="139"/>
      <c r="F501" s="139"/>
      <c r="G501" s="140"/>
      <c r="H501" s="23">
        <v>25</v>
      </c>
      <c r="I501" s="31">
        <v>40</v>
      </c>
      <c r="J501" s="31">
        <v>37</v>
      </c>
      <c r="K501" s="31">
        <v>0</v>
      </c>
      <c r="L501" s="31">
        <v>0</v>
      </c>
      <c r="M501" s="31">
        <v>0</v>
      </c>
      <c r="N501" s="31">
        <v>0</v>
      </c>
      <c r="O501" s="31">
        <v>32</v>
      </c>
      <c r="P501" s="31">
        <v>32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20</v>
      </c>
      <c r="W501" s="31">
        <v>0</v>
      </c>
      <c r="X501" s="62">
        <v>0</v>
      </c>
      <c r="Y501" s="31">
        <v>3</v>
      </c>
      <c r="Z501" s="31">
        <v>3</v>
      </c>
      <c r="AA501" s="31">
        <v>0</v>
      </c>
      <c r="AB501" s="31">
        <v>8</v>
      </c>
      <c r="AC501" s="76"/>
    </row>
    <row r="502" spans="1:29" ht="27.2" customHeight="1" x14ac:dyDescent="0.25">
      <c r="A502" s="145"/>
      <c r="B502" s="190" t="s">
        <v>32</v>
      </c>
      <c r="C502" s="138" t="s">
        <v>554</v>
      </c>
      <c r="D502" s="139"/>
      <c r="E502" s="139"/>
      <c r="F502" s="139"/>
      <c r="G502" s="140"/>
      <c r="H502" s="23">
        <v>26</v>
      </c>
      <c r="I502" s="31">
        <v>0</v>
      </c>
      <c r="J502" s="31">
        <v>0</v>
      </c>
      <c r="K502" s="31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0</v>
      </c>
      <c r="AC502" s="76"/>
    </row>
    <row r="503" spans="1:29" ht="26.25" customHeight="1" x14ac:dyDescent="0.25">
      <c r="A503" s="145"/>
      <c r="B503" s="191"/>
      <c r="C503" s="139" t="s">
        <v>555</v>
      </c>
      <c r="D503" s="139"/>
      <c r="E503" s="139"/>
      <c r="F503" s="139"/>
      <c r="G503" s="140"/>
      <c r="H503" s="23">
        <v>27</v>
      </c>
      <c r="I503" s="54">
        <v>40</v>
      </c>
      <c r="J503" s="54">
        <v>37</v>
      </c>
      <c r="K503" s="54">
        <v>0</v>
      </c>
      <c r="L503" s="54">
        <v>0</v>
      </c>
      <c r="M503" s="31">
        <v>0</v>
      </c>
      <c r="N503" s="31">
        <v>0</v>
      </c>
      <c r="O503" s="31">
        <v>32</v>
      </c>
      <c r="P503" s="31">
        <v>32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20</v>
      </c>
      <c r="W503" s="31">
        <v>0</v>
      </c>
      <c r="X503" s="31">
        <v>0</v>
      </c>
      <c r="Y503" s="31">
        <v>3</v>
      </c>
      <c r="Z503" s="31">
        <v>3</v>
      </c>
      <c r="AA503" s="31">
        <v>0</v>
      </c>
      <c r="AB503" s="31">
        <v>8</v>
      </c>
      <c r="AC503" s="76"/>
    </row>
    <row r="504" spans="1:29" ht="27.2" customHeight="1" x14ac:dyDescent="0.25">
      <c r="A504" s="145"/>
      <c r="B504" s="138" t="s">
        <v>556</v>
      </c>
      <c r="C504" s="139"/>
      <c r="D504" s="139"/>
      <c r="E504" s="139"/>
      <c r="F504" s="139"/>
      <c r="G504" s="140"/>
      <c r="H504" s="23">
        <v>28</v>
      </c>
      <c r="I504" s="31">
        <v>117</v>
      </c>
      <c r="J504" s="31">
        <v>74</v>
      </c>
      <c r="K504" s="31">
        <v>2</v>
      </c>
      <c r="L504" s="31">
        <v>0</v>
      </c>
      <c r="M504" s="31">
        <v>2</v>
      </c>
      <c r="N504" s="31">
        <v>0</v>
      </c>
      <c r="O504" s="31">
        <v>51</v>
      </c>
      <c r="P504" s="31">
        <v>51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9</v>
      </c>
      <c r="W504" s="31">
        <v>0</v>
      </c>
      <c r="X504" s="62">
        <v>0</v>
      </c>
      <c r="Y504" s="31">
        <v>1</v>
      </c>
      <c r="Z504" s="31">
        <v>1</v>
      </c>
      <c r="AA504" s="31">
        <v>0</v>
      </c>
      <c r="AB504" s="31">
        <v>64</v>
      </c>
      <c r="AC504" s="76"/>
    </row>
    <row r="505" spans="1:29" ht="27.2" customHeight="1" x14ac:dyDescent="0.25">
      <c r="A505" s="145"/>
      <c r="B505" s="39" t="s">
        <v>32</v>
      </c>
      <c r="C505" s="138" t="s">
        <v>557</v>
      </c>
      <c r="D505" s="139"/>
      <c r="E505" s="139"/>
      <c r="F505" s="139"/>
      <c r="G505" s="140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45"/>
      <c r="B506" s="138" t="s">
        <v>558</v>
      </c>
      <c r="C506" s="139"/>
      <c r="D506" s="139"/>
      <c r="E506" s="139"/>
      <c r="F506" s="139"/>
      <c r="G506" s="140"/>
      <c r="H506" s="23">
        <v>30</v>
      </c>
      <c r="I506" s="31">
        <v>36</v>
      </c>
      <c r="J506" s="31">
        <v>33</v>
      </c>
      <c r="K506" s="31">
        <v>1</v>
      </c>
      <c r="L506" s="31">
        <v>0</v>
      </c>
      <c r="M506" s="31">
        <v>1</v>
      </c>
      <c r="N506" s="31">
        <v>0</v>
      </c>
      <c r="O506" s="31">
        <v>26</v>
      </c>
      <c r="P506" s="31">
        <v>26</v>
      </c>
      <c r="Q506" s="31">
        <v>0</v>
      </c>
      <c r="R506" s="31">
        <v>0</v>
      </c>
      <c r="S506" s="31">
        <v>0</v>
      </c>
      <c r="T506" s="31">
        <v>0</v>
      </c>
      <c r="U506" s="31">
        <v>2</v>
      </c>
      <c r="V506" s="31">
        <v>0</v>
      </c>
      <c r="W506" s="31">
        <v>0</v>
      </c>
      <c r="X506" s="62">
        <v>0</v>
      </c>
      <c r="Y506" s="31">
        <v>6</v>
      </c>
      <c r="Z506" s="31">
        <v>6</v>
      </c>
      <c r="AA506" s="31">
        <v>0</v>
      </c>
      <c r="AB506" s="31">
        <v>9</v>
      </c>
      <c r="AC506" s="76"/>
    </row>
    <row r="507" spans="1:29" ht="27.2" customHeight="1" x14ac:dyDescent="0.25">
      <c r="A507" s="145"/>
      <c r="B507" s="218" t="s">
        <v>32</v>
      </c>
      <c r="C507" s="138" t="s">
        <v>559</v>
      </c>
      <c r="D507" s="139"/>
      <c r="E507" s="139"/>
      <c r="F507" s="139"/>
      <c r="G507" s="140"/>
      <c r="H507" s="23">
        <v>31</v>
      </c>
      <c r="I507" s="31">
        <v>35</v>
      </c>
      <c r="J507" s="31">
        <v>32</v>
      </c>
      <c r="K507" s="31">
        <v>1</v>
      </c>
      <c r="L507" s="31">
        <v>0</v>
      </c>
      <c r="M507" s="31">
        <v>1</v>
      </c>
      <c r="N507" s="31">
        <v>0</v>
      </c>
      <c r="O507" s="31">
        <v>25</v>
      </c>
      <c r="P507" s="31">
        <v>25</v>
      </c>
      <c r="Q507" s="31">
        <v>0</v>
      </c>
      <c r="R507" s="31">
        <v>0</v>
      </c>
      <c r="S507" s="31">
        <v>0</v>
      </c>
      <c r="T507" s="31">
        <v>0</v>
      </c>
      <c r="U507" s="31">
        <v>2</v>
      </c>
      <c r="V507" s="31">
        <v>0</v>
      </c>
      <c r="W507" s="31">
        <v>0</v>
      </c>
      <c r="X507" s="62">
        <v>0</v>
      </c>
      <c r="Y507" s="31">
        <v>3</v>
      </c>
      <c r="Z507" s="31">
        <v>3</v>
      </c>
      <c r="AA507" s="31">
        <v>0</v>
      </c>
      <c r="AB507" s="31">
        <v>9</v>
      </c>
      <c r="AC507" s="76"/>
    </row>
    <row r="508" spans="1:29" ht="27.2" customHeight="1" x14ac:dyDescent="0.25">
      <c r="A508" s="145"/>
      <c r="B508" s="223"/>
      <c r="C508" s="138" t="s">
        <v>560</v>
      </c>
      <c r="D508" s="139"/>
      <c r="E508" s="139"/>
      <c r="F508" s="139"/>
      <c r="G508" s="140"/>
      <c r="H508" s="23">
        <v>32</v>
      </c>
      <c r="I508" s="31">
        <v>0</v>
      </c>
      <c r="J508" s="31">
        <v>0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1</v>
      </c>
      <c r="Z508" s="31">
        <v>1</v>
      </c>
      <c r="AA508" s="31">
        <v>0</v>
      </c>
      <c r="AB508" s="31">
        <v>0</v>
      </c>
      <c r="AC508" s="76"/>
    </row>
    <row r="509" spans="1:29" ht="27.2" customHeight="1" x14ac:dyDescent="0.25">
      <c r="A509" s="145"/>
      <c r="B509" s="223"/>
      <c r="C509" s="138" t="s">
        <v>561</v>
      </c>
      <c r="D509" s="139"/>
      <c r="E509" s="139"/>
      <c r="F509" s="139"/>
      <c r="G509" s="140"/>
      <c r="H509" s="23">
        <v>33</v>
      </c>
      <c r="I509" s="31">
        <v>1</v>
      </c>
      <c r="J509" s="31">
        <v>1</v>
      </c>
      <c r="K509" s="31">
        <v>0</v>
      </c>
      <c r="L509" s="31">
        <v>0</v>
      </c>
      <c r="M509" s="31">
        <v>0</v>
      </c>
      <c r="N509" s="31">
        <v>0</v>
      </c>
      <c r="O509" s="31">
        <v>1</v>
      </c>
      <c r="P509" s="31">
        <v>1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2</v>
      </c>
      <c r="Z509" s="31">
        <v>2</v>
      </c>
      <c r="AA509" s="31">
        <v>0</v>
      </c>
      <c r="AB509" s="31">
        <v>0</v>
      </c>
      <c r="AC509" s="76"/>
    </row>
    <row r="510" spans="1:29" ht="27.2" customHeight="1" x14ac:dyDescent="0.25">
      <c r="A510" s="145"/>
      <c r="B510" s="219"/>
      <c r="C510" s="138" t="s">
        <v>562</v>
      </c>
      <c r="D510" s="139"/>
      <c r="E510" s="139"/>
      <c r="F510" s="139"/>
      <c r="G510" s="140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46"/>
      <c r="B511" s="138" t="s">
        <v>179</v>
      </c>
      <c r="C511" s="139"/>
      <c r="D511" s="139"/>
      <c r="E511" s="139"/>
      <c r="F511" s="139"/>
      <c r="G511" s="140"/>
      <c r="H511" s="23">
        <v>35</v>
      </c>
      <c r="I511" s="31">
        <v>950</v>
      </c>
      <c r="J511" s="31">
        <v>848</v>
      </c>
      <c r="K511" s="31">
        <v>2</v>
      </c>
      <c r="L511" s="31">
        <v>0</v>
      </c>
      <c r="M511" s="31">
        <v>2</v>
      </c>
      <c r="N511" s="31">
        <v>0</v>
      </c>
      <c r="O511" s="31">
        <v>812</v>
      </c>
      <c r="P511" s="31">
        <v>810</v>
      </c>
      <c r="Q511" s="31">
        <v>0</v>
      </c>
      <c r="R511" s="31">
        <v>1</v>
      </c>
      <c r="S511" s="31">
        <v>1</v>
      </c>
      <c r="T511" s="31">
        <v>0</v>
      </c>
      <c r="U511" s="31">
        <v>6</v>
      </c>
      <c r="V511" s="31">
        <v>0</v>
      </c>
      <c r="W511" s="31">
        <v>4</v>
      </c>
      <c r="X511" s="62">
        <v>5</v>
      </c>
      <c r="Y511" s="31">
        <v>26</v>
      </c>
      <c r="Z511" s="31">
        <v>26</v>
      </c>
      <c r="AA511" s="31">
        <v>0</v>
      </c>
      <c r="AB511" s="31">
        <v>136</v>
      </c>
      <c r="AC511" s="76"/>
    </row>
    <row r="512" spans="1:29" ht="24.75" customHeight="1" x14ac:dyDescent="0.25">
      <c r="A512" s="138" t="s">
        <v>443</v>
      </c>
      <c r="B512" s="139"/>
      <c r="C512" s="139"/>
      <c r="D512" s="139"/>
      <c r="E512" s="139"/>
      <c r="F512" s="139"/>
      <c r="G512" s="140"/>
      <c r="H512" s="23">
        <v>36</v>
      </c>
      <c r="I512" s="31">
        <f t="shared" ref="I512:AB512" si="10">SUM(I501:I511,I476:I499)</f>
        <v>13837</v>
      </c>
      <c r="J512" s="31">
        <f t="shared" si="10"/>
        <v>11641</v>
      </c>
      <c r="K512" s="31">
        <f t="shared" si="10"/>
        <v>56</v>
      </c>
      <c r="L512" s="31">
        <f t="shared" si="10"/>
        <v>0</v>
      </c>
      <c r="M512" s="31">
        <f t="shared" si="10"/>
        <v>48</v>
      </c>
      <c r="N512" s="31">
        <f t="shared" si="10"/>
        <v>0</v>
      </c>
      <c r="O512" s="31">
        <f t="shared" si="10"/>
        <v>10268</v>
      </c>
      <c r="P512" s="31">
        <f t="shared" si="10"/>
        <v>10017</v>
      </c>
      <c r="Q512" s="31">
        <f t="shared" si="10"/>
        <v>8</v>
      </c>
      <c r="R512" s="31">
        <f t="shared" si="10"/>
        <v>227</v>
      </c>
      <c r="S512" s="31">
        <f t="shared" si="10"/>
        <v>16</v>
      </c>
      <c r="T512" s="31">
        <f t="shared" si="10"/>
        <v>0</v>
      </c>
      <c r="U512" s="31">
        <f t="shared" si="10"/>
        <v>604</v>
      </c>
      <c r="V512" s="31">
        <f t="shared" si="10"/>
        <v>349</v>
      </c>
      <c r="W512" s="31">
        <f t="shared" si="10"/>
        <v>607</v>
      </c>
      <c r="X512" s="31">
        <f t="shared" si="10"/>
        <v>200</v>
      </c>
      <c r="Y512" s="31">
        <f t="shared" si="10"/>
        <v>2142</v>
      </c>
      <c r="Z512" s="31">
        <f t="shared" si="10"/>
        <v>2138</v>
      </c>
      <c r="AA512" s="31">
        <f t="shared" si="10"/>
        <v>0</v>
      </c>
      <c r="AB512" s="31">
        <f t="shared" si="10"/>
        <v>3509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823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78"/>
      <c r="B515" s="179"/>
      <c r="C515" s="179"/>
      <c r="D515" s="179"/>
      <c r="E515" s="179"/>
      <c r="F515" s="179"/>
      <c r="G515" s="180"/>
      <c r="H515" s="187" t="s">
        <v>15</v>
      </c>
      <c r="I515" s="168" t="s">
        <v>1148</v>
      </c>
      <c r="J515" s="168" t="s">
        <v>16</v>
      </c>
      <c r="K515" s="168" t="s">
        <v>17</v>
      </c>
      <c r="L515" s="171" t="s">
        <v>18</v>
      </c>
      <c r="M515" s="172"/>
      <c r="N515" s="173"/>
      <c r="O515" s="168" t="s">
        <v>19</v>
      </c>
      <c r="P515" s="171" t="s">
        <v>20</v>
      </c>
      <c r="Q515" s="172"/>
      <c r="R515" s="172"/>
      <c r="S515" s="173"/>
      <c r="T515" s="168" t="s">
        <v>21</v>
      </c>
      <c r="U515" s="171" t="s">
        <v>22</v>
      </c>
      <c r="V515" s="172"/>
      <c r="W515" s="172"/>
      <c r="X515" s="173"/>
      <c r="Y515" s="171" t="s">
        <v>23</v>
      </c>
      <c r="Z515" s="172"/>
      <c r="AA515" s="173"/>
      <c r="AB515" s="168" t="s">
        <v>24</v>
      </c>
    </row>
    <row r="516" spans="1:28" ht="26.25" customHeight="1" x14ac:dyDescent="0.2">
      <c r="A516" s="181"/>
      <c r="B516" s="182"/>
      <c r="C516" s="182"/>
      <c r="D516" s="182"/>
      <c r="E516" s="182"/>
      <c r="F516" s="182"/>
      <c r="G516" s="183"/>
      <c r="H516" s="188"/>
      <c r="I516" s="170"/>
      <c r="J516" s="170"/>
      <c r="K516" s="170"/>
      <c r="L516" s="168" t="s">
        <v>25</v>
      </c>
      <c r="M516" s="168" t="s">
        <v>26</v>
      </c>
      <c r="N516" s="168" t="s">
        <v>27</v>
      </c>
      <c r="O516" s="170"/>
      <c r="P516" s="168" t="s">
        <v>28</v>
      </c>
      <c r="Q516" s="168" t="s">
        <v>29</v>
      </c>
      <c r="R516" s="168" t="s">
        <v>30</v>
      </c>
      <c r="S516" s="168" t="s">
        <v>31</v>
      </c>
      <c r="T516" s="170"/>
      <c r="U516" s="171" t="s">
        <v>32</v>
      </c>
      <c r="V516" s="172"/>
      <c r="W516" s="172"/>
      <c r="X516" s="173"/>
      <c r="Y516" s="168" t="s">
        <v>33</v>
      </c>
      <c r="Z516" s="171" t="s">
        <v>34</v>
      </c>
      <c r="AA516" s="173"/>
      <c r="AB516" s="170"/>
    </row>
    <row r="517" spans="1:28" ht="78.75" customHeight="1" x14ac:dyDescent="0.2">
      <c r="A517" s="184"/>
      <c r="B517" s="185"/>
      <c r="C517" s="185"/>
      <c r="D517" s="185"/>
      <c r="E517" s="185"/>
      <c r="F517" s="185"/>
      <c r="G517" s="186"/>
      <c r="H517" s="18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9" t="s">
        <v>35</v>
      </c>
      <c r="V517" s="16" t="s">
        <v>36</v>
      </c>
      <c r="W517" s="16" t="s">
        <v>37</v>
      </c>
      <c r="X517" s="16" t="s">
        <v>38</v>
      </c>
      <c r="Y517" s="169"/>
      <c r="Z517" s="18" t="s">
        <v>39</v>
      </c>
      <c r="AA517" s="17" t="s">
        <v>40</v>
      </c>
      <c r="AB517" s="169"/>
    </row>
    <row r="518" spans="1:28" ht="15.75" customHeight="1" x14ac:dyDescent="0.2">
      <c r="A518" s="150" t="s">
        <v>41</v>
      </c>
      <c r="B518" s="151"/>
      <c r="C518" s="151"/>
      <c r="D518" s="151"/>
      <c r="E518" s="151"/>
      <c r="F518" s="151"/>
      <c r="G518" s="152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53" t="s">
        <v>43</v>
      </c>
      <c r="B519" s="154"/>
      <c r="C519" s="154"/>
      <c r="D519" s="154"/>
      <c r="E519" s="154"/>
      <c r="F519" s="154"/>
      <c r="G519" s="155"/>
      <c r="H519" s="23">
        <v>1</v>
      </c>
      <c r="I519" s="31">
        <v>33353</v>
      </c>
      <c r="J519" s="31">
        <v>26919</v>
      </c>
      <c r="K519" s="31">
        <v>144</v>
      </c>
      <c r="L519" s="31">
        <v>2</v>
      </c>
      <c r="M519" s="31">
        <v>127</v>
      </c>
      <c r="N519" s="31">
        <v>0</v>
      </c>
      <c r="O519" s="31">
        <v>23691</v>
      </c>
      <c r="P519" s="31">
        <v>23589</v>
      </c>
      <c r="Q519" s="31">
        <v>11</v>
      </c>
      <c r="R519" s="31">
        <v>77</v>
      </c>
      <c r="S519" s="31">
        <v>14</v>
      </c>
      <c r="T519" s="31">
        <v>0</v>
      </c>
      <c r="U519" s="31">
        <v>4756</v>
      </c>
      <c r="V519" s="31">
        <v>2245</v>
      </c>
      <c r="W519" s="31">
        <v>39</v>
      </c>
      <c r="X519" s="62">
        <v>114</v>
      </c>
      <c r="Y519" s="31">
        <v>8172</v>
      </c>
      <c r="Z519" s="31">
        <v>8006</v>
      </c>
      <c r="AA519" s="31">
        <v>0</v>
      </c>
      <c r="AB519" s="31">
        <v>9352</v>
      </c>
    </row>
    <row r="520" spans="1:28" ht="20.25" customHeight="1" x14ac:dyDescent="0.2">
      <c r="A520" s="156" t="s">
        <v>181</v>
      </c>
      <c r="B520" s="158"/>
      <c r="C520" s="165" t="s">
        <v>51</v>
      </c>
      <c r="D520" s="166"/>
      <c r="E520" s="166"/>
      <c r="F520" s="166"/>
      <c r="G520" s="167"/>
      <c r="H520" s="23">
        <v>2</v>
      </c>
      <c r="I520" s="31">
        <v>2599</v>
      </c>
      <c r="J520" s="31">
        <v>2410</v>
      </c>
      <c r="K520" s="31">
        <v>2</v>
      </c>
      <c r="L520" s="31">
        <v>0</v>
      </c>
      <c r="M520" s="31">
        <v>2</v>
      </c>
      <c r="N520" s="31">
        <v>0</v>
      </c>
      <c r="O520" s="31">
        <v>2031</v>
      </c>
      <c r="P520" s="31">
        <v>2031</v>
      </c>
      <c r="Q520" s="31">
        <v>0</v>
      </c>
      <c r="R520" s="31">
        <v>0</v>
      </c>
      <c r="S520" s="31">
        <v>0</v>
      </c>
      <c r="T520" s="31">
        <v>0</v>
      </c>
      <c r="U520" s="31">
        <v>170</v>
      </c>
      <c r="V520" s="31">
        <v>1179</v>
      </c>
      <c r="W520" s="31">
        <v>0</v>
      </c>
      <c r="X520" s="62">
        <v>29</v>
      </c>
      <c r="Y520" s="31">
        <v>4</v>
      </c>
      <c r="Z520" s="31">
        <v>4</v>
      </c>
      <c r="AA520" s="31">
        <v>0</v>
      </c>
      <c r="AB520" s="31">
        <v>566</v>
      </c>
    </row>
    <row r="521" spans="1:28" ht="20.25" customHeight="1" x14ac:dyDescent="0.2">
      <c r="A521" s="159"/>
      <c r="B521" s="161"/>
      <c r="C521" s="165" t="s">
        <v>52</v>
      </c>
      <c r="D521" s="166"/>
      <c r="E521" s="166"/>
      <c r="F521" s="166"/>
      <c r="G521" s="167"/>
      <c r="H521" s="23">
        <v>3</v>
      </c>
      <c r="I521" s="31">
        <v>17303</v>
      </c>
      <c r="J521" s="31">
        <v>15017</v>
      </c>
      <c r="K521" s="31">
        <v>113</v>
      </c>
      <c r="L521" s="31">
        <v>0</v>
      </c>
      <c r="M521" s="31">
        <v>106</v>
      </c>
      <c r="N521" s="31">
        <v>0</v>
      </c>
      <c r="O521" s="31">
        <v>12637</v>
      </c>
      <c r="P521" s="31">
        <v>12582</v>
      </c>
      <c r="Q521" s="31">
        <v>0</v>
      </c>
      <c r="R521" s="31">
        <v>50</v>
      </c>
      <c r="S521" s="31">
        <v>5</v>
      </c>
      <c r="T521" s="31">
        <v>0</v>
      </c>
      <c r="U521" s="31">
        <v>2885</v>
      </c>
      <c r="V521" s="31">
        <v>853</v>
      </c>
      <c r="W521" s="31">
        <v>6</v>
      </c>
      <c r="X521" s="62">
        <v>61</v>
      </c>
      <c r="Y521" s="31">
        <v>447</v>
      </c>
      <c r="Z521" s="31">
        <v>298</v>
      </c>
      <c r="AA521" s="31">
        <v>0</v>
      </c>
      <c r="AB521" s="31">
        <v>4404</v>
      </c>
    </row>
    <row r="522" spans="1:28" ht="20.25" customHeight="1" x14ac:dyDescent="0.2">
      <c r="A522" s="159"/>
      <c r="B522" s="161"/>
      <c r="C522" s="165" t="s">
        <v>182</v>
      </c>
      <c r="D522" s="166"/>
      <c r="E522" s="166"/>
      <c r="F522" s="166"/>
      <c r="G522" s="167"/>
      <c r="H522" s="23">
        <v>4</v>
      </c>
      <c r="I522" s="31">
        <v>3840</v>
      </c>
      <c r="J522" s="31">
        <v>3221</v>
      </c>
      <c r="K522" s="31">
        <v>17</v>
      </c>
      <c r="L522" s="31">
        <v>1</v>
      </c>
      <c r="M522" s="31">
        <v>13</v>
      </c>
      <c r="N522" s="31">
        <v>0</v>
      </c>
      <c r="O522" s="31">
        <v>2853</v>
      </c>
      <c r="P522" s="31">
        <v>2853</v>
      </c>
      <c r="Q522" s="31">
        <v>0</v>
      </c>
      <c r="R522" s="31">
        <v>0</v>
      </c>
      <c r="S522" s="31">
        <v>0</v>
      </c>
      <c r="T522" s="31">
        <v>0</v>
      </c>
      <c r="U522" s="31">
        <v>775</v>
      </c>
      <c r="V522" s="31">
        <v>210</v>
      </c>
      <c r="W522" s="31">
        <v>3</v>
      </c>
      <c r="X522" s="62">
        <v>4</v>
      </c>
      <c r="Y522" s="31">
        <v>486</v>
      </c>
      <c r="Z522" s="31">
        <v>482</v>
      </c>
      <c r="AA522" s="31">
        <v>0</v>
      </c>
      <c r="AB522" s="31">
        <v>966</v>
      </c>
    </row>
    <row r="523" spans="1:28" ht="20.25" customHeight="1" x14ac:dyDescent="0.2">
      <c r="A523" s="162"/>
      <c r="B523" s="164"/>
      <c r="C523" s="165" t="s">
        <v>49</v>
      </c>
      <c r="D523" s="166"/>
      <c r="E523" s="166"/>
      <c r="F523" s="166"/>
      <c r="G523" s="167"/>
      <c r="H523" s="23">
        <v>5</v>
      </c>
      <c r="I523" s="31">
        <v>9611</v>
      </c>
      <c r="J523" s="31">
        <v>6271</v>
      </c>
      <c r="K523" s="31">
        <v>12</v>
      </c>
      <c r="L523" s="31">
        <v>1</v>
      </c>
      <c r="M523" s="31">
        <v>6</v>
      </c>
      <c r="N523" s="31">
        <v>0</v>
      </c>
      <c r="O523" s="31">
        <v>6170</v>
      </c>
      <c r="P523" s="31">
        <v>6123</v>
      </c>
      <c r="Q523" s="31">
        <v>11</v>
      </c>
      <c r="R523" s="31">
        <v>27</v>
      </c>
      <c r="S523" s="31">
        <v>9</v>
      </c>
      <c r="T523" s="31">
        <v>0</v>
      </c>
      <c r="U523" s="31">
        <v>926</v>
      </c>
      <c r="V523" s="31">
        <v>3</v>
      </c>
      <c r="W523" s="31">
        <v>30</v>
      </c>
      <c r="X523" s="62">
        <v>20</v>
      </c>
      <c r="Y523" s="31">
        <v>7235</v>
      </c>
      <c r="Z523" s="31">
        <v>7222</v>
      </c>
      <c r="AA523" s="31">
        <v>0</v>
      </c>
      <c r="AB523" s="31">
        <v>3416</v>
      </c>
    </row>
    <row r="524" spans="1:28" ht="64.5" customHeight="1" x14ac:dyDescent="0.2">
      <c r="A524" s="144" t="s">
        <v>165</v>
      </c>
      <c r="B524" s="138" t="s">
        <v>565</v>
      </c>
      <c r="C524" s="139"/>
      <c r="D524" s="139"/>
      <c r="E524" s="139"/>
      <c r="F524" s="139"/>
      <c r="G524" s="140"/>
      <c r="H524" s="23">
        <v>6</v>
      </c>
      <c r="I524" s="31">
        <v>44</v>
      </c>
      <c r="J524" s="31">
        <v>44</v>
      </c>
      <c r="K524" s="31">
        <v>0</v>
      </c>
      <c r="L524" s="31">
        <v>0</v>
      </c>
      <c r="M524" s="31">
        <v>0</v>
      </c>
      <c r="N524" s="31">
        <v>0</v>
      </c>
      <c r="O524" s="31">
        <v>40</v>
      </c>
      <c r="P524" s="31">
        <v>40</v>
      </c>
      <c r="Q524" s="31">
        <v>0</v>
      </c>
      <c r="R524" s="31">
        <v>0</v>
      </c>
      <c r="S524" s="31">
        <v>0</v>
      </c>
      <c r="T524" s="31">
        <v>0</v>
      </c>
      <c r="U524" s="31">
        <v>12</v>
      </c>
      <c r="V524" s="31">
        <v>13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4</v>
      </c>
    </row>
    <row r="525" spans="1:28" ht="52.5" customHeight="1" x14ac:dyDescent="0.2">
      <c r="A525" s="145"/>
      <c r="B525" s="138" t="s">
        <v>566</v>
      </c>
      <c r="C525" s="139"/>
      <c r="D525" s="139"/>
      <c r="E525" s="139"/>
      <c r="F525" s="139"/>
      <c r="G525" s="140"/>
      <c r="H525" s="23">
        <v>7</v>
      </c>
      <c r="I525" s="31">
        <v>11251</v>
      </c>
      <c r="J525" s="31">
        <v>9121</v>
      </c>
      <c r="K525" s="31">
        <v>105</v>
      </c>
      <c r="L525" s="31">
        <v>0</v>
      </c>
      <c r="M525" s="31">
        <v>98</v>
      </c>
      <c r="N525" s="31">
        <v>0</v>
      </c>
      <c r="O525" s="31">
        <v>7162</v>
      </c>
      <c r="P525" s="31">
        <v>7151</v>
      </c>
      <c r="Q525" s="31">
        <v>0</v>
      </c>
      <c r="R525" s="31">
        <v>7</v>
      </c>
      <c r="S525" s="31">
        <v>4</v>
      </c>
      <c r="T525" s="31">
        <v>0</v>
      </c>
      <c r="U525" s="31">
        <v>1287</v>
      </c>
      <c r="V525" s="31">
        <v>1652</v>
      </c>
      <c r="W525" s="31">
        <v>5</v>
      </c>
      <c r="X525" s="62">
        <v>86</v>
      </c>
      <c r="Y525" s="31">
        <v>272</v>
      </c>
      <c r="Z525" s="31">
        <v>258</v>
      </c>
      <c r="AA525" s="31">
        <v>0</v>
      </c>
      <c r="AB525" s="31">
        <v>3970</v>
      </c>
    </row>
    <row r="526" spans="1:28" ht="26.25" customHeight="1" x14ac:dyDescent="0.2">
      <c r="A526" s="145"/>
      <c r="B526" s="220" t="s">
        <v>32</v>
      </c>
      <c r="C526" s="138" t="s">
        <v>567</v>
      </c>
      <c r="D526" s="139"/>
      <c r="E526" s="139"/>
      <c r="F526" s="139"/>
      <c r="G526" s="140"/>
      <c r="H526" s="23">
        <v>8</v>
      </c>
      <c r="I526" s="31">
        <v>1705</v>
      </c>
      <c r="J526" s="31">
        <v>1115</v>
      </c>
      <c r="K526" s="31">
        <v>1</v>
      </c>
      <c r="L526" s="31">
        <v>0</v>
      </c>
      <c r="M526" s="31">
        <v>1</v>
      </c>
      <c r="N526" s="31">
        <v>0</v>
      </c>
      <c r="O526" s="31">
        <v>847</v>
      </c>
      <c r="P526" s="31">
        <v>847</v>
      </c>
      <c r="Q526" s="31">
        <v>0</v>
      </c>
      <c r="R526" s="31">
        <v>0</v>
      </c>
      <c r="S526" s="31">
        <v>0</v>
      </c>
      <c r="T526" s="31">
        <v>0</v>
      </c>
      <c r="U526" s="31">
        <v>150</v>
      </c>
      <c r="V526" s="31">
        <v>360</v>
      </c>
      <c r="W526" s="31">
        <v>0</v>
      </c>
      <c r="X526" s="62">
        <v>0</v>
      </c>
      <c r="Y526" s="31">
        <v>88</v>
      </c>
      <c r="Z526" s="31">
        <v>88</v>
      </c>
      <c r="AA526" s="31">
        <v>0</v>
      </c>
      <c r="AB526" s="31">
        <v>857</v>
      </c>
    </row>
    <row r="527" spans="1:28" ht="24.75" customHeight="1" x14ac:dyDescent="0.2">
      <c r="A527" s="145"/>
      <c r="B527" s="221"/>
      <c r="C527" s="138" t="s">
        <v>568</v>
      </c>
      <c r="D527" s="139"/>
      <c r="E527" s="139"/>
      <c r="F527" s="139"/>
      <c r="G527" s="140"/>
      <c r="H527" s="23">
        <v>9</v>
      </c>
      <c r="I527" s="31">
        <v>9264</v>
      </c>
      <c r="J527" s="31">
        <v>7813</v>
      </c>
      <c r="K527" s="31">
        <v>60</v>
      </c>
      <c r="L527" s="31">
        <v>0</v>
      </c>
      <c r="M527" s="31">
        <v>57</v>
      </c>
      <c r="N527" s="31">
        <v>0</v>
      </c>
      <c r="O527" s="31">
        <v>6315</v>
      </c>
      <c r="P527" s="31">
        <v>6307</v>
      </c>
      <c r="Q527" s="31">
        <v>0</v>
      </c>
      <c r="R527" s="31">
        <v>6</v>
      </c>
      <c r="S527" s="31">
        <v>2</v>
      </c>
      <c r="T527" s="31">
        <v>0</v>
      </c>
      <c r="U527" s="31">
        <v>1120</v>
      </c>
      <c r="V527" s="31">
        <v>1237</v>
      </c>
      <c r="W527" s="31">
        <v>5</v>
      </c>
      <c r="X527" s="62">
        <v>79</v>
      </c>
      <c r="Y527" s="31">
        <v>198</v>
      </c>
      <c r="Z527" s="31">
        <v>187</v>
      </c>
      <c r="AA527" s="31">
        <v>0</v>
      </c>
      <c r="AB527" s="31">
        <v>2878</v>
      </c>
    </row>
    <row r="528" spans="1:28" ht="27.2" customHeight="1" x14ac:dyDescent="0.2">
      <c r="A528" s="145"/>
      <c r="B528" s="221"/>
      <c r="C528" s="138" t="s">
        <v>569</v>
      </c>
      <c r="D528" s="139"/>
      <c r="E528" s="139"/>
      <c r="F528" s="139"/>
      <c r="G528" s="140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45"/>
      <c r="B529" s="222"/>
      <c r="C529" s="138" t="s">
        <v>570</v>
      </c>
      <c r="D529" s="139"/>
      <c r="E529" s="139"/>
      <c r="F529" s="139"/>
      <c r="G529" s="140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45"/>
      <c r="B530" s="138" t="s">
        <v>571</v>
      </c>
      <c r="C530" s="139"/>
      <c r="D530" s="139"/>
      <c r="E530" s="139"/>
      <c r="F530" s="139"/>
      <c r="G530" s="140"/>
      <c r="H530" s="23">
        <v>12</v>
      </c>
      <c r="I530" s="31">
        <v>7236</v>
      </c>
      <c r="J530" s="31">
        <v>7059</v>
      </c>
      <c r="K530" s="31">
        <v>10</v>
      </c>
      <c r="L530" s="31">
        <v>0</v>
      </c>
      <c r="M530" s="31">
        <v>10</v>
      </c>
      <c r="N530" s="31">
        <v>0</v>
      </c>
      <c r="O530" s="31">
        <v>6455</v>
      </c>
      <c r="P530" s="31">
        <v>6413</v>
      </c>
      <c r="Q530" s="31">
        <v>0</v>
      </c>
      <c r="R530" s="31">
        <v>42</v>
      </c>
      <c r="S530" s="31">
        <v>0</v>
      </c>
      <c r="T530" s="31">
        <v>0</v>
      </c>
      <c r="U530" s="31">
        <v>1451</v>
      </c>
      <c r="V530" s="31">
        <v>104</v>
      </c>
      <c r="W530" s="31">
        <v>0</v>
      </c>
      <c r="X530" s="62">
        <v>0</v>
      </c>
      <c r="Y530" s="31">
        <v>159</v>
      </c>
      <c r="Z530" s="31">
        <v>24</v>
      </c>
      <c r="AA530" s="31">
        <v>0</v>
      </c>
      <c r="AB530" s="31">
        <v>636</v>
      </c>
    </row>
    <row r="531" spans="1:28" ht="55.5" customHeight="1" x14ac:dyDescent="0.2">
      <c r="A531" s="145"/>
      <c r="B531" s="138" t="s">
        <v>572</v>
      </c>
      <c r="C531" s="139"/>
      <c r="D531" s="139"/>
      <c r="E531" s="139"/>
      <c r="F531" s="139"/>
      <c r="G531" s="140"/>
      <c r="H531" s="23">
        <v>13</v>
      </c>
      <c r="I531" s="31">
        <v>11432</v>
      </c>
      <c r="J531" s="31">
        <v>7702</v>
      </c>
      <c r="K531" s="31">
        <v>17</v>
      </c>
      <c r="L531" s="31">
        <v>2</v>
      </c>
      <c r="M531" s="31">
        <v>8</v>
      </c>
      <c r="N531" s="31">
        <v>0</v>
      </c>
      <c r="O531" s="31">
        <v>7518</v>
      </c>
      <c r="P531" s="31">
        <v>7470</v>
      </c>
      <c r="Q531" s="31">
        <v>11</v>
      </c>
      <c r="R531" s="31">
        <v>27</v>
      </c>
      <c r="S531" s="31">
        <v>10</v>
      </c>
      <c r="T531" s="31">
        <v>0</v>
      </c>
      <c r="U531" s="31">
        <v>1484</v>
      </c>
      <c r="V531" s="31">
        <v>9</v>
      </c>
      <c r="W531" s="31">
        <v>32</v>
      </c>
      <c r="X531" s="62">
        <v>26</v>
      </c>
      <c r="Y531" s="31">
        <v>7613</v>
      </c>
      <c r="Z531" s="31">
        <v>7598</v>
      </c>
      <c r="AA531" s="31">
        <v>0</v>
      </c>
      <c r="AB531" s="31">
        <v>3882</v>
      </c>
    </row>
    <row r="532" spans="1:28" ht="27.2" customHeight="1" x14ac:dyDescent="0.2">
      <c r="A532" s="145"/>
      <c r="B532" s="190" t="s">
        <v>32</v>
      </c>
      <c r="C532" s="138" t="s">
        <v>573</v>
      </c>
      <c r="D532" s="139"/>
      <c r="E532" s="139"/>
      <c r="F532" s="139"/>
      <c r="G532" s="140"/>
      <c r="H532" s="23">
        <v>14</v>
      </c>
      <c r="I532" s="31">
        <v>9393</v>
      </c>
      <c r="J532" s="31">
        <v>6200</v>
      </c>
      <c r="K532" s="31">
        <v>12</v>
      </c>
      <c r="L532" s="31">
        <v>1</v>
      </c>
      <c r="M532" s="31">
        <v>6</v>
      </c>
      <c r="N532" s="31">
        <v>0</v>
      </c>
      <c r="O532" s="31">
        <v>6112</v>
      </c>
      <c r="P532" s="31">
        <v>6065</v>
      </c>
      <c r="Q532" s="31">
        <v>11</v>
      </c>
      <c r="R532" s="31">
        <v>27</v>
      </c>
      <c r="S532" s="31">
        <v>9</v>
      </c>
      <c r="T532" s="31">
        <v>0</v>
      </c>
      <c r="U532" s="31">
        <v>914</v>
      </c>
      <c r="V532" s="31">
        <v>3</v>
      </c>
      <c r="W532" s="31">
        <v>30</v>
      </c>
      <c r="X532" s="31">
        <v>20</v>
      </c>
      <c r="Y532" s="31">
        <v>7169</v>
      </c>
      <c r="Z532" s="31">
        <v>7157</v>
      </c>
      <c r="AA532" s="31">
        <v>0</v>
      </c>
      <c r="AB532" s="31">
        <v>3257</v>
      </c>
    </row>
    <row r="533" spans="1:28" ht="26.25" customHeight="1" x14ac:dyDescent="0.2">
      <c r="A533" s="145"/>
      <c r="B533" s="191"/>
      <c r="C533" s="139" t="s">
        <v>574</v>
      </c>
      <c r="D533" s="139"/>
      <c r="E533" s="139"/>
      <c r="F533" s="139"/>
      <c r="G533" s="140"/>
      <c r="H533" s="23">
        <v>15</v>
      </c>
      <c r="I533" s="54">
        <v>2039</v>
      </c>
      <c r="J533" s="54">
        <v>1502</v>
      </c>
      <c r="K533" s="54">
        <v>5</v>
      </c>
      <c r="L533" s="54">
        <v>1</v>
      </c>
      <c r="M533" s="31">
        <v>2</v>
      </c>
      <c r="N533" s="31">
        <v>0</v>
      </c>
      <c r="O533" s="31">
        <v>1406</v>
      </c>
      <c r="P533" s="31">
        <v>1405</v>
      </c>
      <c r="Q533" s="31">
        <v>0</v>
      </c>
      <c r="R533" s="31">
        <v>0</v>
      </c>
      <c r="S533" s="31">
        <v>1</v>
      </c>
      <c r="T533" s="31">
        <v>0</v>
      </c>
      <c r="U533" s="31">
        <v>570</v>
      </c>
      <c r="V533" s="31">
        <v>6</v>
      </c>
      <c r="W533" s="31">
        <v>2</v>
      </c>
      <c r="X533" s="31">
        <v>6</v>
      </c>
      <c r="Y533" s="31">
        <v>444</v>
      </c>
      <c r="Z533" s="31">
        <v>441</v>
      </c>
      <c r="AA533" s="31">
        <v>0</v>
      </c>
      <c r="AB533" s="31">
        <v>625</v>
      </c>
    </row>
    <row r="534" spans="1:28" ht="40.5" customHeight="1" x14ac:dyDescent="0.2">
      <c r="A534" s="145"/>
      <c r="B534" s="138" t="s">
        <v>575</v>
      </c>
      <c r="C534" s="139"/>
      <c r="D534" s="139"/>
      <c r="E534" s="139"/>
      <c r="F534" s="139"/>
      <c r="G534" s="140"/>
      <c r="H534" s="23">
        <v>16</v>
      </c>
      <c r="I534" s="31">
        <v>307</v>
      </c>
      <c r="J534" s="31">
        <v>113</v>
      </c>
      <c r="K534" s="31">
        <v>0</v>
      </c>
      <c r="L534" s="31">
        <v>0</v>
      </c>
      <c r="M534" s="31">
        <v>0</v>
      </c>
      <c r="N534" s="31">
        <v>0</v>
      </c>
      <c r="O534" s="31">
        <v>80</v>
      </c>
      <c r="P534" s="31">
        <v>79</v>
      </c>
      <c r="Q534" s="31">
        <v>0</v>
      </c>
      <c r="R534" s="31">
        <v>1</v>
      </c>
      <c r="S534" s="31">
        <v>0</v>
      </c>
      <c r="T534" s="31">
        <v>0</v>
      </c>
      <c r="U534" s="31">
        <v>10</v>
      </c>
      <c r="V534" s="31">
        <v>8</v>
      </c>
      <c r="W534" s="31">
        <v>0</v>
      </c>
      <c r="X534" s="62">
        <v>0</v>
      </c>
      <c r="Y534" s="31">
        <v>64</v>
      </c>
      <c r="Z534" s="31">
        <v>64</v>
      </c>
      <c r="AA534" s="31">
        <v>0</v>
      </c>
      <c r="AB534" s="31">
        <v>227</v>
      </c>
    </row>
    <row r="535" spans="1:28" ht="27.2" customHeight="1" x14ac:dyDescent="0.2">
      <c r="A535" s="145"/>
      <c r="B535" s="190" t="s">
        <v>32</v>
      </c>
      <c r="C535" s="138" t="s">
        <v>576</v>
      </c>
      <c r="D535" s="139"/>
      <c r="E535" s="139"/>
      <c r="F535" s="139"/>
      <c r="G535" s="140"/>
      <c r="H535" s="23">
        <v>17</v>
      </c>
      <c r="I535" s="31">
        <v>202</v>
      </c>
      <c r="J535" s="31">
        <v>62</v>
      </c>
      <c r="K535" s="31">
        <v>0</v>
      </c>
      <c r="L535" s="31">
        <v>0</v>
      </c>
      <c r="M535" s="31">
        <v>0</v>
      </c>
      <c r="N535" s="31">
        <v>0</v>
      </c>
      <c r="O535" s="31">
        <v>51</v>
      </c>
      <c r="P535" s="31">
        <v>51</v>
      </c>
      <c r="Q535" s="31">
        <v>0</v>
      </c>
      <c r="R535" s="31">
        <v>0</v>
      </c>
      <c r="S535" s="31">
        <v>0</v>
      </c>
      <c r="T535" s="31">
        <v>0</v>
      </c>
      <c r="U535" s="31">
        <v>9</v>
      </c>
      <c r="V535" s="31">
        <v>0</v>
      </c>
      <c r="W535" s="31">
        <v>0</v>
      </c>
      <c r="X535" s="31">
        <v>0</v>
      </c>
      <c r="Y535" s="31">
        <v>54</v>
      </c>
      <c r="Z535" s="31">
        <v>54</v>
      </c>
      <c r="AA535" s="31">
        <v>0</v>
      </c>
      <c r="AB535" s="31">
        <v>151</v>
      </c>
    </row>
    <row r="536" spans="1:28" ht="26.25" customHeight="1" x14ac:dyDescent="0.2">
      <c r="A536" s="145"/>
      <c r="B536" s="191"/>
      <c r="C536" s="139" t="s">
        <v>577</v>
      </c>
      <c r="D536" s="139"/>
      <c r="E536" s="139"/>
      <c r="F536" s="139"/>
      <c r="G536" s="140"/>
      <c r="H536" s="23">
        <v>18</v>
      </c>
      <c r="I536" s="54">
        <v>105</v>
      </c>
      <c r="J536" s="54">
        <v>51</v>
      </c>
      <c r="K536" s="54">
        <v>0</v>
      </c>
      <c r="L536" s="54">
        <v>0</v>
      </c>
      <c r="M536" s="31">
        <v>0</v>
      </c>
      <c r="N536" s="31">
        <v>0</v>
      </c>
      <c r="O536" s="31">
        <v>29</v>
      </c>
      <c r="P536" s="31">
        <v>28</v>
      </c>
      <c r="Q536" s="31">
        <v>0</v>
      </c>
      <c r="R536" s="31">
        <v>1</v>
      </c>
      <c r="S536" s="31">
        <v>0</v>
      </c>
      <c r="T536" s="31">
        <v>0</v>
      </c>
      <c r="U536" s="31">
        <v>1</v>
      </c>
      <c r="V536" s="31">
        <v>8</v>
      </c>
      <c r="W536" s="31">
        <v>0</v>
      </c>
      <c r="X536" s="31">
        <v>0</v>
      </c>
      <c r="Y536" s="31">
        <v>10</v>
      </c>
      <c r="Z536" s="31">
        <v>10</v>
      </c>
      <c r="AA536" s="31">
        <v>0</v>
      </c>
      <c r="AB536" s="31">
        <v>76</v>
      </c>
    </row>
    <row r="537" spans="1:28" ht="40.5" customHeight="1" x14ac:dyDescent="0.2">
      <c r="A537" s="145"/>
      <c r="B537" s="138" t="s">
        <v>578</v>
      </c>
      <c r="C537" s="139"/>
      <c r="D537" s="139"/>
      <c r="E537" s="139"/>
      <c r="F537" s="139"/>
      <c r="G537" s="140"/>
      <c r="H537" s="23">
        <v>19</v>
      </c>
      <c r="I537" s="31">
        <v>225</v>
      </c>
      <c r="J537" s="31">
        <v>152</v>
      </c>
      <c r="K537" s="31">
        <v>0</v>
      </c>
      <c r="L537" s="31">
        <v>0</v>
      </c>
      <c r="M537" s="31">
        <v>0</v>
      </c>
      <c r="N537" s="31">
        <v>0</v>
      </c>
      <c r="O537" s="31">
        <v>105</v>
      </c>
      <c r="P537" s="31">
        <v>105</v>
      </c>
      <c r="Q537" s="31">
        <v>0</v>
      </c>
      <c r="R537" s="31">
        <v>0</v>
      </c>
      <c r="S537" s="31">
        <v>0</v>
      </c>
      <c r="T537" s="31">
        <v>0</v>
      </c>
      <c r="U537" s="31">
        <v>29</v>
      </c>
      <c r="V537" s="31">
        <v>50</v>
      </c>
      <c r="W537" s="31">
        <v>0</v>
      </c>
      <c r="X537" s="62">
        <v>1</v>
      </c>
      <c r="Y537" s="31">
        <v>14</v>
      </c>
      <c r="Z537" s="31">
        <v>13</v>
      </c>
      <c r="AA537" s="31">
        <v>0</v>
      </c>
      <c r="AB537" s="31">
        <v>119</v>
      </c>
    </row>
    <row r="538" spans="1:28" ht="27.2" customHeight="1" x14ac:dyDescent="0.2">
      <c r="A538" s="145"/>
      <c r="B538" s="190" t="s">
        <v>32</v>
      </c>
      <c r="C538" s="138" t="s">
        <v>579</v>
      </c>
      <c r="D538" s="139"/>
      <c r="E538" s="139"/>
      <c r="F538" s="139"/>
      <c r="G538" s="140"/>
      <c r="H538" s="23">
        <v>20</v>
      </c>
      <c r="I538" s="31">
        <v>14</v>
      </c>
      <c r="J538" s="31">
        <v>9</v>
      </c>
      <c r="K538" s="31">
        <v>0</v>
      </c>
      <c r="L538" s="31">
        <v>0</v>
      </c>
      <c r="M538" s="31">
        <v>0</v>
      </c>
      <c r="N538" s="31">
        <v>0</v>
      </c>
      <c r="O538" s="31">
        <v>7</v>
      </c>
      <c r="P538" s="31">
        <v>7</v>
      </c>
      <c r="Q538" s="31">
        <v>0</v>
      </c>
      <c r="R538" s="31">
        <v>0</v>
      </c>
      <c r="S538" s="31">
        <v>0</v>
      </c>
      <c r="T538" s="31">
        <v>0</v>
      </c>
      <c r="U538" s="31">
        <v>3</v>
      </c>
      <c r="V538" s="31">
        <v>0</v>
      </c>
      <c r="W538" s="31">
        <v>0</v>
      </c>
      <c r="X538" s="31">
        <v>0</v>
      </c>
      <c r="Y538" s="31">
        <v>12</v>
      </c>
      <c r="Z538" s="31">
        <v>11</v>
      </c>
      <c r="AA538" s="31">
        <v>0</v>
      </c>
      <c r="AB538" s="31">
        <v>6</v>
      </c>
    </row>
    <row r="539" spans="1:28" ht="26.25" customHeight="1" x14ac:dyDescent="0.2">
      <c r="A539" s="145"/>
      <c r="B539" s="191"/>
      <c r="C539" s="139" t="s">
        <v>580</v>
      </c>
      <c r="D539" s="139"/>
      <c r="E539" s="139"/>
      <c r="F539" s="139"/>
      <c r="G539" s="140"/>
      <c r="H539" s="23">
        <v>21</v>
      </c>
      <c r="I539" s="54">
        <v>211</v>
      </c>
      <c r="J539" s="54">
        <v>143</v>
      </c>
      <c r="K539" s="54">
        <v>0</v>
      </c>
      <c r="L539" s="54">
        <v>0</v>
      </c>
      <c r="M539" s="31">
        <v>0</v>
      </c>
      <c r="N539" s="31">
        <v>0</v>
      </c>
      <c r="O539" s="31">
        <v>98</v>
      </c>
      <c r="P539" s="31">
        <v>98</v>
      </c>
      <c r="Q539" s="31">
        <v>0</v>
      </c>
      <c r="R539" s="31">
        <v>0</v>
      </c>
      <c r="S539" s="31">
        <v>0</v>
      </c>
      <c r="T539" s="31">
        <v>0</v>
      </c>
      <c r="U539" s="31">
        <v>26</v>
      </c>
      <c r="V539" s="31">
        <v>50</v>
      </c>
      <c r="W539" s="31">
        <v>0</v>
      </c>
      <c r="X539" s="31">
        <v>1</v>
      </c>
      <c r="Y539" s="31">
        <v>2</v>
      </c>
      <c r="Z539" s="31">
        <v>2</v>
      </c>
      <c r="AA539" s="31">
        <v>0</v>
      </c>
      <c r="AB539" s="31">
        <v>113</v>
      </c>
    </row>
    <row r="540" spans="1:28" ht="54" customHeight="1" x14ac:dyDescent="0.2">
      <c r="A540" s="145"/>
      <c r="B540" s="138" t="s">
        <v>581</v>
      </c>
      <c r="C540" s="139"/>
      <c r="D540" s="139"/>
      <c r="E540" s="139"/>
      <c r="F540" s="139"/>
      <c r="G540" s="140"/>
      <c r="H540" s="23">
        <v>22</v>
      </c>
      <c r="I540" s="31">
        <v>3</v>
      </c>
      <c r="J540" s="31">
        <v>3</v>
      </c>
      <c r="K540" s="31">
        <v>0</v>
      </c>
      <c r="L540" s="31">
        <v>0</v>
      </c>
      <c r="M540" s="31">
        <v>0</v>
      </c>
      <c r="N540" s="31">
        <v>0</v>
      </c>
      <c r="O540" s="31">
        <v>3</v>
      </c>
      <c r="P540" s="31">
        <v>3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6"/>
      <c r="B541" s="138" t="s">
        <v>582</v>
      </c>
      <c r="C541" s="139"/>
      <c r="D541" s="139"/>
      <c r="E541" s="139"/>
      <c r="F541" s="139"/>
      <c r="G541" s="140"/>
      <c r="H541" s="23">
        <v>23</v>
      </c>
      <c r="I541" s="31">
        <v>49</v>
      </c>
      <c r="J541" s="31">
        <v>43</v>
      </c>
      <c r="K541" s="31">
        <v>0</v>
      </c>
      <c r="L541" s="31">
        <v>0</v>
      </c>
      <c r="M541" s="31">
        <v>0</v>
      </c>
      <c r="N541" s="31">
        <v>0</v>
      </c>
      <c r="O541" s="31">
        <v>38</v>
      </c>
      <c r="P541" s="31">
        <v>38</v>
      </c>
      <c r="Q541" s="31">
        <v>0</v>
      </c>
      <c r="R541" s="31">
        <v>0</v>
      </c>
      <c r="S541" s="31">
        <v>0</v>
      </c>
      <c r="T541" s="31">
        <v>0</v>
      </c>
      <c r="U541" s="31">
        <v>11</v>
      </c>
      <c r="V541" s="31">
        <v>16</v>
      </c>
      <c r="W541" s="31">
        <v>0</v>
      </c>
      <c r="X541" s="62">
        <v>0</v>
      </c>
      <c r="Y541" s="31">
        <v>0</v>
      </c>
      <c r="Z541" s="31">
        <v>0</v>
      </c>
      <c r="AA541" s="31">
        <v>0</v>
      </c>
      <c r="AB541" s="31">
        <v>11</v>
      </c>
    </row>
    <row r="542" spans="1:28" ht="12.75" customHeight="1" x14ac:dyDescent="0.2">
      <c r="A542" s="150" t="s">
        <v>41</v>
      </c>
      <c r="B542" s="151"/>
      <c r="C542" s="151"/>
      <c r="D542" s="151"/>
      <c r="E542" s="151"/>
      <c r="F542" s="151"/>
      <c r="G542" s="152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44" t="s">
        <v>165</v>
      </c>
      <c r="B543" s="138" t="s">
        <v>583</v>
      </c>
      <c r="C543" s="139"/>
      <c r="D543" s="139"/>
      <c r="E543" s="139"/>
      <c r="F543" s="139"/>
      <c r="G543" s="140"/>
      <c r="H543" s="23">
        <v>24</v>
      </c>
      <c r="I543" s="31">
        <v>1</v>
      </c>
      <c r="J543" s="31">
        <v>1</v>
      </c>
      <c r="K543" s="31">
        <v>0</v>
      </c>
      <c r="L543" s="31">
        <v>0</v>
      </c>
      <c r="M543" s="31">
        <v>0</v>
      </c>
      <c r="N543" s="31">
        <v>0</v>
      </c>
      <c r="O543" s="31">
        <v>1</v>
      </c>
      <c r="P543" s="31">
        <v>1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27.2" customHeight="1" x14ac:dyDescent="0.2">
      <c r="A544" s="145"/>
      <c r="B544" s="138" t="s">
        <v>584</v>
      </c>
      <c r="C544" s="139"/>
      <c r="D544" s="139"/>
      <c r="E544" s="139"/>
      <c r="F544" s="139"/>
      <c r="G544" s="140"/>
      <c r="H544" s="23">
        <v>25</v>
      </c>
      <c r="I544" s="31">
        <v>12</v>
      </c>
      <c r="J544" s="31">
        <v>10</v>
      </c>
      <c r="K544" s="31">
        <v>0</v>
      </c>
      <c r="L544" s="31">
        <v>0</v>
      </c>
      <c r="M544" s="31">
        <v>0</v>
      </c>
      <c r="N544" s="31">
        <v>0</v>
      </c>
      <c r="O544" s="31">
        <v>10</v>
      </c>
      <c r="P544" s="31">
        <v>10</v>
      </c>
      <c r="Q544" s="31">
        <v>0</v>
      </c>
      <c r="R544" s="31">
        <v>0</v>
      </c>
      <c r="S544" s="31">
        <v>0</v>
      </c>
      <c r="T544" s="31">
        <v>0</v>
      </c>
      <c r="U544" s="31">
        <v>2</v>
      </c>
      <c r="V544" s="31">
        <v>0</v>
      </c>
      <c r="W544" s="31">
        <v>0</v>
      </c>
      <c r="X544" s="62">
        <v>0</v>
      </c>
      <c r="Y544" s="31">
        <v>1</v>
      </c>
      <c r="Z544" s="31">
        <v>1</v>
      </c>
      <c r="AA544" s="31">
        <v>0</v>
      </c>
      <c r="AB544" s="31">
        <v>2</v>
      </c>
    </row>
    <row r="545" spans="1:28" ht="27.2" customHeight="1" x14ac:dyDescent="0.2">
      <c r="A545" s="145"/>
      <c r="B545" s="39" t="s">
        <v>32</v>
      </c>
      <c r="C545" s="138" t="s">
        <v>585</v>
      </c>
      <c r="D545" s="139"/>
      <c r="E545" s="139"/>
      <c r="F545" s="139"/>
      <c r="G545" s="140"/>
      <c r="H545" s="23">
        <v>26</v>
      </c>
      <c r="I545" s="31">
        <v>1</v>
      </c>
      <c r="J545" s="31">
        <v>1</v>
      </c>
      <c r="K545" s="31">
        <v>0</v>
      </c>
      <c r="L545" s="31">
        <v>0</v>
      </c>
      <c r="M545" s="31">
        <v>0</v>
      </c>
      <c r="N545" s="31">
        <v>0</v>
      </c>
      <c r="O545" s="31">
        <v>1</v>
      </c>
      <c r="P545" s="31">
        <v>1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33" customHeight="1" x14ac:dyDescent="0.2">
      <c r="A546" s="145"/>
      <c r="B546" s="138" t="s">
        <v>586</v>
      </c>
      <c r="C546" s="139"/>
      <c r="D546" s="139"/>
      <c r="E546" s="139"/>
      <c r="F546" s="139"/>
      <c r="G546" s="140"/>
      <c r="H546" s="23">
        <v>27</v>
      </c>
      <c r="I546" s="31">
        <v>1</v>
      </c>
      <c r="J546" s="31">
        <v>1</v>
      </c>
      <c r="K546" s="31">
        <v>0</v>
      </c>
      <c r="L546" s="31">
        <v>0</v>
      </c>
      <c r="M546" s="31">
        <v>0</v>
      </c>
      <c r="N546" s="31">
        <v>0</v>
      </c>
      <c r="O546" s="31">
        <v>1</v>
      </c>
      <c r="P546" s="31">
        <v>1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62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49.5" customHeight="1" x14ac:dyDescent="0.2">
      <c r="A547" s="145"/>
      <c r="B547" s="138" t="s">
        <v>587</v>
      </c>
      <c r="C547" s="139"/>
      <c r="D547" s="139"/>
      <c r="E547" s="139"/>
      <c r="F547" s="139"/>
      <c r="G547" s="140"/>
      <c r="H547" s="23">
        <v>28</v>
      </c>
      <c r="I547" s="31">
        <v>1062</v>
      </c>
      <c r="J547" s="31">
        <v>1024</v>
      </c>
      <c r="K547" s="31">
        <v>1</v>
      </c>
      <c r="L547" s="31">
        <v>0</v>
      </c>
      <c r="M547" s="31">
        <v>0</v>
      </c>
      <c r="N547" s="31">
        <v>0</v>
      </c>
      <c r="O547" s="31">
        <v>884</v>
      </c>
      <c r="P547" s="31">
        <v>884</v>
      </c>
      <c r="Q547" s="31">
        <v>0</v>
      </c>
      <c r="R547" s="31">
        <v>0</v>
      </c>
      <c r="S547" s="31">
        <v>0</v>
      </c>
      <c r="T547" s="31">
        <v>0</v>
      </c>
      <c r="U547" s="31">
        <v>295</v>
      </c>
      <c r="V547" s="31">
        <v>166</v>
      </c>
      <c r="W547" s="31">
        <v>2</v>
      </c>
      <c r="X547" s="62">
        <v>0</v>
      </c>
      <c r="Y547" s="31">
        <v>41</v>
      </c>
      <c r="Z547" s="31">
        <v>40</v>
      </c>
      <c r="AA547" s="31">
        <v>0</v>
      </c>
      <c r="AB547" s="31">
        <v>176</v>
      </c>
    </row>
    <row r="548" spans="1:28" ht="29.25" customHeight="1" x14ac:dyDescent="0.2">
      <c r="A548" s="145"/>
      <c r="B548" s="39" t="s">
        <v>32</v>
      </c>
      <c r="C548" s="138" t="s">
        <v>588</v>
      </c>
      <c r="D548" s="139"/>
      <c r="E548" s="139"/>
      <c r="F548" s="139"/>
      <c r="G548" s="140"/>
      <c r="H548" s="23">
        <v>29</v>
      </c>
      <c r="I548" s="31">
        <v>66</v>
      </c>
      <c r="J548" s="31">
        <v>62</v>
      </c>
      <c r="K548" s="31">
        <v>0</v>
      </c>
      <c r="L548" s="31">
        <v>0</v>
      </c>
      <c r="M548" s="31">
        <v>0</v>
      </c>
      <c r="N548" s="31">
        <v>0</v>
      </c>
      <c r="O548" s="31">
        <v>54</v>
      </c>
      <c r="P548" s="31">
        <v>54</v>
      </c>
      <c r="Q548" s="31">
        <v>0</v>
      </c>
      <c r="R548" s="31">
        <v>0</v>
      </c>
      <c r="S548" s="31">
        <v>0</v>
      </c>
      <c r="T548" s="31">
        <v>0</v>
      </c>
      <c r="U548" s="31">
        <v>26</v>
      </c>
      <c r="V548" s="31">
        <v>16</v>
      </c>
      <c r="W548" s="31">
        <v>0</v>
      </c>
      <c r="X548" s="62">
        <v>0</v>
      </c>
      <c r="Y548" s="31">
        <v>4</v>
      </c>
      <c r="Z548" s="31">
        <v>4</v>
      </c>
      <c r="AA548" s="31">
        <v>0</v>
      </c>
      <c r="AB548" s="31">
        <v>12</v>
      </c>
    </row>
    <row r="549" spans="1:28" ht="49.5" customHeight="1" x14ac:dyDescent="0.2">
      <c r="A549" s="145"/>
      <c r="B549" s="138" t="s">
        <v>589</v>
      </c>
      <c r="C549" s="139"/>
      <c r="D549" s="139"/>
      <c r="E549" s="139"/>
      <c r="F549" s="139"/>
      <c r="G549" s="140"/>
      <c r="H549" s="23">
        <v>30</v>
      </c>
      <c r="I549" s="31">
        <v>1140</v>
      </c>
      <c r="J549" s="31">
        <v>1140</v>
      </c>
      <c r="K549" s="31">
        <v>11</v>
      </c>
      <c r="L549" s="31">
        <v>0</v>
      </c>
      <c r="M549" s="31">
        <v>11</v>
      </c>
      <c r="N549" s="31">
        <v>0</v>
      </c>
      <c r="O549" s="31">
        <v>1033</v>
      </c>
      <c r="P549" s="31">
        <v>1033</v>
      </c>
      <c r="Q549" s="31">
        <v>0</v>
      </c>
      <c r="R549" s="31">
        <v>0</v>
      </c>
      <c r="S549" s="31">
        <v>0</v>
      </c>
      <c r="T549" s="31">
        <v>0</v>
      </c>
      <c r="U549" s="31">
        <v>57</v>
      </c>
      <c r="V549" s="31">
        <v>162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96</v>
      </c>
    </row>
    <row r="550" spans="1:28" ht="26.25" customHeight="1" x14ac:dyDescent="0.2">
      <c r="A550" s="145"/>
      <c r="B550" s="39" t="s">
        <v>32</v>
      </c>
      <c r="C550" s="138" t="s">
        <v>568</v>
      </c>
      <c r="D550" s="139"/>
      <c r="E550" s="139"/>
      <c r="F550" s="139"/>
      <c r="G550" s="140"/>
      <c r="H550" s="23">
        <v>31</v>
      </c>
      <c r="I550" s="31">
        <v>161</v>
      </c>
      <c r="J550" s="31">
        <v>161</v>
      </c>
      <c r="K550" s="31">
        <v>0</v>
      </c>
      <c r="L550" s="31">
        <v>0</v>
      </c>
      <c r="M550" s="31">
        <v>0</v>
      </c>
      <c r="N550" s="31">
        <v>0</v>
      </c>
      <c r="O550" s="31">
        <v>161</v>
      </c>
      <c r="P550" s="31">
        <v>161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161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45"/>
      <c r="B551" s="138" t="s">
        <v>590</v>
      </c>
      <c r="C551" s="139"/>
      <c r="D551" s="139"/>
      <c r="E551" s="139"/>
      <c r="F551" s="139"/>
      <c r="G551" s="140"/>
      <c r="H551" s="23">
        <v>32</v>
      </c>
      <c r="I551" s="31">
        <v>3</v>
      </c>
      <c r="J551" s="31">
        <v>1</v>
      </c>
      <c r="K551" s="31">
        <v>0</v>
      </c>
      <c r="L551" s="31">
        <v>0</v>
      </c>
      <c r="M551" s="31">
        <v>0</v>
      </c>
      <c r="N551" s="31">
        <v>0</v>
      </c>
      <c r="O551" s="31">
        <v>1</v>
      </c>
      <c r="P551" s="31">
        <v>1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2</v>
      </c>
    </row>
    <row r="552" spans="1:28" ht="27.2" customHeight="1" x14ac:dyDescent="0.2">
      <c r="A552" s="145"/>
      <c r="B552" s="190" t="s">
        <v>32</v>
      </c>
      <c r="C552" s="138" t="s">
        <v>591</v>
      </c>
      <c r="D552" s="139"/>
      <c r="E552" s="139"/>
      <c r="F552" s="139"/>
      <c r="G552" s="140"/>
      <c r="H552" s="23">
        <v>33</v>
      </c>
      <c r="I552" s="31">
        <v>2</v>
      </c>
      <c r="J552" s="31">
        <v>0</v>
      </c>
      <c r="K552" s="31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</v>
      </c>
    </row>
    <row r="553" spans="1:28" ht="26.25" customHeight="1" x14ac:dyDescent="0.2">
      <c r="A553" s="145"/>
      <c r="B553" s="191"/>
      <c r="C553" s="139" t="s">
        <v>592</v>
      </c>
      <c r="D553" s="139"/>
      <c r="E553" s="139"/>
      <c r="F553" s="139"/>
      <c r="G553" s="140"/>
      <c r="H553" s="23">
        <v>34</v>
      </c>
      <c r="I553" s="54">
        <v>1</v>
      </c>
      <c r="J553" s="54">
        <v>1</v>
      </c>
      <c r="K553" s="54">
        <v>0</v>
      </c>
      <c r="L553" s="54">
        <v>0</v>
      </c>
      <c r="M553" s="31">
        <v>0</v>
      </c>
      <c r="N553" s="31">
        <v>0</v>
      </c>
      <c r="O553" s="31">
        <v>1</v>
      </c>
      <c r="P553" s="31">
        <v>1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</row>
    <row r="554" spans="1:28" ht="39.75" customHeight="1" x14ac:dyDescent="0.2">
      <c r="A554" s="145"/>
      <c r="B554" s="138" t="s">
        <v>593</v>
      </c>
      <c r="C554" s="139"/>
      <c r="D554" s="139"/>
      <c r="E554" s="139"/>
      <c r="F554" s="139"/>
      <c r="G554" s="140"/>
      <c r="H554" s="23">
        <v>35</v>
      </c>
      <c r="I554" s="31">
        <v>164</v>
      </c>
      <c r="J554" s="31">
        <v>139</v>
      </c>
      <c r="K554" s="31">
        <v>0</v>
      </c>
      <c r="L554" s="31">
        <v>0</v>
      </c>
      <c r="M554" s="31">
        <v>0</v>
      </c>
      <c r="N554" s="31">
        <v>0</v>
      </c>
      <c r="O554" s="31">
        <v>20</v>
      </c>
      <c r="P554" s="31">
        <v>20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5</v>
      </c>
      <c r="W554" s="31">
        <v>0</v>
      </c>
      <c r="X554" s="62">
        <v>0</v>
      </c>
      <c r="Y554" s="31">
        <v>3</v>
      </c>
      <c r="Z554" s="31">
        <v>3</v>
      </c>
      <c r="AA554" s="31">
        <v>0</v>
      </c>
      <c r="AB554" s="31">
        <v>144</v>
      </c>
    </row>
    <row r="555" spans="1:28" ht="54" customHeight="1" x14ac:dyDescent="0.2">
      <c r="A555" s="145"/>
      <c r="B555" s="138" t="s">
        <v>594</v>
      </c>
      <c r="C555" s="139"/>
      <c r="D555" s="139"/>
      <c r="E555" s="139"/>
      <c r="F555" s="139"/>
      <c r="G555" s="140"/>
      <c r="H555" s="23">
        <v>36</v>
      </c>
      <c r="I555" s="31">
        <v>357</v>
      </c>
      <c r="J555" s="31">
        <v>325</v>
      </c>
      <c r="K555" s="31">
        <v>0</v>
      </c>
      <c r="L555" s="31">
        <v>0</v>
      </c>
      <c r="M555" s="31">
        <v>0</v>
      </c>
      <c r="N555" s="31">
        <v>0</v>
      </c>
      <c r="O555" s="31">
        <v>312</v>
      </c>
      <c r="P555" s="31">
        <v>312</v>
      </c>
      <c r="Q555" s="31">
        <v>0</v>
      </c>
      <c r="R555" s="31">
        <v>0</v>
      </c>
      <c r="S555" s="31">
        <v>0</v>
      </c>
      <c r="T555" s="31">
        <v>0</v>
      </c>
      <c r="U555" s="31">
        <v>115</v>
      </c>
      <c r="V555" s="31">
        <v>37</v>
      </c>
      <c r="W555" s="31">
        <v>0</v>
      </c>
      <c r="X555" s="31">
        <v>1</v>
      </c>
      <c r="Y555" s="31">
        <v>4</v>
      </c>
      <c r="Z555" s="31">
        <v>4</v>
      </c>
      <c r="AA555" s="31">
        <v>0</v>
      </c>
      <c r="AB555" s="31">
        <v>45</v>
      </c>
    </row>
    <row r="556" spans="1:28" ht="26.25" customHeight="1" x14ac:dyDescent="0.2">
      <c r="A556" s="145"/>
      <c r="B556" s="218" t="s">
        <v>32</v>
      </c>
      <c r="C556" s="138" t="s">
        <v>567</v>
      </c>
      <c r="D556" s="139"/>
      <c r="E556" s="139"/>
      <c r="F556" s="139"/>
      <c r="G556" s="140"/>
      <c r="H556" s="23">
        <v>37</v>
      </c>
      <c r="I556" s="31">
        <v>11</v>
      </c>
      <c r="J556" s="31">
        <v>4</v>
      </c>
      <c r="K556" s="31">
        <v>0</v>
      </c>
      <c r="L556" s="31">
        <v>0</v>
      </c>
      <c r="M556" s="31">
        <v>0</v>
      </c>
      <c r="N556" s="31">
        <v>0</v>
      </c>
      <c r="O556" s="31">
        <v>3</v>
      </c>
      <c r="P556" s="31">
        <v>3</v>
      </c>
      <c r="Q556" s="31">
        <v>0</v>
      </c>
      <c r="R556" s="31">
        <v>0</v>
      </c>
      <c r="S556" s="31">
        <v>0</v>
      </c>
      <c r="T556" s="31">
        <v>0</v>
      </c>
      <c r="U556" s="31">
        <v>1</v>
      </c>
      <c r="V556" s="31">
        <v>3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8</v>
      </c>
    </row>
    <row r="557" spans="1:28" ht="23.25" customHeight="1" x14ac:dyDescent="0.2">
      <c r="A557" s="145"/>
      <c r="B557" s="219"/>
      <c r="C557" s="138" t="s">
        <v>568</v>
      </c>
      <c r="D557" s="139"/>
      <c r="E557" s="139"/>
      <c r="F557" s="139"/>
      <c r="G557" s="140"/>
      <c r="H557" s="23">
        <v>38</v>
      </c>
      <c r="I557" s="31">
        <v>174</v>
      </c>
      <c r="J557" s="31">
        <v>164</v>
      </c>
      <c r="K557" s="31">
        <v>0</v>
      </c>
      <c r="L557" s="31">
        <v>0</v>
      </c>
      <c r="M557" s="31">
        <v>0</v>
      </c>
      <c r="N557" s="31">
        <v>0</v>
      </c>
      <c r="O557" s="31">
        <v>154</v>
      </c>
      <c r="P557" s="31">
        <v>154</v>
      </c>
      <c r="Q557" s="31">
        <v>0</v>
      </c>
      <c r="R557" s="31">
        <v>0</v>
      </c>
      <c r="S557" s="31">
        <v>0</v>
      </c>
      <c r="T557" s="31">
        <v>0</v>
      </c>
      <c r="U557" s="31">
        <v>115</v>
      </c>
      <c r="V557" s="31">
        <v>15</v>
      </c>
      <c r="W557" s="31">
        <v>0</v>
      </c>
      <c r="X557" s="31">
        <v>1</v>
      </c>
      <c r="Y557" s="31">
        <v>1</v>
      </c>
      <c r="Z557" s="31">
        <v>1</v>
      </c>
      <c r="AA557" s="31">
        <v>0</v>
      </c>
      <c r="AB557" s="31">
        <v>20</v>
      </c>
    </row>
    <row r="558" spans="1:28" ht="37.5" customHeight="1" x14ac:dyDescent="0.2">
      <c r="A558" s="145"/>
      <c r="B558" s="138" t="s">
        <v>595</v>
      </c>
      <c r="C558" s="139"/>
      <c r="D558" s="139"/>
      <c r="E558" s="139"/>
      <c r="F558" s="139"/>
      <c r="G558" s="140"/>
      <c r="H558" s="23">
        <v>39</v>
      </c>
      <c r="I558" s="31">
        <v>11</v>
      </c>
      <c r="J558" s="31">
        <v>7</v>
      </c>
      <c r="K558" s="31">
        <v>0</v>
      </c>
      <c r="L558" s="31">
        <v>0</v>
      </c>
      <c r="M558" s="31">
        <v>0</v>
      </c>
      <c r="N558" s="31">
        <v>0</v>
      </c>
      <c r="O558" s="31">
        <v>1</v>
      </c>
      <c r="P558" s="31">
        <v>1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10</v>
      </c>
    </row>
    <row r="559" spans="1:28" ht="39.75" customHeight="1" x14ac:dyDescent="0.2">
      <c r="A559" s="145"/>
      <c r="B559" s="138" t="s">
        <v>596</v>
      </c>
      <c r="C559" s="139"/>
      <c r="D559" s="139"/>
      <c r="E559" s="139"/>
      <c r="F559" s="139"/>
      <c r="G559" s="140"/>
      <c r="H559" s="23">
        <v>40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0</v>
      </c>
    </row>
    <row r="560" spans="1:28" ht="27.2" customHeight="1" x14ac:dyDescent="0.2">
      <c r="A560" s="145"/>
      <c r="B560" s="138" t="s">
        <v>597</v>
      </c>
      <c r="C560" s="139"/>
      <c r="D560" s="139"/>
      <c r="E560" s="139"/>
      <c r="F560" s="139"/>
      <c r="G560" s="140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45"/>
      <c r="B561" s="138" t="s">
        <v>598</v>
      </c>
      <c r="C561" s="139"/>
      <c r="D561" s="139"/>
      <c r="E561" s="139"/>
      <c r="F561" s="139"/>
      <c r="G561" s="140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45"/>
      <c r="B562" s="190" t="s">
        <v>32</v>
      </c>
      <c r="C562" s="138" t="s">
        <v>599</v>
      </c>
      <c r="D562" s="139"/>
      <c r="E562" s="139"/>
      <c r="F562" s="139"/>
      <c r="G562" s="140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45"/>
      <c r="B563" s="191"/>
      <c r="C563" s="139" t="s">
        <v>600</v>
      </c>
      <c r="D563" s="139"/>
      <c r="E563" s="139"/>
      <c r="F563" s="139"/>
      <c r="G563" s="140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45"/>
      <c r="B564" s="138" t="s">
        <v>601</v>
      </c>
      <c r="C564" s="139"/>
      <c r="D564" s="139"/>
      <c r="E564" s="139"/>
      <c r="F564" s="139"/>
      <c r="G564" s="140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45"/>
      <c r="B565" s="138" t="s">
        <v>602</v>
      </c>
      <c r="C565" s="139"/>
      <c r="D565" s="139"/>
      <c r="E565" s="139"/>
      <c r="F565" s="139"/>
      <c r="G565" s="140"/>
      <c r="H565" s="23">
        <v>46</v>
      </c>
      <c r="I565" s="31">
        <v>16</v>
      </c>
      <c r="J565" s="31">
        <v>1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1</v>
      </c>
      <c r="Z565" s="31">
        <v>1</v>
      </c>
      <c r="AA565" s="31">
        <v>0</v>
      </c>
      <c r="AB565" s="66">
        <v>16</v>
      </c>
    </row>
    <row r="566" spans="1:28" ht="40.5" customHeight="1" x14ac:dyDescent="0.2">
      <c r="A566" s="145"/>
      <c r="B566" s="138" t="s">
        <v>603</v>
      </c>
      <c r="C566" s="139"/>
      <c r="D566" s="139"/>
      <c r="E566" s="139"/>
      <c r="F566" s="139"/>
      <c r="G566" s="140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45"/>
      <c r="B567" s="138" t="s">
        <v>604</v>
      </c>
      <c r="C567" s="139"/>
      <c r="D567" s="139"/>
      <c r="E567" s="139"/>
      <c r="F567" s="139"/>
      <c r="G567" s="140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6"/>
      <c r="B568" s="138" t="s">
        <v>179</v>
      </c>
      <c r="C568" s="139"/>
      <c r="D568" s="139"/>
      <c r="E568" s="139"/>
      <c r="F568" s="139"/>
      <c r="G568" s="140"/>
      <c r="H568" s="23">
        <v>49</v>
      </c>
      <c r="I568" s="31">
        <v>39</v>
      </c>
      <c r="J568" s="31">
        <v>33</v>
      </c>
      <c r="K568" s="31">
        <v>0</v>
      </c>
      <c r="L568" s="31">
        <v>0</v>
      </c>
      <c r="M568" s="31">
        <v>0</v>
      </c>
      <c r="N568" s="31">
        <v>0</v>
      </c>
      <c r="O568" s="31">
        <v>27</v>
      </c>
      <c r="P568" s="31">
        <v>27</v>
      </c>
      <c r="Q568" s="31">
        <v>0</v>
      </c>
      <c r="R568" s="31">
        <v>0</v>
      </c>
      <c r="S568" s="31">
        <v>0</v>
      </c>
      <c r="T568" s="31">
        <v>0</v>
      </c>
      <c r="U568" s="31">
        <v>3</v>
      </c>
      <c r="V568" s="31">
        <v>23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12</v>
      </c>
    </row>
    <row r="569" spans="1:28" ht="21.75" customHeight="1" x14ac:dyDescent="0.2">
      <c r="A569" s="138" t="s">
        <v>115</v>
      </c>
      <c r="B569" s="139"/>
      <c r="C569" s="139"/>
      <c r="D569" s="139"/>
      <c r="E569" s="139"/>
      <c r="F569" s="139"/>
      <c r="G569" s="140"/>
      <c r="H569" s="23">
        <v>50</v>
      </c>
      <c r="I569" s="31">
        <f t="shared" ref="I569:AB569" si="11">SUM(I543:I568,I519:I541)</f>
        <v>123408</v>
      </c>
      <c r="J569" s="31">
        <f t="shared" si="11"/>
        <v>98045</v>
      </c>
      <c r="K569" s="31">
        <f t="shared" si="11"/>
        <v>510</v>
      </c>
      <c r="L569" s="31">
        <f t="shared" si="11"/>
        <v>8</v>
      </c>
      <c r="M569" s="31">
        <f t="shared" si="11"/>
        <v>447</v>
      </c>
      <c r="N569" s="31">
        <f t="shared" si="11"/>
        <v>0</v>
      </c>
      <c r="O569" s="31">
        <f t="shared" si="11"/>
        <v>86312</v>
      </c>
      <c r="P569" s="31">
        <f t="shared" si="11"/>
        <v>85949</v>
      </c>
      <c r="Q569" s="31">
        <f t="shared" si="11"/>
        <v>44</v>
      </c>
      <c r="R569" s="31">
        <f t="shared" si="11"/>
        <v>265</v>
      </c>
      <c r="S569" s="31">
        <f t="shared" si="11"/>
        <v>54</v>
      </c>
      <c r="T569" s="31">
        <f t="shared" si="11"/>
        <v>0</v>
      </c>
      <c r="U569" s="31">
        <f t="shared" si="11"/>
        <v>17203</v>
      </c>
      <c r="V569" s="31">
        <f t="shared" si="11"/>
        <v>8594</v>
      </c>
      <c r="W569" s="31">
        <f t="shared" si="11"/>
        <v>154</v>
      </c>
      <c r="X569" s="31">
        <f t="shared" si="11"/>
        <v>449</v>
      </c>
      <c r="Y569" s="31">
        <f t="shared" si="11"/>
        <v>32499</v>
      </c>
      <c r="Z569" s="31">
        <f t="shared" si="11"/>
        <v>31974</v>
      </c>
      <c r="AA569" s="31">
        <f t="shared" si="11"/>
        <v>0</v>
      </c>
      <c r="AB569" s="31">
        <f t="shared" si="11"/>
        <v>36061</v>
      </c>
    </row>
    <row r="570" spans="1:28" ht="5.25" customHeight="1" x14ac:dyDescent="0.2"/>
    <row r="571" spans="1:28" ht="24" customHeight="1" x14ac:dyDescent="0.2">
      <c r="A571" s="215" t="s">
        <v>824</v>
      </c>
      <c r="B571" s="215"/>
      <c r="C571" s="215"/>
      <c r="D571" s="215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  <c r="AA571" s="215"/>
    </row>
    <row r="572" spans="1:28" ht="28.5" customHeight="1" x14ac:dyDescent="0.2">
      <c r="A572" s="178"/>
      <c r="B572" s="179"/>
      <c r="C572" s="179"/>
      <c r="D572" s="179"/>
      <c r="E572" s="179"/>
      <c r="F572" s="179"/>
      <c r="G572" s="180"/>
      <c r="H572" s="187" t="s">
        <v>15</v>
      </c>
      <c r="I572" s="168" t="s">
        <v>1148</v>
      </c>
      <c r="J572" s="168" t="s">
        <v>16</v>
      </c>
      <c r="K572" s="168" t="s">
        <v>17</v>
      </c>
      <c r="L572" s="171" t="s">
        <v>18</v>
      </c>
      <c r="M572" s="172"/>
      <c r="N572" s="173"/>
      <c r="O572" s="168" t="s">
        <v>19</v>
      </c>
      <c r="P572" s="171" t="s">
        <v>20</v>
      </c>
      <c r="Q572" s="172"/>
      <c r="R572" s="172"/>
      <c r="S572" s="173"/>
      <c r="T572" s="168" t="s">
        <v>21</v>
      </c>
      <c r="U572" s="171" t="s">
        <v>22</v>
      </c>
      <c r="V572" s="172"/>
      <c r="W572" s="172"/>
      <c r="X572" s="173"/>
      <c r="Y572" s="171" t="s">
        <v>23</v>
      </c>
      <c r="Z572" s="172"/>
      <c r="AA572" s="173"/>
      <c r="AB572" s="168" t="s">
        <v>24</v>
      </c>
    </row>
    <row r="573" spans="1:28" ht="27.75" customHeight="1" x14ac:dyDescent="0.2">
      <c r="A573" s="181"/>
      <c r="B573" s="182"/>
      <c r="C573" s="182"/>
      <c r="D573" s="182"/>
      <c r="E573" s="182"/>
      <c r="F573" s="182"/>
      <c r="G573" s="183"/>
      <c r="H573" s="188"/>
      <c r="I573" s="170"/>
      <c r="J573" s="170"/>
      <c r="K573" s="170"/>
      <c r="L573" s="168" t="s">
        <v>25</v>
      </c>
      <c r="M573" s="168" t="s">
        <v>26</v>
      </c>
      <c r="N573" s="168" t="s">
        <v>27</v>
      </c>
      <c r="O573" s="170"/>
      <c r="P573" s="168" t="s">
        <v>28</v>
      </c>
      <c r="Q573" s="168" t="s">
        <v>29</v>
      </c>
      <c r="R573" s="168" t="s">
        <v>30</v>
      </c>
      <c r="S573" s="168" t="s">
        <v>31</v>
      </c>
      <c r="T573" s="170"/>
      <c r="U573" s="171" t="s">
        <v>32</v>
      </c>
      <c r="V573" s="172"/>
      <c r="W573" s="172"/>
      <c r="X573" s="173"/>
      <c r="Y573" s="168" t="s">
        <v>33</v>
      </c>
      <c r="Z573" s="171" t="s">
        <v>34</v>
      </c>
      <c r="AA573" s="173"/>
      <c r="AB573" s="170"/>
    </row>
    <row r="574" spans="1:28" ht="74.25" customHeight="1" x14ac:dyDescent="0.2">
      <c r="A574" s="184"/>
      <c r="B574" s="185"/>
      <c r="C574" s="185"/>
      <c r="D574" s="185"/>
      <c r="E574" s="185"/>
      <c r="F574" s="185"/>
      <c r="G574" s="186"/>
      <c r="H574" s="18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9" t="s">
        <v>35</v>
      </c>
      <c r="V574" s="16" t="s">
        <v>36</v>
      </c>
      <c r="W574" s="16" t="s">
        <v>37</v>
      </c>
      <c r="X574" s="16" t="s">
        <v>38</v>
      </c>
      <c r="Y574" s="169"/>
      <c r="Z574" s="18" t="s">
        <v>39</v>
      </c>
      <c r="AA574" s="17" t="s">
        <v>40</v>
      </c>
      <c r="AB574" s="169"/>
    </row>
    <row r="575" spans="1:28" ht="14.25" customHeight="1" x14ac:dyDescent="0.2">
      <c r="A575" s="150" t="s">
        <v>41</v>
      </c>
      <c r="B575" s="151"/>
      <c r="C575" s="151"/>
      <c r="D575" s="151"/>
      <c r="E575" s="151"/>
      <c r="F575" s="151"/>
      <c r="G575" s="152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53" t="s">
        <v>43</v>
      </c>
      <c r="B576" s="154"/>
      <c r="C576" s="154"/>
      <c r="D576" s="154"/>
      <c r="E576" s="154"/>
      <c r="F576" s="154"/>
      <c r="G576" s="155"/>
      <c r="H576" s="23">
        <v>1</v>
      </c>
      <c r="I576" s="31">
        <v>3721</v>
      </c>
      <c r="J576" s="31">
        <v>1900</v>
      </c>
      <c r="K576" s="31">
        <v>76</v>
      </c>
      <c r="L576" s="31">
        <v>0</v>
      </c>
      <c r="M576" s="31">
        <v>75</v>
      </c>
      <c r="N576" s="31">
        <v>0</v>
      </c>
      <c r="O576" s="31">
        <v>1464</v>
      </c>
      <c r="P576" s="31">
        <v>1461</v>
      </c>
      <c r="Q576" s="31">
        <v>1</v>
      </c>
      <c r="R576" s="31">
        <v>0</v>
      </c>
      <c r="S576" s="31">
        <v>2</v>
      </c>
      <c r="T576" s="31">
        <v>0</v>
      </c>
      <c r="U576" s="31">
        <v>348</v>
      </c>
      <c r="V576" s="31">
        <v>93</v>
      </c>
      <c r="W576" s="31">
        <v>0</v>
      </c>
      <c r="X576" s="31">
        <v>12</v>
      </c>
      <c r="Y576" s="31">
        <v>563</v>
      </c>
      <c r="Z576" s="31">
        <v>563</v>
      </c>
      <c r="AA576" s="31">
        <v>0</v>
      </c>
      <c r="AB576" s="31">
        <v>2181</v>
      </c>
    </row>
    <row r="577" spans="1:28" ht="20.25" customHeight="1" x14ac:dyDescent="0.2">
      <c r="A577" s="156" t="s">
        <v>181</v>
      </c>
      <c r="B577" s="158"/>
      <c r="C577" s="165" t="s">
        <v>51</v>
      </c>
      <c r="D577" s="166"/>
      <c r="E577" s="166"/>
      <c r="F577" s="166"/>
      <c r="G577" s="167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9"/>
      <c r="B578" s="161"/>
      <c r="C578" s="165" t="s">
        <v>52</v>
      </c>
      <c r="D578" s="166"/>
      <c r="E578" s="166"/>
      <c r="F578" s="166"/>
      <c r="G578" s="167"/>
      <c r="H578" s="23">
        <v>3</v>
      </c>
      <c r="I578" s="31">
        <v>1616</v>
      </c>
      <c r="J578" s="31">
        <v>955</v>
      </c>
      <c r="K578" s="31">
        <v>59</v>
      </c>
      <c r="L578" s="31">
        <v>0</v>
      </c>
      <c r="M578" s="31">
        <v>58</v>
      </c>
      <c r="N578" s="31">
        <v>0</v>
      </c>
      <c r="O578" s="31">
        <v>610</v>
      </c>
      <c r="P578" s="31">
        <v>608</v>
      </c>
      <c r="Q578" s="31">
        <v>0</v>
      </c>
      <c r="R578" s="31">
        <v>0</v>
      </c>
      <c r="S578" s="31">
        <v>2</v>
      </c>
      <c r="T578" s="31">
        <v>0</v>
      </c>
      <c r="U578" s="31">
        <v>257</v>
      </c>
      <c r="V578" s="31">
        <v>89</v>
      </c>
      <c r="W578" s="31">
        <v>0</v>
      </c>
      <c r="X578" s="31">
        <v>12</v>
      </c>
      <c r="Y578" s="31">
        <v>18</v>
      </c>
      <c r="Z578" s="31">
        <v>18</v>
      </c>
      <c r="AA578" s="31">
        <v>0</v>
      </c>
      <c r="AB578" s="31">
        <v>947</v>
      </c>
    </row>
    <row r="579" spans="1:28" ht="20.25" customHeight="1" x14ac:dyDescent="0.2">
      <c r="A579" s="159"/>
      <c r="B579" s="161"/>
      <c r="C579" s="165" t="s">
        <v>182</v>
      </c>
      <c r="D579" s="166"/>
      <c r="E579" s="166"/>
      <c r="F579" s="166"/>
      <c r="G579" s="167"/>
      <c r="H579" s="23">
        <v>4</v>
      </c>
      <c r="I579" s="31">
        <v>1794</v>
      </c>
      <c r="J579" s="31">
        <v>687</v>
      </c>
      <c r="K579" s="31">
        <v>17</v>
      </c>
      <c r="L579" s="31">
        <v>0</v>
      </c>
      <c r="M579" s="31">
        <v>17</v>
      </c>
      <c r="N579" s="31">
        <v>0</v>
      </c>
      <c r="O579" s="31">
        <v>596</v>
      </c>
      <c r="P579" s="31">
        <v>595</v>
      </c>
      <c r="Q579" s="31">
        <v>1</v>
      </c>
      <c r="R579" s="31">
        <v>0</v>
      </c>
      <c r="S579" s="31">
        <v>0</v>
      </c>
      <c r="T579" s="31">
        <v>0</v>
      </c>
      <c r="U579" s="31">
        <v>50</v>
      </c>
      <c r="V579" s="31">
        <v>4</v>
      </c>
      <c r="W579" s="31">
        <v>0</v>
      </c>
      <c r="X579" s="31">
        <v>0</v>
      </c>
      <c r="Y579" s="31">
        <v>476</v>
      </c>
      <c r="Z579" s="31">
        <v>476</v>
      </c>
      <c r="AA579" s="31">
        <v>0</v>
      </c>
      <c r="AB579" s="31">
        <v>1181</v>
      </c>
    </row>
    <row r="580" spans="1:28" ht="20.25" customHeight="1" x14ac:dyDescent="0.2">
      <c r="A580" s="162"/>
      <c r="B580" s="164"/>
      <c r="C580" s="165" t="s">
        <v>49</v>
      </c>
      <c r="D580" s="166"/>
      <c r="E580" s="166"/>
      <c r="F580" s="166"/>
      <c r="G580" s="167"/>
      <c r="H580" s="23">
        <v>5</v>
      </c>
      <c r="I580" s="31">
        <v>311</v>
      </c>
      <c r="J580" s="31">
        <v>258</v>
      </c>
      <c r="K580" s="31">
        <v>0</v>
      </c>
      <c r="L580" s="31">
        <v>0</v>
      </c>
      <c r="M580" s="31">
        <v>0</v>
      </c>
      <c r="N580" s="31">
        <v>0</v>
      </c>
      <c r="O580" s="31">
        <v>258</v>
      </c>
      <c r="P580" s="31">
        <v>258</v>
      </c>
      <c r="Q580" s="31">
        <v>0</v>
      </c>
      <c r="R580" s="31">
        <v>0</v>
      </c>
      <c r="S580" s="31">
        <v>0</v>
      </c>
      <c r="T580" s="31">
        <v>0</v>
      </c>
      <c r="U580" s="31">
        <v>41</v>
      </c>
      <c r="V580" s="31">
        <v>0</v>
      </c>
      <c r="W580" s="31">
        <v>0</v>
      </c>
      <c r="X580" s="31">
        <v>0</v>
      </c>
      <c r="Y580" s="31">
        <v>69</v>
      </c>
      <c r="Z580" s="31">
        <v>69</v>
      </c>
      <c r="AA580" s="31">
        <v>0</v>
      </c>
      <c r="AB580" s="31">
        <v>53</v>
      </c>
    </row>
    <row r="581" spans="1:28" ht="26.25" customHeight="1" x14ac:dyDescent="0.2">
      <c r="A581" s="144" t="s">
        <v>364</v>
      </c>
      <c r="B581" s="138" t="s">
        <v>609</v>
      </c>
      <c r="C581" s="139"/>
      <c r="D581" s="139"/>
      <c r="E581" s="139"/>
      <c r="F581" s="139"/>
      <c r="G581" s="140"/>
      <c r="H581" s="23">
        <v>6</v>
      </c>
      <c r="I581" s="31">
        <v>1657</v>
      </c>
      <c r="J581" s="31">
        <v>985</v>
      </c>
      <c r="K581" s="31">
        <v>60</v>
      </c>
      <c r="L581" s="31">
        <v>0</v>
      </c>
      <c r="M581" s="31">
        <v>59</v>
      </c>
      <c r="N581" s="31">
        <v>0</v>
      </c>
      <c r="O581" s="31">
        <v>634</v>
      </c>
      <c r="P581" s="31">
        <v>632</v>
      </c>
      <c r="Q581" s="31">
        <v>0</v>
      </c>
      <c r="R581" s="31">
        <v>0</v>
      </c>
      <c r="S581" s="31">
        <v>2</v>
      </c>
      <c r="T581" s="31">
        <v>0</v>
      </c>
      <c r="U581" s="31">
        <v>257</v>
      </c>
      <c r="V581" s="31">
        <v>90</v>
      </c>
      <c r="W581" s="31">
        <v>0</v>
      </c>
      <c r="X581" s="31">
        <v>12</v>
      </c>
      <c r="Y581" s="31">
        <v>18</v>
      </c>
      <c r="Z581" s="31">
        <v>18</v>
      </c>
      <c r="AA581" s="31">
        <v>0</v>
      </c>
      <c r="AB581" s="31">
        <v>963</v>
      </c>
    </row>
    <row r="582" spans="1:28" ht="45" customHeight="1" x14ac:dyDescent="0.2">
      <c r="A582" s="145"/>
      <c r="B582" s="138" t="s">
        <v>614</v>
      </c>
      <c r="C582" s="139"/>
      <c r="D582" s="139"/>
      <c r="E582" s="139"/>
      <c r="F582" s="139"/>
      <c r="G582" s="140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0</v>
      </c>
    </row>
    <row r="583" spans="1:28" ht="43.35" customHeight="1" x14ac:dyDescent="0.2">
      <c r="A583" s="145"/>
      <c r="B583" s="138" t="s">
        <v>615</v>
      </c>
      <c r="C583" s="139"/>
      <c r="D583" s="139"/>
      <c r="E583" s="139"/>
      <c r="F583" s="139"/>
      <c r="G583" s="140"/>
      <c r="H583" s="23">
        <v>8</v>
      </c>
      <c r="I583" s="31">
        <v>1743</v>
      </c>
      <c r="J583" s="31">
        <v>655</v>
      </c>
      <c r="K583" s="31">
        <v>16</v>
      </c>
      <c r="L583" s="31">
        <v>0</v>
      </c>
      <c r="M583" s="31">
        <v>16</v>
      </c>
      <c r="N583" s="31">
        <v>0</v>
      </c>
      <c r="O583" s="31">
        <v>571</v>
      </c>
      <c r="P583" s="31">
        <v>570</v>
      </c>
      <c r="Q583" s="31">
        <v>1</v>
      </c>
      <c r="R583" s="31">
        <v>0</v>
      </c>
      <c r="S583" s="31">
        <v>0</v>
      </c>
      <c r="T583" s="31">
        <v>0</v>
      </c>
      <c r="U583" s="31">
        <v>50</v>
      </c>
      <c r="V583" s="31">
        <v>3</v>
      </c>
      <c r="W583" s="31">
        <v>0</v>
      </c>
      <c r="X583" s="31">
        <v>0</v>
      </c>
      <c r="Y583" s="31">
        <v>476</v>
      </c>
      <c r="Z583" s="31">
        <v>476</v>
      </c>
      <c r="AA583" s="31">
        <v>0</v>
      </c>
      <c r="AB583" s="31">
        <v>1156</v>
      </c>
    </row>
    <row r="584" spans="1:28" ht="42.75" customHeight="1" x14ac:dyDescent="0.2">
      <c r="A584" s="145"/>
      <c r="B584" s="138" t="s">
        <v>616</v>
      </c>
      <c r="C584" s="139"/>
      <c r="D584" s="139"/>
      <c r="E584" s="139"/>
      <c r="F584" s="139"/>
      <c r="G584" s="140"/>
      <c r="H584" s="23">
        <v>9</v>
      </c>
      <c r="I584" s="31">
        <v>3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3</v>
      </c>
    </row>
    <row r="585" spans="1:28" ht="30.6" customHeight="1" x14ac:dyDescent="0.2">
      <c r="A585" s="145"/>
      <c r="B585" s="138" t="s">
        <v>825</v>
      </c>
      <c r="C585" s="139"/>
      <c r="D585" s="139"/>
      <c r="E585" s="139"/>
      <c r="F585" s="139"/>
      <c r="G585" s="140"/>
      <c r="H585" s="23">
        <v>10</v>
      </c>
      <c r="I585" s="31">
        <v>311</v>
      </c>
      <c r="J585" s="31">
        <v>258</v>
      </c>
      <c r="K585" s="31">
        <v>0</v>
      </c>
      <c r="L585" s="31">
        <v>0</v>
      </c>
      <c r="M585" s="31">
        <v>0</v>
      </c>
      <c r="N585" s="31">
        <v>0</v>
      </c>
      <c r="O585" s="31">
        <v>258</v>
      </c>
      <c r="P585" s="31">
        <v>258</v>
      </c>
      <c r="Q585" s="31">
        <v>0</v>
      </c>
      <c r="R585" s="31">
        <v>0</v>
      </c>
      <c r="S585" s="31">
        <v>0</v>
      </c>
      <c r="T585" s="31">
        <v>0</v>
      </c>
      <c r="U585" s="31">
        <v>41</v>
      </c>
      <c r="V585" s="31">
        <v>0</v>
      </c>
      <c r="W585" s="31">
        <v>0</v>
      </c>
      <c r="X585" s="31">
        <v>0</v>
      </c>
      <c r="Y585" s="31">
        <v>69</v>
      </c>
      <c r="Z585" s="31">
        <v>69</v>
      </c>
      <c r="AA585" s="31">
        <v>0</v>
      </c>
      <c r="AB585" s="31">
        <v>53</v>
      </c>
    </row>
    <row r="586" spans="1:28" ht="31.5" customHeight="1" x14ac:dyDescent="0.2">
      <c r="A586" s="146"/>
      <c r="B586" s="138" t="s">
        <v>179</v>
      </c>
      <c r="C586" s="139"/>
      <c r="D586" s="139"/>
      <c r="E586" s="139"/>
      <c r="F586" s="139"/>
      <c r="G586" s="140"/>
      <c r="H586" s="23">
        <v>11</v>
      </c>
      <c r="I586" s="31">
        <v>7</v>
      </c>
      <c r="J586" s="31">
        <v>2</v>
      </c>
      <c r="K586" s="31">
        <v>0</v>
      </c>
      <c r="L586" s="31">
        <v>0</v>
      </c>
      <c r="M586" s="31">
        <v>0</v>
      </c>
      <c r="N586" s="31">
        <v>0</v>
      </c>
      <c r="O586" s="31">
        <v>1</v>
      </c>
      <c r="P586" s="31">
        <v>1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6</v>
      </c>
    </row>
    <row r="587" spans="1:28" ht="23.25" customHeight="1" x14ac:dyDescent="0.2">
      <c r="A587" s="138" t="s">
        <v>443</v>
      </c>
      <c r="B587" s="139"/>
      <c r="C587" s="139"/>
      <c r="D587" s="139"/>
      <c r="E587" s="139"/>
      <c r="F587" s="139"/>
      <c r="G587" s="140"/>
      <c r="H587" s="23">
        <v>12</v>
      </c>
      <c r="I587" s="31">
        <f t="shared" ref="I587:AB587" si="12">SUM(I576:I586)</f>
        <v>11163</v>
      </c>
      <c r="J587" s="31">
        <f t="shared" si="12"/>
        <v>5700</v>
      </c>
      <c r="K587" s="31">
        <f t="shared" si="12"/>
        <v>228</v>
      </c>
      <c r="L587" s="31">
        <f t="shared" si="12"/>
        <v>0</v>
      </c>
      <c r="M587" s="31">
        <f t="shared" si="12"/>
        <v>225</v>
      </c>
      <c r="N587" s="31">
        <f t="shared" si="12"/>
        <v>0</v>
      </c>
      <c r="O587" s="31">
        <f t="shared" si="12"/>
        <v>4392</v>
      </c>
      <c r="P587" s="31">
        <f t="shared" si="12"/>
        <v>4383</v>
      </c>
      <c r="Q587" s="31">
        <f t="shared" si="12"/>
        <v>3</v>
      </c>
      <c r="R587" s="31">
        <f t="shared" si="12"/>
        <v>0</v>
      </c>
      <c r="S587" s="31">
        <f t="shared" si="12"/>
        <v>6</v>
      </c>
      <c r="T587" s="31">
        <f t="shared" si="12"/>
        <v>0</v>
      </c>
      <c r="U587" s="31">
        <f t="shared" si="12"/>
        <v>1044</v>
      </c>
      <c r="V587" s="31">
        <f t="shared" si="12"/>
        <v>279</v>
      </c>
      <c r="W587" s="31">
        <f t="shared" si="12"/>
        <v>0</v>
      </c>
      <c r="X587" s="31">
        <f t="shared" si="12"/>
        <v>36</v>
      </c>
      <c r="Y587" s="31">
        <f t="shared" si="12"/>
        <v>1689</v>
      </c>
      <c r="Z587" s="31">
        <f t="shared" si="12"/>
        <v>1689</v>
      </c>
      <c r="AA587" s="31">
        <f t="shared" si="12"/>
        <v>0</v>
      </c>
      <c r="AB587" s="31">
        <f t="shared" si="12"/>
        <v>6543</v>
      </c>
    </row>
    <row r="588" spans="1:28" ht="13.5" customHeight="1" x14ac:dyDescent="0.2"/>
    <row r="589" spans="1:28" ht="18.75" customHeight="1" x14ac:dyDescent="0.25">
      <c r="A589" s="177" t="s">
        <v>826</v>
      </c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</row>
    <row r="590" spans="1:28" ht="28.5" customHeight="1" x14ac:dyDescent="0.2">
      <c r="A590" s="178"/>
      <c r="B590" s="179"/>
      <c r="C590" s="179"/>
      <c r="D590" s="179"/>
      <c r="E590" s="179"/>
      <c r="F590" s="179"/>
      <c r="G590" s="180"/>
      <c r="H590" s="187" t="s">
        <v>15</v>
      </c>
      <c r="I590" s="168" t="s">
        <v>1148</v>
      </c>
      <c r="J590" s="168" t="s">
        <v>16</v>
      </c>
      <c r="K590" s="168" t="s">
        <v>17</v>
      </c>
      <c r="L590" s="171" t="s">
        <v>18</v>
      </c>
      <c r="M590" s="172"/>
      <c r="N590" s="173"/>
      <c r="O590" s="168" t="s">
        <v>19</v>
      </c>
      <c r="P590" s="171" t="s">
        <v>20</v>
      </c>
      <c r="Q590" s="172"/>
      <c r="R590" s="172"/>
      <c r="S590" s="173"/>
      <c r="T590" s="168" t="s">
        <v>21</v>
      </c>
      <c r="U590" s="171" t="s">
        <v>22</v>
      </c>
      <c r="V590" s="172"/>
      <c r="W590" s="172"/>
      <c r="X590" s="173"/>
      <c r="Y590" s="171" t="s">
        <v>23</v>
      </c>
      <c r="Z590" s="172"/>
      <c r="AA590" s="173"/>
      <c r="AB590" s="168" t="s">
        <v>24</v>
      </c>
    </row>
    <row r="591" spans="1:28" ht="29.25" customHeight="1" x14ac:dyDescent="0.2">
      <c r="A591" s="181"/>
      <c r="B591" s="182"/>
      <c r="C591" s="182"/>
      <c r="D591" s="182"/>
      <c r="E591" s="182"/>
      <c r="F591" s="182"/>
      <c r="G591" s="183"/>
      <c r="H591" s="188"/>
      <c r="I591" s="170"/>
      <c r="J591" s="170"/>
      <c r="K591" s="170"/>
      <c r="L591" s="168" t="s">
        <v>25</v>
      </c>
      <c r="M591" s="168" t="s">
        <v>26</v>
      </c>
      <c r="N591" s="168" t="s">
        <v>27</v>
      </c>
      <c r="O591" s="170"/>
      <c r="P591" s="168" t="s">
        <v>28</v>
      </c>
      <c r="Q591" s="168" t="s">
        <v>29</v>
      </c>
      <c r="R591" s="168" t="s">
        <v>30</v>
      </c>
      <c r="S591" s="168" t="s">
        <v>31</v>
      </c>
      <c r="T591" s="170"/>
      <c r="U591" s="171" t="s">
        <v>32</v>
      </c>
      <c r="V591" s="172"/>
      <c r="W591" s="172"/>
      <c r="X591" s="173"/>
      <c r="Y591" s="168" t="s">
        <v>33</v>
      </c>
      <c r="Z591" s="171" t="s">
        <v>34</v>
      </c>
      <c r="AA591" s="173"/>
      <c r="AB591" s="170"/>
    </row>
    <row r="592" spans="1:28" ht="73.5" customHeight="1" x14ac:dyDescent="0.2">
      <c r="A592" s="184"/>
      <c r="B592" s="185"/>
      <c r="C592" s="185"/>
      <c r="D592" s="185"/>
      <c r="E592" s="185"/>
      <c r="F592" s="185"/>
      <c r="G592" s="186"/>
      <c r="H592" s="18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9" t="s">
        <v>35</v>
      </c>
      <c r="V592" s="16" t="s">
        <v>36</v>
      </c>
      <c r="W592" s="16" t="s">
        <v>37</v>
      </c>
      <c r="X592" s="16" t="s">
        <v>38</v>
      </c>
      <c r="Y592" s="169"/>
      <c r="Z592" s="18" t="s">
        <v>39</v>
      </c>
      <c r="AA592" s="17" t="s">
        <v>40</v>
      </c>
      <c r="AB592" s="169"/>
    </row>
    <row r="593" spans="1:28" ht="14.25" customHeight="1" x14ac:dyDescent="0.2">
      <c r="A593" s="150" t="s">
        <v>41</v>
      </c>
      <c r="B593" s="151"/>
      <c r="C593" s="151"/>
      <c r="D593" s="151"/>
      <c r="E593" s="151"/>
      <c r="F593" s="151"/>
      <c r="G593" s="152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53" t="s">
        <v>43</v>
      </c>
      <c r="B594" s="154"/>
      <c r="C594" s="154"/>
      <c r="D594" s="154"/>
      <c r="E594" s="154"/>
      <c r="F594" s="154"/>
      <c r="G594" s="155"/>
      <c r="H594" s="23">
        <v>1</v>
      </c>
      <c r="I594" s="31">
        <v>14490</v>
      </c>
      <c r="J594" s="31">
        <v>9931</v>
      </c>
      <c r="K594" s="31">
        <v>137</v>
      </c>
      <c r="L594" s="31">
        <v>1</v>
      </c>
      <c r="M594" s="31">
        <v>125</v>
      </c>
      <c r="N594" s="31">
        <v>0</v>
      </c>
      <c r="O594" s="31">
        <v>7989</v>
      </c>
      <c r="P594" s="31">
        <v>7903</v>
      </c>
      <c r="Q594" s="31">
        <v>53</v>
      </c>
      <c r="R594" s="31">
        <v>28</v>
      </c>
      <c r="S594" s="31">
        <v>5</v>
      </c>
      <c r="T594" s="31">
        <v>29</v>
      </c>
      <c r="U594" s="31">
        <v>754</v>
      </c>
      <c r="V594" s="31">
        <v>603</v>
      </c>
      <c r="W594" s="31">
        <v>162</v>
      </c>
      <c r="X594" s="31">
        <v>29</v>
      </c>
      <c r="Y594" s="31">
        <v>1604</v>
      </c>
      <c r="Z594" s="31">
        <v>1600</v>
      </c>
      <c r="AA594" s="31">
        <v>0</v>
      </c>
      <c r="AB594" s="31">
        <v>6331</v>
      </c>
    </row>
    <row r="595" spans="1:28" ht="20.25" customHeight="1" x14ac:dyDescent="0.2">
      <c r="A595" s="156" t="s">
        <v>181</v>
      </c>
      <c r="B595" s="158"/>
      <c r="C595" s="165" t="s">
        <v>51</v>
      </c>
      <c r="D595" s="166"/>
      <c r="E595" s="166"/>
      <c r="F595" s="166"/>
      <c r="G595" s="167"/>
      <c r="H595" s="23">
        <v>2</v>
      </c>
      <c r="I595" s="31">
        <v>18</v>
      </c>
      <c r="J595" s="31">
        <v>9</v>
      </c>
      <c r="K595" s="31">
        <v>0</v>
      </c>
      <c r="L595" s="31">
        <v>0</v>
      </c>
      <c r="M595" s="31">
        <v>0</v>
      </c>
      <c r="N595" s="31">
        <v>0</v>
      </c>
      <c r="O595" s="31">
        <v>4</v>
      </c>
      <c r="P595" s="31">
        <v>4</v>
      </c>
      <c r="Q595" s="31">
        <v>0</v>
      </c>
      <c r="R595" s="31">
        <v>0</v>
      </c>
      <c r="S595" s="31">
        <v>0</v>
      </c>
      <c r="T595" s="31">
        <v>0</v>
      </c>
      <c r="U595" s="31">
        <v>2</v>
      </c>
      <c r="V595" s="31">
        <v>0</v>
      </c>
      <c r="W595" s="31">
        <v>3</v>
      </c>
      <c r="X595" s="31">
        <v>0</v>
      </c>
      <c r="Y595" s="31">
        <v>1</v>
      </c>
      <c r="Z595" s="31">
        <v>1</v>
      </c>
      <c r="AA595" s="31">
        <v>0</v>
      </c>
      <c r="AB595" s="31">
        <v>14</v>
      </c>
    </row>
    <row r="596" spans="1:28" ht="20.25" customHeight="1" x14ac:dyDescent="0.2">
      <c r="A596" s="159"/>
      <c r="B596" s="161"/>
      <c r="C596" s="165" t="s">
        <v>52</v>
      </c>
      <c r="D596" s="166"/>
      <c r="E596" s="166"/>
      <c r="F596" s="166"/>
      <c r="G596" s="167"/>
      <c r="H596" s="23">
        <v>3</v>
      </c>
      <c r="I596" s="31">
        <v>17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17</v>
      </c>
    </row>
    <row r="597" spans="1:28" ht="20.25" customHeight="1" x14ac:dyDescent="0.2">
      <c r="A597" s="159"/>
      <c r="B597" s="161"/>
      <c r="C597" s="165" t="s">
        <v>182</v>
      </c>
      <c r="D597" s="166"/>
      <c r="E597" s="166"/>
      <c r="F597" s="166"/>
      <c r="G597" s="167"/>
      <c r="H597" s="23">
        <v>4</v>
      </c>
      <c r="I597" s="31">
        <v>4294</v>
      </c>
      <c r="J597" s="31">
        <v>3269</v>
      </c>
      <c r="K597" s="31">
        <v>65</v>
      </c>
      <c r="L597" s="31">
        <v>0</v>
      </c>
      <c r="M597" s="31">
        <v>59</v>
      </c>
      <c r="N597" s="31">
        <v>0</v>
      </c>
      <c r="O597" s="31">
        <v>2331</v>
      </c>
      <c r="P597" s="31">
        <v>2303</v>
      </c>
      <c r="Q597" s="31">
        <v>15</v>
      </c>
      <c r="R597" s="31">
        <v>13</v>
      </c>
      <c r="S597" s="31">
        <v>0</v>
      </c>
      <c r="T597" s="31">
        <v>2</v>
      </c>
      <c r="U597" s="31">
        <v>177</v>
      </c>
      <c r="V597" s="31">
        <v>291</v>
      </c>
      <c r="W597" s="31">
        <v>111</v>
      </c>
      <c r="X597" s="31">
        <v>7</v>
      </c>
      <c r="Y597" s="31">
        <v>193</v>
      </c>
      <c r="Z597" s="31">
        <v>192</v>
      </c>
      <c r="AA597" s="31">
        <v>0</v>
      </c>
      <c r="AB597" s="31">
        <v>1895</v>
      </c>
    </row>
    <row r="598" spans="1:28" ht="20.25" customHeight="1" x14ac:dyDescent="0.2">
      <c r="A598" s="162"/>
      <c r="B598" s="164"/>
      <c r="C598" s="165" t="s">
        <v>49</v>
      </c>
      <c r="D598" s="166"/>
      <c r="E598" s="166"/>
      <c r="F598" s="166"/>
      <c r="G598" s="167"/>
      <c r="H598" s="23">
        <v>5</v>
      </c>
      <c r="I598" s="31">
        <v>10066</v>
      </c>
      <c r="J598" s="31">
        <v>6569</v>
      </c>
      <c r="K598" s="31">
        <v>72</v>
      </c>
      <c r="L598" s="31">
        <v>1</v>
      </c>
      <c r="M598" s="31">
        <v>66</v>
      </c>
      <c r="N598" s="31">
        <v>0</v>
      </c>
      <c r="O598" s="31">
        <v>5634</v>
      </c>
      <c r="P598" s="31">
        <v>5576</v>
      </c>
      <c r="Q598" s="31">
        <v>38</v>
      </c>
      <c r="R598" s="31">
        <v>15</v>
      </c>
      <c r="S598" s="31">
        <v>5</v>
      </c>
      <c r="T598" s="31">
        <v>27</v>
      </c>
      <c r="U598" s="31">
        <v>574</v>
      </c>
      <c r="V598" s="31">
        <v>305</v>
      </c>
      <c r="W598" s="31">
        <v>48</v>
      </c>
      <c r="X598" s="31">
        <v>22</v>
      </c>
      <c r="Y598" s="31">
        <v>1406</v>
      </c>
      <c r="Z598" s="31">
        <v>1403</v>
      </c>
      <c r="AA598" s="31">
        <v>0</v>
      </c>
      <c r="AB598" s="31">
        <v>4330</v>
      </c>
    </row>
    <row r="599" spans="1:28" ht="27.2" customHeight="1" x14ac:dyDescent="0.2">
      <c r="A599" s="144" t="s">
        <v>165</v>
      </c>
      <c r="B599" s="138" t="s">
        <v>619</v>
      </c>
      <c r="C599" s="139"/>
      <c r="D599" s="139"/>
      <c r="E599" s="139"/>
      <c r="F599" s="139"/>
      <c r="G599" s="140"/>
      <c r="H599" s="23">
        <v>6</v>
      </c>
      <c r="I599" s="31">
        <v>12</v>
      </c>
      <c r="J599" s="31">
        <v>6</v>
      </c>
      <c r="K599" s="31">
        <v>0</v>
      </c>
      <c r="L599" s="31">
        <v>0</v>
      </c>
      <c r="M599" s="31">
        <v>0</v>
      </c>
      <c r="N599" s="31">
        <v>0</v>
      </c>
      <c r="O599" s="31">
        <v>5</v>
      </c>
      <c r="P599" s="31">
        <v>5</v>
      </c>
      <c r="Q599" s="31">
        <v>0</v>
      </c>
      <c r="R599" s="31">
        <v>0</v>
      </c>
      <c r="S599" s="31">
        <v>0</v>
      </c>
      <c r="T599" s="31">
        <v>0</v>
      </c>
      <c r="U599" s="31">
        <v>1</v>
      </c>
      <c r="V599" s="31">
        <v>0</v>
      </c>
      <c r="W599" s="31">
        <v>1</v>
      </c>
      <c r="X599" s="31">
        <v>0</v>
      </c>
      <c r="Y599" s="31">
        <v>3</v>
      </c>
      <c r="Z599" s="31">
        <v>3</v>
      </c>
      <c r="AA599" s="31">
        <v>0</v>
      </c>
      <c r="AB599" s="31">
        <v>7</v>
      </c>
    </row>
    <row r="600" spans="1:28" ht="27.2" customHeight="1" x14ac:dyDescent="0.2">
      <c r="A600" s="145"/>
      <c r="B600" s="138" t="s">
        <v>620</v>
      </c>
      <c r="C600" s="139"/>
      <c r="D600" s="139"/>
      <c r="E600" s="139"/>
      <c r="F600" s="139"/>
      <c r="G600" s="140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45"/>
      <c r="B601" s="138" t="s">
        <v>621</v>
      </c>
      <c r="C601" s="139"/>
      <c r="D601" s="139"/>
      <c r="E601" s="139"/>
      <c r="F601" s="139"/>
      <c r="G601" s="140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45"/>
      <c r="B602" s="138" t="s">
        <v>622</v>
      </c>
      <c r="C602" s="139"/>
      <c r="D602" s="139"/>
      <c r="E602" s="139"/>
      <c r="F602" s="139"/>
      <c r="G602" s="140"/>
      <c r="H602" s="23">
        <v>9</v>
      </c>
      <c r="I602" s="31">
        <v>33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1</v>
      </c>
      <c r="Z602" s="31">
        <v>1</v>
      </c>
      <c r="AA602" s="31">
        <v>0</v>
      </c>
      <c r="AB602" s="31">
        <v>33</v>
      </c>
    </row>
    <row r="603" spans="1:28" ht="90.75" customHeight="1" x14ac:dyDescent="0.2">
      <c r="A603" s="145"/>
      <c r="B603" s="138" t="s">
        <v>623</v>
      </c>
      <c r="C603" s="139"/>
      <c r="D603" s="139"/>
      <c r="E603" s="139"/>
      <c r="F603" s="139"/>
      <c r="G603" s="140"/>
      <c r="H603" s="23">
        <v>10</v>
      </c>
      <c r="I603" s="31">
        <v>106</v>
      </c>
      <c r="J603" s="31">
        <v>65</v>
      </c>
      <c r="K603" s="31">
        <v>3</v>
      </c>
      <c r="L603" s="31">
        <v>0</v>
      </c>
      <c r="M603" s="31">
        <v>3</v>
      </c>
      <c r="N603" s="31">
        <v>0</v>
      </c>
      <c r="O603" s="31">
        <v>54</v>
      </c>
      <c r="P603" s="31">
        <v>54</v>
      </c>
      <c r="Q603" s="31">
        <v>0</v>
      </c>
      <c r="R603" s="31">
        <v>0</v>
      </c>
      <c r="S603" s="31">
        <v>0</v>
      </c>
      <c r="T603" s="31">
        <v>0</v>
      </c>
      <c r="U603" s="31">
        <v>2</v>
      </c>
      <c r="V603" s="31">
        <v>1</v>
      </c>
      <c r="W603" s="31">
        <v>16</v>
      </c>
      <c r="X603" s="31">
        <v>0</v>
      </c>
      <c r="Y603" s="31">
        <v>30</v>
      </c>
      <c r="Z603" s="31">
        <v>30</v>
      </c>
      <c r="AA603" s="31">
        <v>0</v>
      </c>
      <c r="AB603" s="31">
        <v>49</v>
      </c>
    </row>
    <row r="604" spans="1:28" ht="27.2" customHeight="1" x14ac:dyDescent="0.2">
      <c r="A604" s="145"/>
      <c r="B604" s="190" t="s">
        <v>32</v>
      </c>
      <c r="C604" s="138" t="s">
        <v>624</v>
      </c>
      <c r="D604" s="139"/>
      <c r="E604" s="139"/>
      <c r="F604" s="139"/>
      <c r="G604" s="140"/>
      <c r="H604" s="23">
        <v>11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1</v>
      </c>
      <c r="Z604" s="31">
        <v>1</v>
      </c>
      <c r="AA604" s="31">
        <v>0</v>
      </c>
      <c r="AB604" s="31">
        <v>0</v>
      </c>
    </row>
    <row r="605" spans="1:28" ht="26.25" customHeight="1" x14ac:dyDescent="0.2">
      <c r="A605" s="145"/>
      <c r="B605" s="191"/>
      <c r="C605" s="139" t="s">
        <v>625</v>
      </c>
      <c r="D605" s="139"/>
      <c r="E605" s="139"/>
      <c r="F605" s="139"/>
      <c r="G605" s="140"/>
      <c r="H605" s="23">
        <v>12</v>
      </c>
      <c r="I605" s="54">
        <v>106</v>
      </c>
      <c r="J605" s="54">
        <v>65</v>
      </c>
      <c r="K605" s="54">
        <v>3</v>
      </c>
      <c r="L605" s="54">
        <v>0</v>
      </c>
      <c r="M605" s="31">
        <v>3</v>
      </c>
      <c r="N605" s="31">
        <v>0</v>
      </c>
      <c r="O605" s="31">
        <v>54</v>
      </c>
      <c r="P605" s="31">
        <v>54</v>
      </c>
      <c r="Q605" s="31">
        <v>0</v>
      </c>
      <c r="R605" s="31">
        <v>0</v>
      </c>
      <c r="S605" s="31">
        <v>0</v>
      </c>
      <c r="T605" s="31">
        <v>0</v>
      </c>
      <c r="U605" s="31">
        <v>2</v>
      </c>
      <c r="V605" s="31">
        <v>1</v>
      </c>
      <c r="W605" s="31">
        <v>16</v>
      </c>
      <c r="X605" s="31">
        <v>0</v>
      </c>
      <c r="Y605" s="31">
        <v>29</v>
      </c>
      <c r="Z605" s="31">
        <v>29</v>
      </c>
      <c r="AA605" s="31">
        <v>0</v>
      </c>
      <c r="AB605" s="31">
        <v>49</v>
      </c>
    </row>
    <row r="606" spans="1:28" ht="45" customHeight="1" x14ac:dyDescent="0.2">
      <c r="A606" s="145"/>
      <c r="B606" s="138" t="s">
        <v>626</v>
      </c>
      <c r="C606" s="139"/>
      <c r="D606" s="139"/>
      <c r="E606" s="139"/>
      <c r="F606" s="139"/>
      <c r="G606" s="140"/>
      <c r="H606" s="23">
        <v>13</v>
      </c>
      <c r="I606" s="31">
        <v>16</v>
      </c>
      <c r="J606" s="31">
        <v>8</v>
      </c>
      <c r="K606" s="31">
        <v>0</v>
      </c>
      <c r="L606" s="31">
        <v>0</v>
      </c>
      <c r="M606" s="31">
        <v>0</v>
      </c>
      <c r="N606" s="31">
        <v>0</v>
      </c>
      <c r="O606" s="31">
        <v>6</v>
      </c>
      <c r="P606" s="31">
        <v>6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2</v>
      </c>
      <c r="X606" s="31">
        <v>0</v>
      </c>
      <c r="Y606" s="31">
        <v>4</v>
      </c>
      <c r="Z606" s="31">
        <v>4</v>
      </c>
      <c r="AA606" s="31">
        <v>0</v>
      </c>
      <c r="AB606" s="31">
        <v>10</v>
      </c>
    </row>
    <row r="607" spans="1:28" ht="19.5" customHeight="1" x14ac:dyDescent="0.2">
      <c r="A607" s="145"/>
      <c r="B607" s="138" t="s">
        <v>627</v>
      </c>
      <c r="C607" s="139"/>
      <c r="D607" s="139"/>
      <c r="E607" s="139"/>
      <c r="F607" s="139"/>
      <c r="G607" s="140"/>
      <c r="H607" s="23">
        <v>14</v>
      </c>
      <c r="I607" s="31">
        <v>2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2</v>
      </c>
    </row>
    <row r="608" spans="1:28" ht="27.2" customHeight="1" x14ac:dyDescent="0.2">
      <c r="A608" s="145"/>
      <c r="B608" s="138" t="s">
        <v>628</v>
      </c>
      <c r="C608" s="139"/>
      <c r="D608" s="139"/>
      <c r="E608" s="139"/>
      <c r="F608" s="139"/>
      <c r="G608" s="140"/>
      <c r="H608" s="23">
        <v>15</v>
      </c>
      <c r="I608" s="31">
        <v>399</v>
      </c>
      <c r="J608" s="31">
        <v>351</v>
      </c>
      <c r="K608" s="31">
        <v>7</v>
      </c>
      <c r="L608" s="31">
        <v>0</v>
      </c>
      <c r="M608" s="31">
        <v>7</v>
      </c>
      <c r="N608" s="31">
        <v>0</v>
      </c>
      <c r="O608" s="31">
        <v>278</v>
      </c>
      <c r="P608" s="31">
        <v>265</v>
      </c>
      <c r="Q608" s="31">
        <v>0</v>
      </c>
      <c r="R608" s="31">
        <v>13</v>
      </c>
      <c r="S608" s="31">
        <v>0</v>
      </c>
      <c r="T608" s="31">
        <v>0</v>
      </c>
      <c r="U608" s="31">
        <v>47</v>
      </c>
      <c r="V608" s="31">
        <v>11</v>
      </c>
      <c r="W608" s="31">
        <v>91</v>
      </c>
      <c r="X608" s="31">
        <v>4</v>
      </c>
      <c r="Y608" s="31">
        <v>27</v>
      </c>
      <c r="Z608" s="31">
        <v>27</v>
      </c>
      <c r="AA608" s="31">
        <v>0</v>
      </c>
      <c r="AB608" s="31">
        <v>114</v>
      </c>
    </row>
    <row r="609" spans="1:28" ht="21.75" customHeight="1" x14ac:dyDescent="0.2">
      <c r="A609" s="145"/>
      <c r="B609" s="138" t="s">
        <v>629</v>
      </c>
      <c r="C609" s="139"/>
      <c r="D609" s="139"/>
      <c r="E609" s="139"/>
      <c r="F609" s="139"/>
      <c r="G609" s="140"/>
      <c r="H609" s="23">
        <v>16</v>
      </c>
      <c r="I609" s="31">
        <v>4</v>
      </c>
      <c r="J609" s="31">
        <v>0</v>
      </c>
      <c r="K609" s="31">
        <v>0</v>
      </c>
      <c r="L609" s="31">
        <v>0</v>
      </c>
      <c r="M609" s="31">
        <v>0</v>
      </c>
      <c r="N609" s="31">
        <v>0</v>
      </c>
      <c r="O609" s="31">
        <v>0</v>
      </c>
      <c r="P609" s="31">
        <v>0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2</v>
      </c>
      <c r="Z609" s="31">
        <v>2</v>
      </c>
      <c r="AA609" s="31">
        <v>0</v>
      </c>
      <c r="AB609" s="31">
        <v>4</v>
      </c>
    </row>
    <row r="610" spans="1:28" ht="27.75" customHeight="1" x14ac:dyDescent="0.2">
      <c r="A610" s="145"/>
      <c r="B610" s="138" t="s">
        <v>630</v>
      </c>
      <c r="C610" s="139"/>
      <c r="D610" s="139"/>
      <c r="E610" s="139"/>
      <c r="F610" s="139"/>
      <c r="G610" s="140"/>
      <c r="H610" s="23">
        <v>17</v>
      </c>
      <c r="I610" s="31">
        <v>4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4</v>
      </c>
    </row>
    <row r="611" spans="1:28" ht="48.75" customHeight="1" x14ac:dyDescent="0.2">
      <c r="A611" s="145"/>
      <c r="B611" s="138" t="s">
        <v>631</v>
      </c>
      <c r="C611" s="139"/>
      <c r="D611" s="139"/>
      <c r="E611" s="139"/>
      <c r="F611" s="139"/>
      <c r="G611" s="140"/>
      <c r="H611" s="23">
        <v>18</v>
      </c>
      <c r="I611" s="31">
        <v>10</v>
      </c>
      <c r="J611" s="31">
        <v>7</v>
      </c>
      <c r="K611" s="31">
        <v>0</v>
      </c>
      <c r="L611" s="31">
        <v>0</v>
      </c>
      <c r="M611" s="31">
        <v>0</v>
      </c>
      <c r="N611" s="31">
        <v>0</v>
      </c>
      <c r="O611" s="31">
        <v>5</v>
      </c>
      <c r="P611" s="31">
        <v>5</v>
      </c>
      <c r="Q611" s="31">
        <v>0</v>
      </c>
      <c r="R611" s="31">
        <v>0</v>
      </c>
      <c r="S611" s="31">
        <v>0</v>
      </c>
      <c r="T611" s="31">
        <v>0</v>
      </c>
      <c r="U611" s="31">
        <v>1</v>
      </c>
      <c r="V611" s="31">
        <v>0</v>
      </c>
      <c r="W611" s="31">
        <v>2</v>
      </c>
      <c r="X611" s="31">
        <v>0</v>
      </c>
      <c r="Y611" s="31">
        <v>1</v>
      </c>
      <c r="Z611" s="31">
        <v>1</v>
      </c>
      <c r="AA611" s="31">
        <v>0</v>
      </c>
      <c r="AB611" s="31">
        <v>5</v>
      </c>
    </row>
    <row r="612" spans="1:28" ht="29.25" customHeight="1" x14ac:dyDescent="0.2">
      <c r="A612" s="145"/>
      <c r="B612" s="138" t="s">
        <v>632</v>
      </c>
      <c r="C612" s="139"/>
      <c r="D612" s="139"/>
      <c r="E612" s="139"/>
      <c r="F612" s="139"/>
      <c r="G612" s="140"/>
      <c r="H612" s="23">
        <v>19</v>
      </c>
      <c r="I612" s="31">
        <v>1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1</v>
      </c>
    </row>
    <row r="613" spans="1:28" ht="51.75" customHeight="1" x14ac:dyDescent="0.2">
      <c r="A613" s="145"/>
      <c r="B613" s="138" t="s">
        <v>633</v>
      </c>
      <c r="C613" s="139"/>
      <c r="D613" s="139"/>
      <c r="E613" s="139"/>
      <c r="F613" s="139"/>
      <c r="G613" s="140"/>
      <c r="H613" s="23">
        <v>20</v>
      </c>
      <c r="I613" s="31">
        <v>13</v>
      </c>
      <c r="J613" s="31">
        <v>7</v>
      </c>
      <c r="K613" s="31">
        <v>0</v>
      </c>
      <c r="L613" s="31">
        <v>0</v>
      </c>
      <c r="M613" s="31">
        <v>0</v>
      </c>
      <c r="N613" s="31">
        <v>0</v>
      </c>
      <c r="O613" s="31">
        <v>3</v>
      </c>
      <c r="P613" s="31">
        <v>3</v>
      </c>
      <c r="Q613" s="31">
        <v>0</v>
      </c>
      <c r="R613" s="31">
        <v>0</v>
      </c>
      <c r="S613" s="31">
        <v>0</v>
      </c>
      <c r="T613" s="31">
        <v>0</v>
      </c>
      <c r="U613" s="31">
        <v>2</v>
      </c>
      <c r="V613" s="31">
        <v>0</v>
      </c>
      <c r="W613" s="31">
        <v>3</v>
      </c>
      <c r="X613" s="31">
        <v>0</v>
      </c>
      <c r="Y613" s="31">
        <v>0</v>
      </c>
      <c r="Z613" s="31">
        <v>0</v>
      </c>
      <c r="AA613" s="31">
        <v>0</v>
      </c>
      <c r="AB613" s="31">
        <v>10</v>
      </c>
    </row>
    <row r="614" spans="1:28" ht="22.5" customHeight="1" x14ac:dyDescent="0.2">
      <c r="A614" s="145"/>
      <c r="B614" s="138" t="s">
        <v>634</v>
      </c>
      <c r="C614" s="139"/>
      <c r="D614" s="139"/>
      <c r="E614" s="139"/>
      <c r="F614" s="139"/>
      <c r="G614" s="140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45"/>
      <c r="B615" s="138" t="s">
        <v>635</v>
      </c>
      <c r="C615" s="139"/>
      <c r="D615" s="139"/>
      <c r="E615" s="139"/>
      <c r="F615" s="139"/>
      <c r="G615" s="140"/>
      <c r="H615" s="23">
        <v>22</v>
      </c>
      <c r="I615" s="31">
        <v>1</v>
      </c>
      <c r="J615" s="31">
        <v>1</v>
      </c>
      <c r="K615" s="31">
        <v>0</v>
      </c>
      <c r="L615" s="31">
        <v>0</v>
      </c>
      <c r="M615" s="31">
        <v>0</v>
      </c>
      <c r="N615" s="31">
        <v>0</v>
      </c>
      <c r="O615" s="31">
        <v>1</v>
      </c>
      <c r="P615" s="31">
        <v>1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45"/>
      <c r="B616" s="138" t="s">
        <v>636</v>
      </c>
      <c r="C616" s="139"/>
      <c r="D616" s="139"/>
      <c r="E616" s="139"/>
      <c r="F616" s="139"/>
      <c r="G616" s="140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45"/>
      <c r="B617" s="138" t="s">
        <v>637</v>
      </c>
      <c r="C617" s="139"/>
      <c r="D617" s="139"/>
      <c r="E617" s="139"/>
      <c r="F617" s="139"/>
      <c r="G617" s="140"/>
      <c r="H617" s="23">
        <v>24</v>
      </c>
      <c r="I617" s="31">
        <v>62</v>
      </c>
      <c r="J617" s="31">
        <v>40</v>
      </c>
      <c r="K617" s="31">
        <v>0</v>
      </c>
      <c r="L617" s="31">
        <v>0</v>
      </c>
      <c r="M617" s="31">
        <v>0</v>
      </c>
      <c r="N617" s="31">
        <v>0</v>
      </c>
      <c r="O617" s="31">
        <v>28</v>
      </c>
      <c r="P617" s="31">
        <v>28</v>
      </c>
      <c r="Q617" s="31">
        <v>0</v>
      </c>
      <c r="R617" s="31">
        <v>0</v>
      </c>
      <c r="S617" s="31">
        <v>0</v>
      </c>
      <c r="T617" s="31">
        <v>0</v>
      </c>
      <c r="U617" s="31">
        <v>3</v>
      </c>
      <c r="V617" s="31">
        <v>1</v>
      </c>
      <c r="W617" s="31">
        <v>2</v>
      </c>
      <c r="X617" s="31">
        <v>0</v>
      </c>
      <c r="Y617" s="31">
        <v>8</v>
      </c>
      <c r="Z617" s="31">
        <v>8</v>
      </c>
      <c r="AA617" s="31">
        <v>0</v>
      </c>
      <c r="AB617" s="31">
        <v>34</v>
      </c>
    </row>
    <row r="618" spans="1:28" ht="27.2" customHeight="1" x14ac:dyDescent="0.2">
      <c r="A618" s="145"/>
      <c r="B618" s="190" t="s">
        <v>32</v>
      </c>
      <c r="C618" s="138" t="s">
        <v>638</v>
      </c>
      <c r="D618" s="139"/>
      <c r="E618" s="139"/>
      <c r="F618" s="139"/>
      <c r="G618" s="140"/>
      <c r="H618" s="23">
        <v>25</v>
      </c>
      <c r="I618" s="31">
        <v>10</v>
      </c>
      <c r="J618" s="31">
        <v>2</v>
      </c>
      <c r="K618" s="31">
        <v>0</v>
      </c>
      <c r="L618" s="31">
        <v>0</v>
      </c>
      <c r="M618" s="31">
        <v>0</v>
      </c>
      <c r="N618" s="31">
        <v>0</v>
      </c>
      <c r="O618" s="31">
        <v>2</v>
      </c>
      <c r="P618" s="31">
        <v>2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1</v>
      </c>
      <c r="W618" s="31">
        <v>1</v>
      </c>
      <c r="X618" s="31">
        <v>0</v>
      </c>
      <c r="Y618" s="31">
        <v>4</v>
      </c>
      <c r="Z618" s="31">
        <v>4</v>
      </c>
      <c r="AA618" s="31">
        <v>0</v>
      </c>
      <c r="AB618" s="31">
        <v>8</v>
      </c>
    </row>
    <row r="619" spans="1:28" ht="26.25" customHeight="1" x14ac:dyDescent="0.2">
      <c r="A619" s="145"/>
      <c r="B619" s="191"/>
      <c r="C619" s="139" t="s">
        <v>639</v>
      </c>
      <c r="D619" s="139"/>
      <c r="E619" s="139"/>
      <c r="F619" s="139"/>
      <c r="G619" s="140"/>
      <c r="H619" s="23">
        <v>26</v>
      </c>
      <c r="I619" s="54">
        <v>52</v>
      </c>
      <c r="J619" s="54">
        <v>38</v>
      </c>
      <c r="K619" s="54">
        <v>0</v>
      </c>
      <c r="L619" s="54">
        <v>0</v>
      </c>
      <c r="M619" s="31">
        <v>0</v>
      </c>
      <c r="N619" s="31">
        <v>0</v>
      </c>
      <c r="O619" s="31">
        <v>26</v>
      </c>
      <c r="P619" s="31">
        <v>26</v>
      </c>
      <c r="Q619" s="31">
        <v>0</v>
      </c>
      <c r="R619" s="31">
        <v>0</v>
      </c>
      <c r="S619" s="31">
        <v>0</v>
      </c>
      <c r="T619" s="31">
        <v>0</v>
      </c>
      <c r="U619" s="31">
        <v>3</v>
      </c>
      <c r="V619" s="31">
        <v>0</v>
      </c>
      <c r="W619" s="31">
        <v>1</v>
      </c>
      <c r="X619" s="31">
        <v>0</v>
      </c>
      <c r="Y619" s="31">
        <v>4</v>
      </c>
      <c r="Z619" s="31">
        <v>4</v>
      </c>
      <c r="AA619" s="31">
        <v>0</v>
      </c>
      <c r="AB619" s="31">
        <v>26</v>
      </c>
    </row>
    <row r="620" spans="1:28" ht="27.2" customHeight="1" x14ac:dyDescent="0.2">
      <c r="A620" s="145"/>
      <c r="B620" s="138" t="s">
        <v>640</v>
      </c>
      <c r="C620" s="139"/>
      <c r="D620" s="139"/>
      <c r="E620" s="139"/>
      <c r="F620" s="139"/>
      <c r="G620" s="140"/>
      <c r="H620" s="23">
        <v>27</v>
      </c>
      <c r="I620" s="31">
        <v>31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6</v>
      </c>
      <c r="Z620" s="31">
        <v>6</v>
      </c>
      <c r="AA620" s="31">
        <v>0</v>
      </c>
      <c r="AB620" s="31">
        <v>31</v>
      </c>
    </row>
    <row r="621" spans="1:28" ht="36" customHeight="1" x14ac:dyDescent="0.2">
      <c r="A621" s="145"/>
      <c r="B621" s="138" t="s">
        <v>641</v>
      </c>
      <c r="C621" s="139"/>
      <c r="D621" s="139"/>
      <c r="E621" s="139"/>
      <c r="F621" s="139"/>
      <c r="G621" s="140"/>
      <c r="H621" s="23">
        <v>28</v>
      </c>
      <c r="I621" s="31">
        <v>13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8</v>
      </c>
      <c r="Z621" s="31">
        <v>8</v>
      </c>
      <c r="AA621" s="31">
        <v>0</v>
      </c>
      <c r="AB621" s="31">
        <v>13</v>
      </c>
    </row>
    <row r="622" spans="1:28" ht="31.5" customHeight="1" x14ac:dyDescent="0.2">
      <c r="A622" s="145"/>
      <c r="B622" s="195" t="s">
        <v>642</v>
      </c>
      <c r="C622" s="196"/>
      <c r="D622" s="196"/>
      <c r="E622" s="196"/>
      <c r="F622" s="196"/>
      <c r="G622" s="197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45"/>
      <c r="B623" s="138" t="s">
        <v>643</v>
      </c>
      <c r="C623" s="139"/>
      <c r="D623" s="139"/>
      <c r="E623" s="139"/>
      <c r="F623" s="139"/>
      <c r="G623" s="140"/>
      <c r="H623" s="23">
        <v>30</v>
      </c>
      <c r="I623" s="31">
        <v>1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</v>
      </c>
    </row>
    <row r="624" spans="1:28" ht="27.2" customHeight="1" x14ac:dyDescent="0.2">
      <c r="A624" s="145"/>
      <c r="B624" s="138" t="s">
        <v>644</v>
      </c>
      <c r="C624" s="139"/>
      <c r="D624" s="139"/>
      <c r="E624" s="139"/>
      <c r="F624" s="139"/>
      <c r="G624" s="140"/>
      <c r="H624" s="23">
        <v>31</v>
      </c>
      <c r="I624" s="31">
        <v>21</v>
      </c>
      <c r="J624" s="31">
        <v>6</v>
      </c>
      <c r="K624" s="31">
        <v>0</v>
      </c>
      <c r="L624" s="31">
        <v>0</v>
      </c>
      <c r="M624" s="31">
        <v>0</v>
      </c>
      <c r="N624" s="31">
        <v>0</v>
      </c>
      <c r="O624" s="31">
        <v>6</v>
      </c>
      <c r="P624" s="31">
        <v>6</v>
      </c>
      <c r="Q624" s="31">
        <v>0</v>
      </c>
      <c r="R624" s="31">
        <v>0</v>
      </c>
      <c r="S624" s="31">
        <v>0</v>
      </c>
      <c r="T624" s="31">
        <v>0</v>
      </c>
      <c r="U624" s="31">
        <v>4</v>
      </c>
      <c r="V624" s="31">
        <v>0</v>
      </c>
      <c r="W624" s="31">
        <v>0</v>
      </c>
      <c r="X624" s="31">
        <v>1</v>
      </c>
      <c r="Y624" s="31">
        <v>0</v>
      </c>
      <c r="Z624" s="31">
        <v>0</v>
      </c>
      <c r="AA624" s="31">
        <v>0</v>
      </c>
      <c r="AB624" s="31">
        <v>15</v>
      </c>
    </row>
    <row r="625" spans="1:28" ht="27.2" customHeight="1" x14ac:dyDescent="0.2">
      <c r="A625" s="145"/>
      <c r="B625" s="190" t="s">
        <v>32</v>
      </c>
      <c r="C625" s="138" t="s">
        <v>645</v>
      </c>
      <c r="D625" s="139"/>
      <c r="E625" s="139"/>
      <c r="F625" s="139"/>
      <c r="G625" s="140"/>
      <c r="H625" s="23">
        <v>32</v>
      </c>
      <c r="I625" s="31">
        <v>14</v>
      </c>
      <c r="J625" s="31">
        <v>2</v>
      </c>
      <c r="K625" s="31">
        <v>0</v>
      </c>
      <c r="L625" s="31">
        <v>0</v>
      </c>
      <c r="M625" s="31">
        <v>0</v>
      </c>
      <c r="N625" s="31">
        <v>0</v>
      </c>
      <c r="O625" s="31">
        <v>2</v>
      </c>
      <c r="P625" s="31">
        <v>2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1</v>
      </c>
      <c r="Y625" s="31">
        <v>0</v>
      </c>
      <c r="Z625" s="31">
        <v>0</v>
      </c>
      <c r="AA625" s="31">
        <v>0</v>
      </c>
      <c r="AB625" s="31">
        <v>12</v>
      </c>
    </row>
    <row r="626" spans="1:28" ht="26.25" customHeight="1" x14ac:dyDescent="0.2">
      <c r="A626" s="145"/>
      <c r="B626" s="191"/>
      <c r="C626" s="139" t="s">
        <v>646</v>
      </c>
      <c r="D626" s="139"/>
      <c r="E626" s="139"/>
      <c r="F626" s="139"/>
      <c r="G626" s="140"/>
      <c r="H626" s="23">
        <v>33</v>
      </c>
      <c r="I626" s="54">
        <v>7</v>
      </c>
      <c r="J626" s="54">
        <v>4</v>
      </c>
      <c r="K626" s="54">
        <v>0</v>
      </c>
      <c r="L626" s="54">
        <v>0</v>
      </c>
      <c r="M626" s="31">
        <v>0</v>
      </c>
      <c r="N626" s="31">
        <v>0</v>
      </c>
      <c r="O626" s="31">
        <v>4</v>
      </c>
      <c r="P626" s="31">
        <v>4</v>
      </c>
      <c r="Q626" s="31">
        <v>0</v>
      </c>
      <c r="R626" s="31">
        <v>0</v>
      </c>
      <c r="S626" s="31">
        <v>0</v>
      </c>
      <c r="T626" s="31">
        <v>0</v>
      </c>
      <c r="U626" s="31">
        <v>4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3</v>
      </c>
    </row>
    <row r="627" spans="1:28" ht="27.2" customHeight="1" x14ac:dyDescent="0.2">
      <c r="A627" s="146"/>
      <c r="B627" s="138" t="s">
        <v>647</v>
      </c>
      <c r="C627" s="139"/>
      <c r="D627" s="139"/>
      <c r="E627" s="139"/>
      <c r="F627" s="139"/>
      <c r="G627" s="140"/>
      <c r="H627" s="23">
        <v>34</v>
      </c>
      <c r="I627" s="31">
        <v>92</v>
      </c>
      <c r="J627" s="31">
        <v>72</v>
      </c>
      <c r="K627" s="31">
        <v>0</v>
      </c>
      <c r="L627" s="31">
        <v>0</v>
      </c>
      <c r="M627" s="31">
        <v>0</v>
      </c>
      <c r="N627" s="31">
        <v>0</v>
      </c>
      <c r="O627" s="31">
        <v>58</v>
      </c>
      <c r="P627" s="31">
        <v>54</v>
      </c>
      <c r="Q627" s="31">
        <v>4</v>
      </c>
      <c r="R627" s="31">
        <v>0</v>
      </c>
      <c r="S627" s="31">
        <v>0</v>
      </c>
      <c r="T627" s="31">
        <v>0</v>
      </c>
      <c r="U627" s="31">
        <v>1</v>
      </c>
      <c r="V627" s="31">
        <v>32</v>
      </c>
      <c r="W627" s="31">
        <v>0</v>
      </c>
      <c r="X627" s="31">
        <v>0</v>
      </c>
      <c r="Y627" s="31">
        <v>2</v>
      </c>
      <c r="Z627" s="31">
        <v>2</v>
      </c>
      <c r="AA627" s="31">
        <v>0</v>
      </c>
      <c r="AB627" s="31">
        <v>34</v>
      </c>
    </row>
    <row r="628" spans="1:28" ht="12.75" customHeight="1" x14ac:dyDescent="0.2">
      <c r="A628" s="150" t="s">
        <v>41</v>
      </c>
      <c r="B628" s="151"/>
      <c r="C628" s="151"/>
      <c r="D628" s="151"/>
      <c r="E628" s="151"/>
      <c r="F628" s="151"/>
      <c r="G628" s="152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44" t="s">
        <v>165</v>
      </c>
      <c r="B629" s="138" t="s">
        <v>648</v>
      </c>
      <c r="C629" s="139"/>
      <c r="D629" s="139"/>
      <c r="E629" s="139"/>
      <c r="F629" s="139"/>
      <c r="G629" s="140"/>
      <c r="H629" s="23">
        <v>35</v>
      </c>
      <c r="I629" s="31">
        <v>100</v>
      </c>
      <c r="J629" s="31">
        <v>13</v>
      </c>
      <c r="K629" s="31">
        <v>0</v>
      </c>
      <c r="L629" s="31">
        <v>0</v>
      </c>
      <c r="M629" s="31">
        <v>0</v>
      </c>
      <c r="N629" s="31">
        <v>0</v>
      </c>
      <c r="O629" s="31">
        <v>12</v>
      </c>
      <c r="P629" s="31">
        <v>12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2</v>
      </c>
      <c r="W629" s="31">
        <v>0</v>
      </c>
      <c r="X629" s="31">
        <v>0</v>
      </c>
      <c r="Y629" s="31">
        <v>31</v>
      </c>
      <c r="Z629" s="31">
        <v>31</v>
      </c>
      <c r="AA629" s="31">
        <v>0</v>
      </c>
      <c r="AB629" s="31">
        <v>88</v>
      </c>
    </row>
    <row r="630" spans="1:28" ht="27.2" customHeight="1" x14ac:dyDescent="0.2">
      <c r="A630" s="145"/>
      <c r="B630" s="190" t="s">
        <v>32</v>
      </c>
      <c r="C630" s="138" t="s">
        <v>649</v>
      </c>
      <c r="D630" s="139"/>
      <c r="E630" s="139"/>
      <c r="F630" s="139"/>
      <c r="G630" s="140"/>
      <c r="H630" s="23">
        <v>36</v>
      </c>
      <c r="I630" s="31">
        <v>31</v>
      </c>
      <c r="J630" s="31">
        <v>3</v>
      </c>
      <c r="K630" s="31">
        <v>0</v>
      </c>
      <c r="L630" s="31">
        <v>0</v>
      </c>
      <c r="M630" s="31">
        <v>0</v>
      </c>
      <c r="N630" s="31">
        <v>0</v>
      </c>
      <c r="O630" s="31">
        <v>2</v>
      </c>
      <c r="P630" s="31">
        <v>2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20</v>
      </c>
      <c r="Z630" s="31">
        <v>20</v>
      </c>
      <c r="AA630" s="31">
        <v>0</v>
      </c>
      <c r="AB630" s="31">
        <v>29</v>
      </c>
    </row>
    <row r="631" spans="1:28" ht="26.25" customHeight="1" x14ac:dyDescent="0.2">
      <c r="A631" s="145"/>
      <c r="B631" s="191"/>
      <c r="C631" s="139" t="s">
        <v>650</v>
      </c>
      <c r="D631" s="139"/>
      <c r="E631" s="139"/>
      <c r="F631" s="139"/>
      <c r="G631" s="140"/>
      <c r="H631" s="23">
        <v>37</v>
      </c>
      <c r="I631" s="54">
        <v>69</v>
      </c>
      <c r="J631" s="54">
        <v>10</v>
      </c>
      <c r="K631" s="54">
        <v>0</v>
      </c>
      <c r="L631" s="54">
        <v>0</v>
      </c>
      <c r="M631" s="31">
        <v>0</v>
      </c>
      <c r="N631" s="31">
        <v>0</v>
      </c>
      <c r="O631" s="31">
        <v>10</v>
      </c>
      <c r="P631" s="31">
        <v>10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2</v>
      </c>
      <c r="W631" s="31">
        <v>0</v>
      </c>
      <c r="X631" s="31">
        <v>0</v>
      </c>
      <c r="Y631" s="31">
        <v>11</v>
      </c>
      <c r="Z631" s="31">
        <v>11</v>
      </c>
      <c r="AA631" s="31">
        <v>0</v>
      </c>
      <c r="AB631" s="31">
        <v>59</v>
      </c>
    </row>
    <row r="632" spans="1:28" ht="28.5" customHeight="1" x14ac:dyDescent="0.2">
      <c r="A632" s="145"/>
      <c r="B632" s="138" t="s">
        <v>651</v>
      </c>
      <c r="C632" s="139"/>
      <c r="D632" s="139"/>
      <c r="E632" s="139"/>
      <c r="F632" s="139"/>
      <c r="G632" s="140"/>
      <c r="H632" s="23">
        <v>38</v>
      </c>
      <c r="I632" s="31">
        <v>631</v>
      </c>
      <c r="J632" s="31">
        <v>20</v>
      </c>
      <c r="K632" s="31">
        <v>0</v>
      </c>
      <c r="L632" s="31">
        <v>0</v>
      </c>
      <c r="M632" s="31">
        <v>0</v>
      </c>
      <c r="N632" s="31">
        <v>0</v>
      </c>
      <c r="O632" s="31">
        <v>20</v>
      </c>
      <c r="P632" s="31">
        <v>20</v>
      </c>
      <c r="Q632" s="31">
        <v>0</v>
      </c>
      <c r="R632" s="31">
        <v>0</v>
      </c>
      <c r="S632" s="31">
        <v>0</v>
      </c>
      <c r="T632" s="31">
        <v>0</v>
      </c>
      <c r="U632" s="31">
        <v>2</v>
      </c>
      <c r="V632" s="31">
        <v>1</v>
      </c>
      <c r="W632" s="31">
        <v>0</v>
      </c>
      <c r="X632" s="31">
        <v>0</v>
      </c>
      <c r="Y632" s="31">
        <v>160</v>
      </c>
      <c r="Z632" s="31">
        <v>160</v>
      </c>
      <c r="AA632" s="31">
        <v>0</v>
      </c>
      <c r="AB632" s="31">
        <v>611</v>
      </c>
    </row>
    <row r="633" spans="1:28" ht="51" customHeight="1" x14ac:dyDescent="0.2">
      <c r="A633" s="145"/>
      <c r="B633" s="138" t="s">
        <v>652</v>
      </c>
      <c r="C633" s="139"/>
      <c r="D633" s="139"/>
      <c r="E633" s="139"/>
      <c r="F633" s="139"/>
      <c r="G633" s="140"/>
      <c r="H633" s="23">
        <v>39</v>
      </c>
      <c r="I633" s="31">
        <v>1331</v>
      </c>
      <c r="J633" s="31">
        <v>1118</v>
      </c>
      <c r="K633" s="31">
        <v>6</v>
      </c>
      <c r="L633" s="31">
        <v>0</v>
      </c>
      <c r="M633" s="31">
        <v>5</v>
      </c>
      <c r="N633" s="31">
        <v>0</v>
      </c>
      <c r="O633" s="31">
        <v>1049</v>
      </c>
      <c r="P633" s="31">
        <v>1031</v>
      </c>
      <c r="Q633" s="31">
        <v>0</v>
      </c>
      <c r="R633" s="31">
        <v>14</v>
      </c>
      <c r="S633" s="31">
        <v>4</v>
      </c>
      <c r="T633" s="31">
        <v>2</v>
      </c>
      <c r="U633" s="31">
        <v>375</v>
      </c>
      <c r="V633" s="31">
        <v>17</v>
      </c>
      <c r="W633" s="31">
        <v>31</v>
      </c>
      <c r="X633" s="31">
        <v>16</v>
      </c>
      <c r="Y633" s="31">
        <v>207</v>
      </c>
      <c r="Z633" s="31">
        <v>206</v>
      </c>
      <c r="AA633" s="31">
        <v>0</v>
      </c>
      <c r="AB633" s="31">
        <v>273</v>
      </c>
    </row>
    <row r="634" spans="1:28" ht="26.25" customHeight="1" x14ac:dyDescent="0.2">
      <c r="A634" s="145"/>
      <c r="B634" s="216" t="s">
        <v>34</v>
      </c>
      <c r="C634" s="138" t="s">
        <v>653</v>
      </c>
      <c r="D634" s="139"/>
      <c r="E634" s="139"/>
      <c r="F634" s="139"/>
      <c r="G634" s="140"/>
      <c r="H634" s="23">
        <v>40</v>
      </c>
      <c r="I634" s="54">
        <v>1322</v>
      </c>
      <c r="J634" s="54">
        <v>1118</v>
      </c>
      <c r="K634" s="54">
        <v>6</v>
      </c>
      <c r="L634" s="54">
        <v>0</v>
      </c>
      <c r="M634" s="31">
        <v>5</v>
      </c>
      <c r="N634" s="31">
        <v>0</v>
      </c>
      <c r="O634" s="31">
        <v>1049</v>
      </c>
      <c r="P634" s="31">
        <v>1031</v>
      </c>
      <c r="Q634" s="31">
        <v>0</v>
      </c>
      <c r="R634" s="31">
        <v>14</v>
      </c>
      <c r="S634" s="31">
        <v>4</v>
      </c>
      <c r="T634" s="31">
        <v>2</v>
      </c>
      <c r="U634" s="31">
        <v>375</v>
      </c>
      <c r="V634" s="31">
        <v>17</v>
      </c>
      <c r="W634" s="31">
        <v>31</v>
      </c>
      <c r="X634" s="31">
        <v>16</v>
      </c>
      <c r="Y634" s="31">
        <v>204</v>
      </c>
      <c r="Z634" s="31">
        <v>203</v>
      </c>
      <c r="AA634" s="31">
        <v>0</v>
      </c>
      <c r="AB634" s="31">
        <v>264</v>
      </c>
    </row>
    <row r="635" spans="1:28" ht="26.25" customHeight="1" x14ac:dyDescent="0.2">
      <c r="A635" s="145"/>
      <c r="B635" s="217"/>
      <c r="C635" s="174" t="s">
        <v>654</v>
      </c>
      <c r="D635" s="175"/>
      <c r="E635" s="175"/>
      <c r="F635" s="175"/>
      <c r="G635" s="176"/>
      <c r="H635" s="23">
        <v>41</v>
      </c>
      <c r="I635" s="54">
        <v>9</v>
      </c>
      <c r="J635" s="54">
        <v>0</v>
      </c>
      <c r="K635" s="54">
        <v>0</v>
      </c>
      <c r="L635" s="54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3</v>
      </c>
      <c r="Z635" s="31">
        <v>3</v>
      </c>
      <c r="AA635" s="31">
        <v>0</v>
      </c>
      <c r="AB635" s="31">
        <v>9</v>
      </c>
    </row>
    <row r="636" spans="1:28" ht="40.5" customHeight="1" x14ac:dyDescent="0.2">
      <c r="A636" s="145"/>
      <c r="B636" s="138" t="s">
        <v>655</v>
      </c>
      <c r="C636" s="139"/>
      <c r="D636" s="139"/>
      <c r="E636" s="139"/>
      <c r="F636" s="139"/>
      <c r="G636" s="140"/>
      <c r="H636" s="23">
        <v>42</v>
      </c>
      <c r="I636" s="31">
        <v>11011</v>
      </c>
      <c r="J636" s="31">
        <v>7693</v>
      </c>
      <c r="K636" s="31">
        <v>121</v>
      </c>
      <c r="L636" s="31">
        <v>1</v>
      </c>
      <c r="M636" s="31">
        <v>110</v>
      </c>
      <c r="N636" s="31">
        <v>0</v>
      </c>
      <c r="O636" s="31">
        <v>6139</v>
      </c>
      <c r="P636" s="31">
        <v>6088</v>
      </c>
      <c r="Q636" s="31">
        <v>49</v>
      </c>
      <c r="R636" s="31">
        <v>1</v>
      </c>
      <c r="S636" s="31">
        <v>1</v>
      </c>
      <c r="T636" s="31">
        <v>27</v>
      </c>
      <c r="U636" s="31">
        <v>209</v>
      </c>
      <c r="V636" s="31">
        <v>537</v>
      </c>
      <c r="W636" s="31">
        <v>14</v>
      </c>
      <c r="X636" s="31">
        <v>7</v>
      </c>
      <c r="Y636" s="31">
        <v>1050</v>
      </c>
      <c r="Z636" s="31">
        <v>1048</v>
      </c>
      <c r="AA636" s="31">
        <v>0</v>
      </c>
      <c r="AB636" s="31">
        <v>4722</v>
      </c>
    </row>
    <row r="637" spans="1:28" ht="26.25" customHeight="1" x14ac:dyDescent="0.2">
      <c r="A637" s="145"/>
      <c r="B637" s="216" t="s">
        <v>34</v>
      </c>
      <c r="C637" s="138" t="s">
        <v>656</v>
      </c>
      <c r="D637" s="139"/>
      <c r="E637" s="139"/>
      <c r="F637" s="139"/>
      <c r="G637" s="140"/>
      <c r="H637" s="23">
        <v>43</v>
      </c>
      <c r="I637" s="54">
        <v>7734</v>
      </c>
      <c r="J637" s="54">
        <v>5210</v>
      </c>
      <c r="K637" s="54">
        <v>66</v>
      </c>
      <c r="L637" s="54">
        <v>1</v>
      </c>
      <c r="M637" s="31">
        <v>61</v>
      </c>
      <c r="N637" s="31">
        <v>0</v>
      </c>
      <c r="O637" s="31">
        <v>4472</v>
      </c>
      <c r="P637" s="31">
        <v>4432</v>
      </c>
      <c r="Q637" s="31">
        <v>38</v>
      </c>
      <c r="R637" s="31">
        <v>1</v>
      </c>
      <c r="S637" s="31">
        <v>1</v>
      </c>
      <c r="T637" s="31">
        <v>25</v>
      </c>
      <c r="U637" s="31">
        <v>180</v>
      </c>
      <c r="V637" s="31">
        <v>286</v>
      </c>
      <c r="W637" s="31">
        <v>14</v>
      </c>
      <c r="X637" s="31">
        <v>5</v>
      </c>
      <c r="Y637" s="31">
        <v>937</v>
      </c>
      <c r="Z637" s="31">
        <v>936</v>
      </c>
      <c r="AA637" s="31">
        <v>0</v>
      </c>
      <c r="AB637" s="31">
        <v>3170</v>
      </c>
    </row>
    <row r="638" spans="1:28" ht="26.25" customHeight="1" x14ac:dyDescent="0.2">
      <c r="A638" s="145"/>
      <c r="B638" s="217"/>
      <c r="C638" s="174" t="s">
        <v>657</v>
      </c>
      <c r="D638" s="175"/>
      <c r="E638" s="175"/>
      <c r="F638" s="175"/>
      <c r="G638" s="176"/>
      <c r="H638" s="23">
        <v>44</v>
      </c>
      <c r="I638" s="54">
        <v>3277</v>
      </c>
      <c r="J638" s="54">
        <v>2483</v>
      </c>
      <c r="K638" s="54">
        <v>55</v>
      </c>
      <c r="L638" s="54">
        <v>0</v>
      </c>
      <c r="M638" s="31">
        <v>49</v>
      </c>
      <c r="N638" s="31">
        <v>0</v>
      </c>
      <c r="O638" s="31">
        <v>1667</v>
      </c>
      <c r="P638" s="31">
        <v>1656</v>
      </c>
      <c r="Q638" s="31">
        <v>11</v>
      </c>
      <c r="R638" s="31">
        <v>0</v>
      </c>
      <c r="S638" s="31">
        <v>0</v>
      </c>
      <c r="T638" s="31">
        <v>2</v>
      </c>
      <c r="U638" s="31">
        <v>29</v>
      </c>
      <c r="V638" s="31">
        <v>251</v>
      </c>
      <c r="W638" s="31">
        <v>0</v>
      </c>
      <c r="X638" s="31">
        <v>2</v>
      </c>
      <c r="Y638" s="31">
        <v>113</v>
      </c>
      <c r="Z638" s="31">
        <v>112</v>
      </c>
      <c r="AA638" s="31">
        <v>0</v>
      </c>
      <c r="AB638" s="31">
        <v>1552</v>
      </c>
    </row>
    <row r="639" spans="1:28" ht="27.2" customHeight="1" x14ac:dyDescent="0.2">
      <c r="A639" s="145"/>
      <c r="B639" s="138" t="s">
        <v>659</v>
      </c>
      <c r="C639" s="139"/>
      <c r="D639" s="139"/>
      <c r="E639" s="139"/>
      <c r="F639" s="139"/>
      <c r="G639" s="140"/>
      <c r="H639" s="23">
        <v>45</v>
      </c>
      <c r="I639" s="31">
        <v>588</v>
      </c>
      <c r="J639" s="31">
        <v>524</v>
      </c>
      <c r="K639" s="31">
        <v>0</v>
      </c>
      <c r="L639" s="31">
        <v>0</v>
      </c>
      <c r="M639" s="31">
        <v>0</v>
      </c>
      <c r="N639" s="31">
        <v>0</v>
      </c>
      <c r="O639" s="31">
        <v>325</v>
      </c>
      <c r="P639" s="31">
        <v>325</v>
      </c>
      <c r="Q639" s="31">
        <v>0</v>
      </c>
      <c r="R639" s="31">
        <v>0</v>
      </c>
      <c r="S639" s="31">
        <v>0</v>
      </c>
      <c r="T639" s="31">
        <v>0</v>
      </c>
      <c r="U639" s="31">
        <v>107</v>
      </c>
      <c r="V639" s="31">
        <v>1</v>
      </c>
      <c r="W639" s="31">
        <v>0</v>
      </c>
      <c r="X639" s="31">
        <v>1</v>
      </c>
      <c r="Y639" s="31">
        <v>64</v>
      </c>
      <c r="Z639" s="31">
        <v>63</v>
      </c>
      <c r="AA639" s="31">
        <v>0</v>
      </c>
      <c r="AB639" s="31">
        <v>262</v>
      </c>
    </row>
    <row r="640" spans="1:28" ht="27.2" customHeight="1" x14ac:dyDescent="0.2">
      <c r="A640" s="145"/>
      <c r="B640" s="216" t="s">
        <v>34</v>
      </c>
      <c r="C640" s="138" t="s">
        <v>827</v>
      </c>
      <c r="D640" s="139"/>
      <c r="E640" s="139"/>
      <c r="F640" s="139"/>
      <c r="G640" s="140"/>
      <c r="H640" s="23">
        <v>46</v>
      </c>
      <c r="I640" s="31">
        <v>264</v>
      </c>
      <c r="J640" s="31">
        <v>206</v>
      </c>
      <c r="K640" s="31">
        <v>0</v>
      </c>
      <c r="L640" s="31">
        <v>0</v>
      </c>
      <c r="M640" s="31">
        <v>0</v>
      </c>
      <c r="N640" s="31">
        <v>0</v>
      </c>
      <c r="O640" s="31">
        <v>81</v>
      </c>
      <c r="P640" s="31">
        <v>81</v>
      </c>
      <c r="Q640" s="31">
        <v>0</v>
      </c>
      <c r="R640" s="31">
        <v>0</v>
      </c>
      <c r="S640" s="31">
        <v>0</v>
      </c>
      <c r="T640" s="31">
        <v>0</v>
      </c>
      <c r="U640" s="31">
        <v>17</v>
      </c>
      <c r="V640" s="31">
        <v>0</v>
      </c>
      <c r="W640" s="31">
        <v>0</v>
      </c>
      <c r="X640" s="31">
        <v>0</v>
      </c>
      <c r="Y640" s="31">
        <v>63</v>
      </c>
      <c r="Z640" s="31">
        <v>62</v>
      </c>
      <c r="AA640" s="31">
        <v>0</v>
      </c>
      <c r="AB640" s="31">
        <v>182</v>
      </c>
    </row>
    <row r="641" spans="1:28" ht="27.2" customHeight="1" x14ac:dyDescent="0.2">
      <c r="A641" s="145"/>
      <c r="B641" s="217"/>
      <c r="C641" s="174" t="s">
        <v>661</v>
      </c>
      <c r="D641" s="175"/>
      <c r="E641" s="175"/>
      <c r="F641" s="175"/>
      <c r="G641" s="176"/>
      <c r="H641" s="23">
        <v>47</v>
      </c>
      <c r="I641" s="31">
        <v>324</v>
      </c>
      <c r="J641" s="31">
        <v>318</v>
      </c>
      <c r="K641" s="31">
        <v>0</v>
      </c>
      <c r="L641" s="31">
        <v>0</v>
      </c>
      <c r="M641" s="31">
        <v>0</v>
      </c>
      <c r="N641" s="31">
        <v>0</v>
      </c>
      <c r="O641" s="31">
        <v>244</v>
      </c>
      <c r="P641" s="31">
        <v>244</v>
      </c>
      <c r="Q641" s="31">
        <v>0</v>
      </c>
      <c r="R641" s="31">
        <v>0</v>
      </c>
      <c r="S641" s="31">
        <v>0</v>
      </c>
      <c r="T641" s="31">
        <v>0</v>
      </c>
      <c r="U641" s="31">
        <v>90</v>
      </c>
      <c r="V641" s="31">
        <v>1</v>
      </c>
      <c r="W641" s="31">
        <v>0</v>
      </c>
      <c r="X641" s="31">
        <v>1</v>
      </c>
      <c r="Y641" s="31">
        <v>1</v>
      </c>
      <c r="Z641" s="31">
        <v>1</v>
      </c>
      <c r="AA641" s="31">
        <v>0</v>
      </c>
      <c r="AB641" s="31">
        <v>80</v>
      </c>
    </row>
    <row r="642" spans="1:28" ht="23.25" customHeight="1" x14ac:dyDescent="0.2">
      <c r="A642" s="146"/>
      <c r="B642" s="138" t="s">
        <v>179</v>
      </c>
      <c r="C642" s="139"/>
      <c r="D642" s="139"/>
      <c r="E642" s="139"/>
      <c r="F642" s="139"/>
      <c r="G642" s="140"/>
      <c r="H642" s="23">
        <v>48</v>
      </c>
      <c r="I642" s="31">
        <v>8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8</v>
      </c>
    </row>
    <row r="643" spans="1:28" ht="24" customHeight="1" x14ac:dyDescent="0.2">
      <c r="A643" s="138" t="s">
        <v>115</v>
      </c>
      <c r="B643" s="139"/>
      <c r="C643" s="139"/>
      <c r="D643" s="139"/>
      <c r="E643" s="139"/>
      <c r="F643" s="139"/>
      <c r="G643" s="140"/>
      <c r="H643" s="23">
        <v>49</v>
      </c>
      <c r="I643" s="31">
        <f t="shared" ref="I643:AB643" si="13">SUM(I629:I642,I594:I627)</f>
        <v>56594</v>
      </c>
      <c r="J643" s="31">
        <f t="shared" si="13"/>
        <v>39168</v>
      </c>
      <c r="K643" s="31">
        <f t="shared" si="13"/>
        <v>541</v>
      </c>
      <c r="L643" s="31">
        <f t="shared" si="13"/>
        <v>4</v>
      </c>
      <c r="M643" s="31">
        <f t="shared" si="13"/>
        <v>493</v>
      </c>
      <c r="N643" s="31">
        <f t="shared" si="13"/>
        <v>0</v>
      </c>
      <c r="O643" s="31">
        <f t="shared" si="13"/>
        <v>31560</v>
      </c>
      <c r="P643" s="31">
        <f t="shared" si="13"/>
        <v>31233</v>
      </c>
      <c r="Q643" s="31">
        <f t="shared" si="13"/>
        <v>208</v>
      </c>
      <c r="R643" s="31">
        <f t="shared" si="13"/>
        <v>99</v>
      </c>
      <c r="S643" s="31">
        <f t="shared" si="13"/>
        <v>20</v>
      </c>
      <c r="T643" s="31">
        <f t="shared" si="13"/>
        <v>116</v>
      </c>
      <c r="U643" s="31">
        <f t="shared" si="13"/>
        <v>2961</v>
      </c>
      <c r="V643" s="31">
        <f t="shared" si="13"/>
        <v>2361</v>
      </c>
      <c r="W643" s="31">
        <f t="shared" si="13"/>
        <v>549</v>
      </c>
      <c r="X643" s="31">
        <f t="shared" si="13"/>
        <v>112</v>
      </c>
      <c r="Y643" s="31">
        <f t="shared" si="13"/>
        <v>6198</v>
      </c>
      <c r="Z643" s="31">
        <f t="shared" si="13"/>
        <v>6182</v>
      </c>
      <c r="AA643" s="31">
        <f t="shared" si="13"/>
        <v>0</v>
      </c>
      <c r="AB643" s="31">
        <f t="shared" si="13"/>
        <v>24361</v>
      </c>
    </row>
    <row r="644" spans="1:28" ht="19.5" customHeight="1" x14ac:dyDescent="0.2"/>
    <row r="645" spans="1:28" ht="24.75" customHeight="1" x14ac:dyDescent="0.2">
      <c r="A645" s="215" t="s">
        <v>828</v>
      </c>
      <c r="B645" s="215"/>
      <c r="C645" s="215"/>
      <c r="D645" s="215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</row>
    <row r="646" spans="1:28" ht="30.75" customHeight="1" x14ac:dyDescent="0.2">
      <c r="A646" s="178"/>
      <c r="B646" s="179"/>
      <c r="C646" s="179"/>
      <c r="D646" s="179"/>
      <c r="E646" s="179"/>
      <c r="F646" s="179"/>
      <c r="G646" s="180"/>
      <c r="H646" s="187" t="s">
        <v>15</v>
      </c>
      <c r="I646" s="168" t="s">
        <v>1148</v>
      </c>
      <c r="J646" s="168" t="s">
        <v>16</v>
      </c>
      <c r="K646" s="168" t="s">
        <v>17</v>
      </c>
      <c r="L646" s="171" t="s">
        <v>18</v>
      </c>
      <c r="M646" s="172"/>
      <c r="N646" s="173"/>
      <c r="O646" s="168" t="s">
        <v>19</v>
      </c>
      <c r="P646" s="171" t="s">
        <v>20</v>
      </c>
      <c r="Q646" s="172"/>
      <c r="R646" s="172"/>
      <c r="S646" s="173"/>
      <c r="T646" s="168" t="s">
        <v>21</v>
      </c>
      <c r="U646" s="171" t="s">
        <v>22</v>
      </c>
      <c r="V646" s="172"/>
      <c r="W646" s="172"/>
      <c r="X646" s="173"/>
      <c r="Y646" s="171" t="s">
        <v>23</v>
      </c>
      <c r="Z646" s="172"/>
      <c r="AA646" s="173"/>
      <c r="AB646" s="168" t="s">
        <v>24</v>
      </c>
    </row>
    <row r="647" spans="1:28" ht="27" customHeight="1" x14ac:dyDescent="0.2">
      <c r="A647" s="181"/>
      <c r="B647" s="182"/>
      <c r="C647" s="182"/>
      <c r="D647" s="182"/>
      <c r="E647" s="182"/>
      <c r="F647" s="182"/>
      <c r="G647" s="183"/>
      <c r="H647" s="188"/>
      <c r="I647" s="170"/>
      <c r="J647" s="170"/>
      <c r="K647" s="170"/>
      <c r="L647" s="168" t="s">
        <v>25</v>
      </c>
      <c r="M647" s="168" t="s">
        <v>26</v>
      </c>
      <c r="N647" s="168" t="s">
        <v>27</v>
      </c>
      <c r="O647" s="170"/>
      <c r="P647" s="168" t="s">
        <v>28</v>
      </c>
      <c r="Q647" s="168" t="s">
        <v>29</v>
      </c>
      <c r="R647" s="168" t="s">
        <v>30</v>
      </c>
      <c r="S647" s="168" t="s">
        <v>31</v>
      </c>
      <c r="T647" s="170"/>
      <c r="U647" s="171" t="s">
        <v>32</v>
      </c>
      <c r="V647" s="172"/>
      <c r="W647" s="172"/>
      <c r="X647" s="173"/>
      <c r="Y647" s="168" t="s">
        <v>33</v>
      </c>
      <c r="Z647" s="171" t="s">
        <v>34</v>
      </c>
      <c r="AA647" s="173"/>
      <c r="AB647" s="170"/>
    </row>
    <row r="648" spans="1:28" ht="73.5" customHeight="1" x14ac:dyDescent="0.2">
      <c r="A648" s="184"/>
      <c r="B648" s="185"/>
      <c r="C648" s="185"/>
      <c r="D648" s="185"/>
      <c r="E648" s="185"/>
      <c r="F648" s="185"/>
      <c r="G648" s="186"/>
      <c r="H648" s="18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9" t="s">
        <v>35</v>
      </c>
      <c r="V648" s="16" t="s">
        <v>36</v>
      </c>
      <c r="W648" s="16" t="s">
        <v>37</v>
      </c>
      <c r="X648" s="16" t="s">
        <v>38</v>
      </c>
      <c r="Y648" s="169"/>
      <c r="Z648" s="18" t="s">
        <v>39</v>
      </c>
      <c r="AA648" s="17" t="s">
        <v>40</v>
      </c>
      <c r="AB648" s="169"/>
    </row>
    <row r="649" spans="1:28" ht="13.5" customHeight="1" x14ac:dyDescent="0.2">
      <c r="A649" s="150" t="s">
        <v>41</v>
      </c>
      <c r="B649" s="151"/>
      <c r="C649" s="151"/>
      <c r="D649" s="151"/>
      <c r="E649" s="151"/>
      <c r="F649" s="151"/>
      <c r="G649" s="152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53" t="s">
        <v>43</v>
      </c>
      <c r="B650" s="154"/>
      <c r="C650" s="154"/>
      <c r="D650" s="154"/>
      <c r="E650" s="154"/>
      <c r="F650" s="154"/>
      <c r="G650" s="155"/>
      <c r="H650" s="23">
        <v>1</v>
      </c>
      <c r="I650" s="31">
        <v>1844</v>
      </c>
      <c r="J650" s="31">
        <v>1385</v>
      </c>
      <c r="K650" s="31">
        <v>17</v>
      </c>
      <c r="L650" s="31">
        <v>0</v>
      </c>
      <c r="M650" s="31">
        <v>17</v>
      </c>
      <c r="N650" s="31">
        <v>0</v>
      </c>
      <c r="O650" s="31">
        <v>1046</v>
      </c>
      <c r="P650" s="31">
        <v>1045</v>
      </c>
      <c r="Q650" s="31">
        <v>0</v>
      </c>
      <c r="R650" s="31">
        <v>0</v>
      </c>
      <c r="S650" s="31">
        <v>1</v>
      </c>
      <c r="T650" s="31">
        <v>0</v>
      </c>
      <c r="U650" s="31">
        <v>118</v>
      </c>
      <c r="V650" s="31">
        <v>150</v>
      </c>
      <c r="W650" s="31">
        <v>1</v>
      </c>
      <c r="X650" s="31">
        <v>23</v>
      </c>
      <c r="Y650" s="31">
        <v>130</v>
      </c>
      <c r="Z650" s="31">
        <v>130</v>
      </c>
      <c r="AA650" s="31">
        <v>0</v>
      </c>
      <c r="AB650" s="31">
        <v>781</v>
      </c>
    </row>
    <row r="651" spans="1:28" ht="19.5" customHeight="1" x14ac:dyDescent="0.2">
      <c r="A651" s="156" t="s">
        <v>181</v>
      </c>
      <c r="B651" s="158"/>
      <c r="C651" s="165" t="s">
        <v>51</v>
      </c>
      <c r="D651" s="166"/>
      <c r="E651" s="166"/>
      <c r="F651" s="166"/>
      <c r="G651" s="167"/>
      <c r="H651" s="23">
        <v>2</v>
      </c>
      <c r="I651" s="31">
        <v>226</v>
      </c>
      <c r="J651" s="31">
        <v>107</v>
      </c>
      <c r="K651" s="31">
        <v>8</v>
      </c>
      <c r="L651" s="31">
        <v>0</v>
      </c>
      <c r="M651" s="31">
        <v>8</v>
      </c>
      <c r="N651" s="31">
        <v>0</v>
      </c>
      <c r="O651" s="31">
        <v>56</v>
      </c>
      <c r="P651" s="31">
        <v>56</v>
      </c>
      <c r="Q651" s="31">
        <v>0</v>
      </c>
      <c r="R651" s="31">
        <v>0</v>
      </c>
      <c r="S651" s="31">
        <v>0</v>
      </c>
      <c r="T651" s="31">
        <v>0</v>
      </c>
      <c r="U651" s="31">
        <v>9</v>
      </c>
      <c r="V651" s="31">
        <v>45</v>
      </c>
      <c r="W651" s="31">
        <v>0</v>
      </c>
      <c r="X651" s="31">
        <v>0</v>
      </c>
      <c r="Y651" s="31">
        <v>13</v>
      </c>
      <c r="Z651" s="31">
        <v>13</v>
      </c>
      <c r="AA651" s="31">
        <v>0</v>
      </c>
      <c r="AB651" s="31">
        <v>162</v>
      </c>
    </row>
    <row r="652" spans="1:28" ht="19.5" customHeight="1" x14ac:dyDescent="0.2">
      <c r="A652" s="159"/>
      <c r="B652" s="161"/>
      <c r="C652" s="165" t="s">
        <v>52</v>
      </c>
      <c r="D652" s="166"/>
      <c r="E652" s="166"/>
      <c r="F652" s="166"/>
      <c r="G652" s="167"/>
      <c r="H652" s="23">
        <v>3</v>
      </c>
      <c r="I652" s="31">
        <v>577</v>
      </c>
      <c r="J652" s="31">
        <v>455</v>
      </c>
      <c r="K652" s="31">
        <v>1</v>
      </c>
      <c r="L652" s="31">
        <v>0</v>
      </c>
      <c r="M652" s="31">
        <v>1</v>
      </c>
      <c r="N652" s="31">
        <v>0</v>
      </c>
      <c r="O652" s="31">
        <v>298</v>
      </c>
      <c r="P652" s="31">
        <v>298</v>
      </c>
      <c r="Q652" s="31">
        <v>0</v>
      </c>
      <c r="R652" s="31">
        <v>0</v>
      </c>
      <c r="S652" s="31">
        <v>0</v>
      </c>
      <c r="T652" s="31">
        <v>0</v>
      </c>
      <c r="U652" s="31">
        <v>3</v>
      </c>
      <c r="V652" s="31">
        <v>81</v>
      </c>
      <c r="W652" s="31">
        <v>0</v>
      </c>
      <c r="X652" s="31">
        <v>0</v>
      </c>
      <c r="Y652" s="31">
        <v>9</v>
      </c>
      <c r="Z652" s="31">
        <v>9</v>
      </c>
      <c r="AA652" s="31">
        <v>0</v>
      </c>
      <c r="AB652" s="31">
        <v>278</v>
      </c>
    </row>
    <row r="653" spans="1:28" ht="19.5" customHeight="1" x14ac:dyDescent="0.2">
      <c r="A653" s="159"/>
      <c r="B653" s="161"/>
      <c r="C653" s="165" t="s">
        <v>182</v>
      </c>
      <c r="D653" s="166"/>
      <c r="E653" s="166"/>
      <c r="F653" s="166"/>
      <c r="G653" s="167"/>
      <c r="H653" s="23">
        <v>4</v>
      </c>
      <c r="I653" s="31">
        <v>759</v>
      </c>
      <c r="J653" s="31">
        <v>605</v>
      </c>
      <c r="K653" s="31">
        <v>7</v>
      </c>
      <c r="L653" s="31">
        <v>0</v>
      </c>
      <c r="M653" s="31">
        <v>7</v>
      </c>
      <c r="N653" s="31">
        <v>0</v>
      </c>
      <c r="O653" s="31">
        <v>495</v>
      </c>
      <c r="P653" s="31">
        <v>495</v>
      </c>
      <c r="Q653" s="31">
        <v>0</v>
      </c>
      <c r="R653" s="31">
        <v>0</v>
      </c>
      <c r="S653" s="31">
        <v>0</v>
      </c>
      <c r="T653" s="31">
        <v>0</v>
      </c>
      <c r="U653" s="31">
        <v>56</v>
      </c>
      <c r="V653" s="31">
        <v>22</v>
      </c>
      <c r="W653" s="31">
        <v>0</v>
      </c>
      <c r="X653" s="31">
        <v>16</v>
      </c>
      <c r="Y653" s="31">
        <v>10</v>
      </c>
      <c r="Z653" s="31">
        <v>10</v>
      </c>
      <c r="AA653" s="31">
        <v>0</v>
      </c>
      <c r="AB653" s="31">
        <v>257</v>
      </c>
    </row>
    <row r="654" spans="1:28" ht="19.5" customHeight="1" x14ac:dyDescent="0.2">
      <c r="A654" s="162"/>
      <c r="B654" s="164"/>
      <c r="C654" s="165" t="s">
        <v>49</v>
      </c>
      <c r="D654" s="166"/>
      <c r="E654" s="166"/>
      <c r="F654" s="166"/>
      <c r="G654" s="167"/>
      <c r="H654" s="23">
        <v>5</v>
      </c>
      <c r="I654" s="31">
        <v>279</v>
      </c>
      <c r="J654" s="31">
        <v>216</v>
      </c>
      <c r="K654" s="31">
        <v>1</v>
      </c>
      <c r="L654" s="31">
        <v>0</v>
      </c>
      <c r="M654" s="31">
        <v>1</v>
      </c>
      <c r="N654" s="31">
        <v>0</v>
      </c>
      <c r="O654" s="31">
        <v>195</v>
      </c>
      <c r="P654" s="31">
        <v>194</v>
      </c>
      <c r="Q654" s="31">
        <v>0</v>
      </c>
      <c r="R654" s="31">
        <v>0</v>
      </c>
      <c r="S654" s="31">
        <v>1</v>
      </c>
      <c r="T654" s="31">
        <v>0</v>
      </c>
      <c r="U654" s="31">
        <v>50</v>
      </c>
      <c r="V654" s="31">
        <v>1</v>
      </c>
      <c r="W654" s="31">
        <v>1</v>
      </c>
      <c r="X654" s="31">
        <v>7</v>
      </c>
      <c r="Y654" s="31">
        <v>98</v>
      </c>
      <c r="Z654" s="31">
        <v>98</v>
      </c>
      <c r="AA654" s="31">
        <v>0</v>
      </c>
      <c r="AB654" s="31">
        <v>83</v>
      </c>
    </row>
    <row r="655" spans="1:28" ht="57.75" customHeight="1" x14ac:dyDescent="0.2">
      <c r="A655" s="144" t="s">
        <v>663</v>
      </c>
      <c r="B655" s="138" t="s">
        <v>664</v>
      </c>
      <c r="C655" s="139"/>
      <c r="D655" s="139"/>
      <c r="E655" s="139"/>
      <c r="F655" s="139"/>
      <c r="G655" s="140"/>
      <c r="H655" s="23">
        <v>6</v>
      </c>
      <c r="I655" s="31">
        <v>1014</v>
      </c>
      <c r="J655" s="31">
        <v>779</v>
      </c>
      <c r="K655" s="31">
        <v>12</v>
      </c>
      <c r="L655" s="31">
        <v>0</v>
      </c>
      <c r="M655" s="31">
        <v>12</v>
      </c>
      <c r="N655" s="31">
        <v>0</v>
      </c>
      <c r="O655" s="31">
        <v>631</v>
      </c>
      <c r="P655" s="31">
        <v>630</v>
      </c>
      <c r="Q655" s="31">
        <v>0</v>
      </c>
      <c r="R655" s="31">
        <v>0</v>
      </c>
      <c r="S655" s="31">
        <v>1</v>
      </c>
      <c r="T655" s="31">
        <v>0</v>
      </c>
      <c r="U655" s="31">
        <v>112</v>
      </c>
      <c r="V655" s="31">
        <v>59</v>
      </c>
      <c r="W655" s="31">
        <v>1</v>
      </c>
      <c r="X655" s="31">
        <v>23</v>
      </c>
      <c r="Y655" s="31">
        <v>115</v>
      </c>
      <c r="Z655" s="31">
        <v>115</v>
      </c>
      <c r="AA655" s="31">
        <v>0</v>
      </c>
      <c r="AB655" s="31">
        <v>371</v>
      </c>
    </row>
    <row r="656" spans="1:28" ht="54.75" customHeight="1" x14ac:dyDescent="0.2">
      <c r="A656" s="145"/>
      <c r="B656" s="138" t="s">
        <v>665</v>
      </c>
      <c r="C656" s="139"/>
      <c r="D656" s="139"/>
      <c r="E656" s="139"/>
      <c r="F656" s="139"/>
      <c r="G656" s="140"/>
      <c r="H656" s="23">
        <v>7</v>
      </c>
      <c r="I656" s="31">
        <v>52</v>
      </c>
      <c r="J656" s="31">
        <v>45</v>
      </c>
      <c r="K656" s="31">
        <v>4</v>
      </c>
      <c r="L656" s="31">
        <v>0</v>
      </c>
      <c r="M656" s="31">
        <v>4</v>
      </c>
      <c r="N656" s="31">
        <v>0</v>
      </c>
      <c r="O656" s="31">
        <v>39</v>
      </c>
      <c r="P656" s="31">
        <v>39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9</v>
      </c>
    </row>
    <row r="657" spans="1:28" ht="75" customHeight="1" x14ac:dyDescent="0.2">
      <c r="A657" s="145"/>
      <c r="B657" s="138" t="s">
        <v>666</v>
      </c>
      <c r="C657" s="139"/>
      <c r="D657" s="139"/>
      <c r="E657" s="139"/>
      <c r="F657" s="139"/>
      <c r="G657" s="140"/>
      <c r="H657" s="23">
        <v>8</v>
      </c>
      <c r="I657" s="31">
        <v>73</v>
      </c>
      <c r="J657" s="31">
        <v>40</v>
      </c>
      <c r="K657" s="31">
        <v>0</v>
      </c>
      <c r="L657" s="31">
        <v>0</v>
      </c>
      <c r="M657" s="31">
        <v>0</v>
      </c>
      <c r="N657" s="31">
        <v>0</v>
      </c>
      <c r="O657" s="31">
        <v>30</v>
      </c>
      <c r="P657" s="31">
        <v>30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7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43</v>
      </c>
    </row>
    <row r="658" spans="1:28" ht="83.25" customHeight="1" x14ac:dyDescent="0.2">
      <c r="A658" s="145"/>
      <c r="B658" s="138" t="s">
        <v>667</v>
      </c>
      <c r="C658" s="139"/>
      <c r="D658" s="139"/>
      <c r="E658" s="139"/>
      <c r="F658" s="139"/>
      <c r="G658" s="140"/>
      <c r="H658" s="23">
        <v>9</v>
      </c>
      <c r="I658" s="31">
        <v>700</v>
      </c>
      <c r="J658" s="31">
        <v>521</v>
      </c>
      <c r="K658" s="31">
        <v>1</v>
      </c>
      <c r="L658" s="31">
        <v>0</v>
      </c>
      <c r="M658" s="31">
        <v>1</v>
      </c>
      <c r="N658" s="31">
        <v>0</v>
      </c>
      <c r="O658" s="31">
        <v>346</v>
      </c>
      <c r="P658" s="31">
        <v>346</v>
      </c>
      <c r="Q658" s="31">
        <v>0</v>
      </c>
      <c r="R658" s="31">
        <v>0</v>
      </c>
      <c r="S658" s="31">
        <v>0</v>
      </c>
      <c r="T658" s="31">
        <v>0</v>
      </c>
      <c r="U658" s="31">
        <v>6</v>
      </c>
      <c r="V658" s="31">
        <v>84</v>
      </c>
      <c r="W658" s="31">
        <v>0</v>
      </c>
      <c r="X658" s="31">
        <v>0</v>
      </c>
      <c r="Y658" s="31">
        <v>15</v>
      </c>
      <c r="Z658" s="31">
        <v>15</v>
      </c>
      <c r="AA658" s="31">
        <v>0</v>
      </c>
      <c r="AB658" s="31">
        <v>353</v>
      </c>
    </row>
    <row r="659" spans="1:28" ht="70.5" customHeight="1" x14ac:dyDescent="0.2">
      <c r="A659" s="145"/>
      <c r="B659" s="138" t="s">
        <v>668</v>
      </c>
      <c r="C659" s="139"/>
      <c r="D659" s="139"/>
      <c r="E659" s="139"/>
      <c r="F659" s="139"/>
      <c r="G659" s="140"/>
      <c r="H659" s="23">
        <v>10</v>
      </c>
      <c r="I659" s="31">
        <v>4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4</v>
      </c>
    </row>
    <row r="660" spans="1:28" ht="71.25" customHeight="1" x14ac:dyDescent="0.2">
      <c r="A660" s="145"/>
      <c r="B660" s="138" t="s">
        <v>669</v>
      </c>
      <c r="C660" s="139"/>
      <c r="D660" s="139"/>
      <c r="E660" s="139"/>
      <c r="F660" s="139"/>
      <c r="G660" s="140"/>
      <c r="H660" s="23">
        <v>11</v>
      </c>
      <c r="I660" s="31">
        <v>1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1</v>
      </c>
    </row>
    <row r="661" spans="1:28" ht="24" customHeight="1" x14ac:dyDescent="0.2">
      <c r="A661" s="146"/>
      <c r="B661" s="138" t="s">
        <v>670</v>
      </c>
      <c r="C661" s="139"/>
      <c r="D661" s="139"/>
      <c r="E661" s="139"/>
      <c r="F661" s="139"/>
      <c r="G661" s="140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8" t="s">
        <v>115</v>
      </c>
      <c r="B662" s="139"/>
      <c r="C662" s="139"/>
      <c r="D662" s="139"/>
      <c r="E662" s="139"/>
      <c r="F662" s="139"/>
      <c r="G662" s="140"/>
      <c r="H662" s="23">
        <v>13</v>
      </c>
      <c r="I662" s="31">
        <f t="shared" ref="I662:AB662" si="14">SUM(I650:I661)</f>
        <v>5529</v>
      </c>
      <c r="J662" s="31">
        <f t="shared" si="14"/>
        <v>4153</v>
      </c>
      <c r="K662" s="31">
        <f t="shared" si="14"/>
        <v>51</v>
      </c>
      <c r="L662" s="31">
        <f t="shared" si="14"/>
        <v>0</v>
      </c>
      <c r="M662" s="31">
        <f t="shared" si="14"/>
        <v>51</v>
      </c>
      <c r="N662" s="31">
        <f t="shared" si="14"/>
        <v>0</v>
      </c>
      <c r="O662" s="31">
        <f t="shared" si="14"/>
        <v>3136</v>
      </c>
      <c r="P662" s="31">
        <f t="shared" si="14"/>
        <v>3133</v>
      </c>
      <c r="Q662" s="31">
        <f t="shared" si="14"/>
        <v>0</v>
      </c>
      <c r="R662" s="31">
        <f t="shared" si="14"/>
        <v>0</v>
      </c>
      <c r="S662" s="31">
        <f t="shared" si="14"/>
        <v>3</v>
      </c>
      <c r="T662" s="31">
        <f t="shared" si="14"/>
        <v>0</v>
      </c>
      <c r="U662" s="31">
        <f t="shared" si="14"/>
        <v>354</v>
      </c>
      <c r="V662" s="31">
        <f t="shared" si="14"/>
        <v>449</v>
      </c>
      <c r="W662" s="31">
        <f t="shared" si="14"/>
        <v>3</v>
      </c>
      <c r="X662" s="31">
        <f t="shared" si="14"/>
        <v>69</v>
      </c>
      <c r="Y662" s="31">
        <f t="shared" si="14"/>
        <v>390</v>
      </c>
      <c r="Z662" s="31">
        <f t="shared" si="14"/>
        <v>390</v>
      </c>
      <c r="AA662" s="31">
        <f t="shared" si="14"/>
        <v>0</v>
      </c>
      <c r="AB662" s="31">
        <f t="shared" si="14"/>
        <v>2342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15" t="s">
        <v>829</v>
      </c>
      <c r="B664" s="215"/>
      <c r="C664" s="215"/>
      <c r="D664" s="215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</row>
    <row r="665" spans="1:28" ht="26.25" customHeight="1" x14ac:dyDescent="0.2">
      <c r="A665" s="178"/>
      <c r="B665" s="179"/>
      <c r="C665" s="179"/>
      <c r="D665" s="179"/>
      <c r="E665" s="179"/>
      <c r="F665" s="179"/>
      <c r="G665" s="180"/>
      <c r="H665" s="187" t="s">
        <v>15</v>
      </c>
      <c r="I665" s="168" t="s">
        <v>1148</v>
      </c>
      <c r="J665" s="168" t="s">
        <v>16</v>
      </c>
      <c r="K665" s="168" t="s">
        <v>17</v>
      </c>
      <c r="L665" s="171" t="s">
        <v>18</v>
      </c>
      <c r="M665" s="172"/>
      <c r="N665" s="173"/>
      <c r="O665" s="168" t="s">
        <v>19</v>
      </c>
      <c r="P665" s="171" t="s">
        <v>20</v>
      </c>
      <c r="Q665" s="172"/>
      <c r="R665" s="172"/>
      <c r="S665" s="173"/>
      <c r="T665" s="168" t="s">
        <v>21</v>
      </c>
      <c r="U665" s="171" t="s">
        <v>22</v>
      </c>
      <c r="V665" s="172"/>
      <c r="W665" s="172"/>
      <c r="X665" s="173"/>
      <c r="Y665" s="171" t="s">
        <v>23</v>
      </c>
      <c r="Z665" s="172"/>
      <c r="AA665" s="173"/>
      <c r="AB665" s="168" t="s">
        <v>24</v>
      </c>
    </row>
    <row r="666" spans="1:28" ht="26.25" customHeight="1" x14ac:dyDescent="0.2">
      <c r="A666" s="181"/>
      <c r="B666" s="182"/>
      <c r="C666" s="182"/>
      <c r="D666" s="182"/>
      <c r="E666" s="182"/>
      <c r="F666" s="182"/>
      <c r="G666" s="183"/>
      <c r="H666" s="188"/>
      <c r="I666" s="170"/>
      <c r="J666" s="170"/>
      <c r="K666" s="170"/>
      <c r="L666" s="168" t="s">
        <v>25</v>
      </c>
      <c r="M666" s="168" t="s">
        <v>26</v>
      </c>
      <c r="N666" s="168" t="s">
        <v>27</v>
      </c>
      <c r="O666" s="170"/>
      <c r="P666" s="168" t="s">
        <v>28</v>
      </c>
      <c r="Q666" s="168" t="s">
        <v>29</v>
      </c>
      <c r="R666" s="168" t="s">
        <v>30</v>
      </c>
      <c r="S666" s="168" t="s">
        <v>31</v>
      </c>
      <c r="T666" s="170"/>
      <c r="U666" s="171" t="s">
        <v>32</v>
      </c>
      <c r="V666" s="172"/>
      <c r="W666" s="172"/>
      <c r="X666" s="173"/>
      <c r="Y666" s="168" t="s">
        <v>33</v>
      </c>
      <c r="Z666" s="171" t="s">
        <v>34</v>
      </c>
      <c r="AA666" s="173"/>
      <c r="AB666" s="170"/>
    </row>
    <row r="667" spans="1:28" ht="80.25" customHeight="1" x14ac:dyDescent="0.2">
      <c r="A667" s="184"/>
      <c r="B667" s="185"/>
      <c r="C667" s="185"/>
      <c r="D667" s="185"/>
      <c r="E667" s="185"/>
      <c r="F667" s="185"/>
      <c r="G667" s="186"/>
      <c r="H667" s="18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9" t="s">
        <v>35</v>
      </c>
      <c r="V667" s="16" t="s">
        <v>36</v>
      </c>
      <c r="W667" s="16" t="s">
        <v>37</v>
      </c>
      <c r="X667" s="16" t="s">
        <v>38</v>
      </c>
      <c r="Y667" s="169"/>
      <c r="Z667" s="18" t="s">
        <v>39</v>
      </c>
      <c r="AA667" s="17" t="s">
        <v>40</v>
      </c>
      <c r="AB667" s="169"/>
    </row>
    <row r="668" spans="1:28" ht="16.5" customHeight="1" x14ac:dyDescent="0.2">
      <c r="A668" s="150" t="s">
        <v>41</v>
      </c>
      <c r="B668" s="151"/>
      <c r="C668" s="151"/>
      <c r="D668" s="151"/>
      <c r="E668" s="151"/>
      <c r="F668" s="151"/>
      <c r="G668" s="152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53" t="s">
        <v>43</v>
      </c>
      <c r="B669" s="154"/>
      <c r="C669" s="154"/>
      <c r="D669" s="154"/>
      <c r="E669" s="154"/>
      <c r="F669" s="154"/>
      <c r="G669" s="155"/>
      <c r="H669" s="68">
        <v>1</v>
      </c>
      <c r="I669" s="31">
        <v>7679</v>
      </c>
      <c r="J669" s="31">
        <v>4428</v>
      </c>
      <c r="K669" s="31">
        <v>67</v>
      </c>
      <c r="L669" s="31">
        <v>0</v>
      </c>
      <c r="M669" s="31">
        <v>67</v>
      </c>
      <c r="N669" s="31">
        <v>0</v>
      </c>
      <c r="O669" s="31">
        <v>3553</v>
      </c>
      <c r="P669" s="31">
        <v>3551</v>
      </c>
      <c r="Q669" s="31">
        <v>2</v>
      </c>
      <c r="R669" s="31">
        <v>0</v>
      </c>
      <c r="S669" s="31">
        <v>0</v>
      </c>
      <c r="T669" s="31">
        <v>0</v>
      </c>
      <c r="U669" s="31">
        <v>125</v>
      </c>
      <c r="V669" s="31">
        <v>394</v>
      </c>
      <c r="W669" s="31">
        <v>189</v>
      </c>
      <c r="X669" s="31">
        <v>0</v>
      </c>
      <c r="Y669" s="31">
        <v>845</v>
      </c>
      <c r="Z669" s="31">
        <v>845</v>
      </c>
      <c r="AA669" s="31">
        <v>0</v>
      </c>
      <c r="AB669" s="31">
        <v>4059</v>
      </c>
    </row>
    <row r="670" spans="1:28" ht="22.5" customHeight="1" x14ac:dyDescent="0.2">
      <c r="A670" s="156" t="s">
        <v>181</v>
      </c>
      <c r="B670" s="158"/>
      <c r="C670" s="165" t="s">
        <v>51</v>
      </c>
      <c r="D670" s="166"/>
      <c r="E670" s="166"/>
      <c r="F670" s="166"/>
      <c r="G670" s="167"/>
      <c r="H670" s="68">
        <v>2</v>
      </c>
      <c r="I670" s="31">
        <v>1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1</v>
      </c>
    </row>
    <row r="671" spans="1:28" ht="22.5" customHeight="1" x14ac:dyDescent="0.2">
      <c r="A671" s="159"/>
      <c r="B671" s="161"/>
      <c r="C671" s="165" t="s">
        <v>52</v>
      </c>
      <c r="D671" s="166"/>
      <c r="E671" s="166"/>
      <c r="F671" s="166"/>
      <c r="G671" s="167"/>
      <c r="H671" s="68">
        <v>3</v>
      </c>
      <c r="I671" s="31">
        <v>1578</v>
      </c>
      <c r="J671" s="31">
        <v>455</v>
      </c>
      <c r="K671" s="31">
        <v>1</v>
      </c>
      <c r="L671" s="31">
        <v>0</v>
      </c>
      <c r="M671" s="31">
        <v>1</v>
      </c>
      <c r="N671" s="31">
        <v>0</v>
      </c>
      <c r="O671" s="31">
        <v>210</v>
      </c>
      <c r="P671" s="31">
        <v>210</v>
      </c>
      <c r="Q671" s="31">
        <v>0</v>
      </c>
      <c r="R671" s="31">
        <v>0</v>
      </c>
      <c r="S671" s="31">
        <v>0</v>
      </c>
      <c r="T671" s="31">
        <v>0</v>
      </c>
      <c r="U671" s="31">
        <v>15</v>
      </c>
      <c r="V671" s="31">
        <v>49</v>
      </c>
      <c r="W671" s="31">
        <v>0</v>
      </c>
      <c r="X671" s="31">
        <v>0</v>
      </c>
      <c r="Y671" s="31">
        <v>81</v>
      </c>
      <c r="Z671" s="31">
        <v>81</v>
      </c>
      <c r="AA671" s="31">
        <v>0</v>
      </c>
      <c r="AB671" s="31">
        <v>1367</v>
      </c>
    </row>
    <row r="672" spans="1:28" ht="22.5" customHeight="1" x14ac:dyDescent="0.2">
      <c r="A672" s="159"/>
      <c r="B672" s="161"/>
      <c r="C672" s="165" t="s">
        <v>182</v>
      </c>
      <c r="D672" s="166"/>
      <c r="E672" s="166"/>
      <c r="F672" s="166"/>
      <c r="G672" s="167"/>
      <c r="H672" s="68">
        <v>4</v>
      </c>
      <c r="I672" s="31">
        <v>6007</v>
      </c>
      <c r="J672" s="31">
        <v>3902</v>
      </c>
      <c r="K672" s="31">
        <v>44</v>
      </c>
      <c r="L672" s="31">
        <v>0</v>
      </c>
      <c r="M672" s="31">
        <v>44</v>
      </c>
      <c r="N672" s="31">
        <v>0</v>
      </c>
      <c r="O672" s="31">
        <v>3295</v>
      </c>
      <c r="P672" s="31">
        <v>3293</v>
      </c>
      <c r="Q672" s="31">
        <v>2</v>
      </c>
      <c r="R672" s="31">
        <v>0</v>
      </c>
      <c r="S672" s="31">
        <v>0</v>
      </c>
      <c r="T672" s="31">
        <v>0</v>
      </c>
      <c r="U672" s="31">
        <v>108</v>
      </c>
      <c r="V672" s="31">
        <v>344</v>
      </c>
      <c r="W672" s="31">
        <v>189</v>
      </c>
      <c r="X672" s="31">
        <v>0</v>
      </c>
      <c r="Y672" s="31">
        <v>761</v>
      </c>
      <c r="Z672" s="31">
        <v>761</v>
      </c>
      <c r="AA672" s="31">
        <v>0</v>
      </c>
      <c r="AB672" s="31">
        <v>2668</v>
      </c>
    </row>
    <row r="673" spans="1:28" ht="22.5" customHeight="1" x14ac:dyDescent="0.2">
      <c r="A673" s="162"/>
      <c r="B673" s="164"/>
      <c r="C673" s="165" t="s">
        <v>49</v>
      </c>
      <c r="D673" s="166"/>
      <c r="E673" s="166"/>
      <c r="F673" s="166"/>
      <c r="G673" s="167"/>
      <c r="H673" s="68">
        <v>5</v>
      </c>
      <c r="I673" s="31">
        <v>2</v>
      </c>
      <c r="J673" s="31">
        <v>1</v>
      </c>
      <c r="K673" s="31">
        <v>0</v>
      </c>
      <c r="L673" s="31">
        <v>0</v>
      </c>
      <c r="M673" s="31">
        <v>0</v>
      </c>
      <c r="N673" s="31">
        <v>0</v>
      </c>
      <c r="O673" s="31">
        <v>1</v>
      </c>
      <c r="P673" s="31">
        <v>1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1</v>
      </c>
    </row>
    <row r="674" spans="1:28" ht="27.75" customHeight="1" x14ac:dyDescent="0.2">
      <c r="A674" s="210" t="s">
        <v>165</v>
      </c>
      <c r="B674" s="174" t="s">
        <v>672</v>
      </c>
      <c r="C674" s="175"/>
      <c r="D674" s="175"/>
      <c r="E674" s="175"/>
      <c r="F674" s="175"/>
      <c r="G674" s="176"/>
      <c r="H674" s="68">
        <v>6</v>
      </c>
      <c r="I674" s="31">
        <v>847</v>
      </c>
      <c r="J674" s="31">
        <v>134</v>
      </c>
      <c r="K674" s="31">
        <v>1</v>
      </c>
      <c r="L674" s="31">
        <v>0</v>
      </c>
      <c r="M674" s="31">
        <v>1</v>
      </c>
      <c r="N674" s="31">
        <v>0</v>
      </c>
      <c r="O674" s="31">
        <v>87</v>
      </c>
      <c r="P674" s="31">
        <v>87</v>
      </c>
      <c r="Q674" s="31">
        <v>0</v>
      </c>
      <c r="R674" s="31">
        <v>0</v>
      </c>
      <c r="S674" s="31">
        <v>0</v>
      </c>
      <c r="T674" s="31">
        <v>0</v>
      </c>
      <c r="U674" s="31">
        <v>4</v>
      </c>
      <c r="V674" s="31">
        <v>15</v>
      </c>
      <c r="W674" s="31">
        <v>0</v>
      </c>
      <c r="X674" s="31">
        <v>0</v>
      </c>
      <c r="Y674" s="31">
        <v>66</v>
      </c>
      <c r="Z674" s="31">
        <v>66</v>
      </c>
      <c r="AA674" s="31">
        <v>0</v>
      </c>
      <c r="AB674" s="31">
        <v>759</v>
      </c>
    </row>
    <row r="675" spans="1:28" ht="26.25" customHeight="1" x14ac:dyDescent="0.2">
      <c r="A675" s="211"/>
      <c r="B675" s="40" t="s">
        <v>32</v>
      </c>
      <c r="C675" s="174" t="s">
        <v>673</v>
      </c>
      <c r="D675" s="175"/>
      <c r="E675" s="175"/>
      <c r="F675" s="175"/>
      <c r="G675" s="176"/>
      <c r="H675" s="68">
        <v>7</v>
      </c>
      <c r="I675" s="31">
        <v>499</v>
      </c>
      <c r="J675" s="31">
        <v>90</v>
      </c>
      <c r="K675" s="31">
        <v>1</v>
      </c>
      <c r="L675" s="31">
        <v>0</v>
      </c>
      <c r="M675" s="31">
        <v>1</v>
      </c>
      <c r="N675" s="31">
        <v>0</v>
      </c>
      <c r="O675" s="31">
        <v>51</v>
      </c>
      <c r="P675" s="31">
        <v>51</v>
      </c>
      <c r="Q675" s="31">
        <v>0</v>
      </c>
      <c r="R675" s="31">
        <v>0</v>
      </c>
      <c r="S675" s="31">
        <v>0</v>
      </c>
      <c r="T675" s="31">
        <v>0</v>
      </c>
      <c r="U675" s="31">
        <v>3</v>
      </c>
      <c r="V675" s="31">
        <v>5</v>
      </c>
      <c r="W675" s="31">
        <v>0</v>
      </c>
      <c r="X675" s="31">
        <v>0</v>
      </c>
      <c r="Y675" s="31">
        <v>16</v>
      </c>
      <c r="Z675" s="31">
        <v>16</v>
      </c>
      <c r="AA675" s="31">
        <v>0</v>
      </c>
      <c r="AB675" s="31">
        <v>447</v>
      </c>
    </row>
    <row r="676" spans="1:28" ht="43.5" customHeight="1" x14ac:dyDescent="0.2">
      <c r="A676" s="211"/>
      <c r="B676" s="174" t="s">
        <v>674</v>
      </c>
      <c r="C676" s="175"/>
      <c r="D676" s="175"/>
      <c r="E676" s="175"/>
      <c r="F676" s="175"/>
      <c r="G676" s="176"/>
      <c r="H676" s="68">
        <v>8</v>
      </c>
      <c r="I676" s="31">
        <v>51</v>
      </c>
      <c r="J676" s="31">
        <v>14</v>
      </c>
      <c r="K676" s="31">
        <v>0</v>
      </c>
      <c r="L676" s="31">
        <v>0</v>
      </c>
      <c r="M676" s="31">
        <v>0</v>
      </c>
      <c r="N676" s="31">
        <v>0</v>
      </c>
      <c r="O676" s="31">
        <v>12</v>
      </c>
      <c r="P676" s="31">
        <v>12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3</v>
      </c>
      <c r="W676" s="31">
        <v>0</v>
      </c>
      <c r="X676" s="31">
        <v>0</v>
      </c>
      <c r="Y676" s="31">
        <v>2</v>
      </c>
      <c r="Z676" s="31">
        <v>2</v>
      </c>
      <c r="AA676" s="31">
        <v>0</v>
      </c>
      <c r="AB676" s="31">
        <v>39</v>
      </c>
    </row>
    <row r="677" spans="1:28" ht="27.2" customHeight="1" x14ac:dyDescent="0.2">
      <c r="A677" s="211"/>
      <c r="B677" s="174" t="s">
        <v>676</v>
      </c>
      <c r="C677" s="175"/>
      <c r="D677" s="175"/>
      <c r="E677" s="175"/>
      <c r="F677" s="175"/>
      <c r="G677" s="176"/>
      <c r="H677" s="68">
        <v>9</v>
      </c>
      <c r="I677" s="31">
        <v>31</v>
      </c>
      <c r="J677" s="31">
        <v>2</v>
      </c>
      <c r="K677" s="31">
        <v>0</v>
      </c>
      <c r="L677" s="31">
        <v>0</v>
      </c>
      <c r="M677" s="31">
        <v>0</v>
      </c>
      <c r="N677" s="31">
        <v>0</v>
      </c>
      <c r="O677" s="31">
        <v>2</v>
      </c>
      <c r="P677" s="31">
        <v>2</v>
      </c>
      <c r="Q677" s="31">
        <v>0</v>
      </c>
      <c r="R677" s="31">
        <v>0</v>
      </c>
      <c r="S677" s="31">
        <v>0</v>
      </c>
      <c r="T677" s="31">
        <v>0</v>
      </c>
      <c r="U677" s="31">
        <v>1</v>
      </c>
      <c r="V677" s="31">
        <v>0</v>
      </c>
      <c r="W677" s="31">
        <v>0</v>
      </c>
      <c r="X677" s="31">
        <v>0</v>
      </c>
      <c r="Y677" s="31">
        <v>26</v>
      </c>
      <c r="Z677" s="31">
        <v>26</v>
      </c>
      <c r="AA677" s="31">
        <v>0</v>
      </c>
      <c r="AB677" s="31">
        <v>29</v>
      </c>
    </row>
    <row r="678" spans="1:28" ht="20.25" customHeight="1" x14ac:dyDescent="0.2">
      <c r="A678" s="211"/>
      <c r="B678" s="40" t="s">
        <v>32</v>
      </c>
      <c r="C678" s="174" t="s">
        <v>678</v>
      </c>
      <c r="D678" s="175"/>
      <c r="E678" s="175"/>
      <c r="F678" s="175"/>
      <c r="G678" s="176"/>
      <c r="H678" s="68">
        <v>10</v>
      </c>
      <c r="I678" s="31">
        <v>6</v>
      </c>
      <c r="J678" s="31">
        <v>2</v>
      </c>
      <c r="K678" s="31">
        <v>0</v>
      </c>
      <c r="L678" s="31">
        <v>0</v>
      </c>
      <c r="M678" s="31">
        <v>0</v>
      </c>
      <c r="N678" s="31">
        <v>0</v>
      </c>
      <c r="O678" s="31">
        <v>2</v>
      </c>
      <c r="P678" s="31">
        <v>2</v>
      </c>
      <c r="Q678" s="31">
        <v>0</v>
      </c>
      <c r="R678" s="31">
        <v>0</v>
      </c>
      <c r="S678" s="31">
        <v>0</v>
      </c>
      <c r="T678" s="31">
        <v>0</v>
      </c>
      <c r="U678" s="31">
        <v>1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4</v>
      </c>
    </row>
    <row r="679" spans="1:28" ht="27.2" customHeight="1" x14ac:dyDescent="0.2">
      <c r="A679" s="211"/>
      <c r="B679" s="174" t="s">
        <v>679</v>
      </c>
      <c r="C679" s="175"/>
      <c r="D679" s="175"/>
      <c r="E679" s="175"/>
      <c r="F679" s="175"/>
      <c r="G679" s="176"/>
      <c r="H679" s="68">
        <v>11</v>
      </c>
      <c r="I679" s="31">
        <v>115</v>
      </c>
      <c r="J679" s="31">
        <v>52</v>
      </c>
      <c r="K679" s="31">
        <v>0</v>
      </c>
      <c r="L679" s="31">
        <v>0</v>
      </c>
      <c r="M679" s="31">
        <v>0</v>
      </c>
      <c r="N679" s="31">
        <v>0</v>
      </c>
      <c r="O679" s="31">
        <v>49</v>
      </c>
      <c r="P679" s="31">
        <v>49</v>
      </c>
      <c r="Q679" s="31">
        <v>0</v>
      </c>
      <c r="R679" s="31">
        <v>0</v>
      </c>
      <c r="S679" s="31">
        <v>0</v>
      </c>
      <c r="T679" s="31">
        <v>0</v>
      </c>
      <c r="U679" s="31">
        <v>6</v>
      </c>
      <c r="V679" s="31">
        <v>3</v>
      </c>
      <c r="W679" s="31">
        <v>0</v>
      </c>
      <c r="X679" s="31">
        <v>0</v>
      </c>
      <c r="Y679" s="31">
        <v>12</v>
      </c>
      <c r="Z679" s="31">
        <v>12</v>
      </c>
      <c r="AA679" s="31">
        <v>0</v>
      </c>
      <c r="AB679" s="31">
        <v>66</v>
      </c>
    </row>
    <row r="680" spans="1:28" ht="27.2" customHeight="1" x14ac:dyDescent="0.2">
      <c r="A680" s="211"/>
      <c r="B680" s="174" t="s">
        <v>681</v>
      </c>
      <c r="C680" s="175"/>
      <c r="D680" s="175"/>
      <c r="E680" s="175"/>
      <c r="F680" s="175"/>
      <c r="G680" s="176"/>
      <c r="H680" s="68">
        <v>12</v>
      </c>
      <c r="I680" s="31">
        <v>3177</v>
      </c>
      <c r="J680" s="31">
        <v>2495</v>
      </c>
      <c r="K680" s="31">
        <v>63</v>
      </c>
      <c r="L680" s="31">
        <v>0</v>
      </c>
      <c r="M680" s="31">
        <v>63</v>
      </c>
      <c r="N680" s="31">
        <v>0</v>
      </c>
      <c r="O680" s="31">
        <v>1984</v>
      </c>
      <c r="P680" s="31">
        <v>1982</v>
      </c>
      <c r="Q680" s="31">
        <v>2</v>
      </c>
      <c r="R680" s="31">
        <v>0</v>
      </c>
      <c r="S680" s="31">
        <v>0</v>
      </c>
      <c r="T680" s="31">
        <v>0</v>
      </c>
      <c r="U680" s="31">
        <v>50</v>
      </c>
      <c r="V680" s="31">
        <v>305</v>
      </c>
      <c r="W680" s="31">
        <v>0</v>
      </c>
      <c r="X680" s="31">
        <v>0</v>
      </c>
      <c r="Y680" s="31">
        <v>115</v>
      </c>
      <c r="Z680" s="31">
        <v>115</v>
      </c>
      <c r="AA680" s="31">
        <v>0</v>
      </c>
      <c r="AB680" s="31">
        <v>1130</v>
      </c>
    </row>
    <row r="681" spans="1:28" ht="27.2" customHeight="1" x14ac:dyDescent="0.2">
      <c r="A681" s="211"/>
      <c r="B681" s="174" t="s">
        <v>682</v>
      </c>
      <c r="C681" s="175"/>
      <c r="D681" s="175"/>
      <c r="E681" s="175"/>
      <c r="F681" s="175"/>
      <c r="G681" s="176"/>
      <c r="H681" s="68">
        <v>13</v>
      </c>
      <c r="I681" s="31">
        <v>163</v>
      </c>
      <c r="J681" s="31">
        <v>16</v>
      </c>
      <c r="K681" s="31">
        <v>1</v>
      </c>
      <c r="L681" s="31">
        <v>0</v>
      </c>
      <c r="M681" s="31">
        <v>1</v>
      </c>
      <c r="N681" s="31">
        <v>0</v>
      </c>
      <c r="O681" s="31">
        <v>14</v>
      </c>
      <c r="P681" s="31">
        <v>14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5</v>
      </c>
      <c r="Z681" s="31">
        <v>5</v>
      </c>
      <c r="AA681" s="31">
        <v>0</v>
      </c>
      <c r="AB681" s="31">
        <v>148</v>
      </c>
    </row>
    <row r="682" spans="1:28" ht="27.2" customHeight="1" x14ac:dyDescent="0.2">
      <c r="A682" s="211"/>
      <c r="B682" s="174" t="s">
        <v>684</v>
      </c>
      <c r="C682" s="175"/>
      <c r="D682" s="175"/>
      <c r="E682" s="175"/>
      <c r="F682" s="175"/>
      <c r="G682" s="176"/>
      <c r="H682" s="68">
        <v>14</v>
      </c>
      <c r="I682" s="31">
        <v>788</v>
      </c>
      <c r="J682" s="31">
        <v>243</v>
      </c>
      <c r="K682" s="31">
        <v>2</v>
      </c>
      <c r="L682" s="31">
        <v>0</v>
      </c>
      <c r="M682" s="31">
        <v>2</v>
      </c>
      <c r="N682" s="31">
        <v>0</v>
      </c>
      <c r="O682" s="31">
        <v>205</v>
      </c>
      <c r="P682" s="31">
        <v>205</v>
      </c>
      <c r="Q682" s="31">
        <v>0</v>
      </c>
      <c r="R682" s="31">
        <v>0</v>
      </c>
      <c r="S682" s="31">
        <v>0</v>
      </c>
      <c r="T682" s="31">
        <v>0</v>
      </c>
      <c r="U682" s="31">
        <v>8</v>
      </c>
      <c r="V682" s="31">
        <v>0</v>
      </c>
      <c r="W682" s="31">
        <v>0</v>
      </c>
      <c r="X682" s="31">
        <v>0</v>
      </c>
      <c r="Y682" s="31">
        <v>57</v>
      </c>
      <c r="Z682" s="31">
        <v>57</v>
      </c>
      <c r="AA682" s="31">
        <v>0</v>
      </c>
      <c r="AB682" s="31">
        <v>581</v>
      </c>
    </row>
    <row r="683" spans="1:28" ht="30" customHeight="1" x14ac:dyDescent="0.2">
      <c r="A683" s="211"/>
      <c r="B683" s="174" t="s">
        <v>685</v>
      </c>
      <c r="C683" s="175"/>
      <c r="D683" s="175"/>
      <c r="E683" s="175"/>
      <c r="F683" s="175"/>
      <c r="G683" s="176"/>
      <c r="H683" s="68">
        <v>15</v>
      </c>
      <c r="I683" s="31">
        <v>529</v>
      </c>
      <c r="J683" s="31">
        <v>179</v>
      </c>
      <c r="K683" s="31">
        <v>0</v>
      </c>
      <c r="L683" s="31">
        <v>0</v>
      </c>
      <c r="M683" s="31">
        <v>0</v>
      </c>
      <c r="N683" s="31">
        <v>0</v>
      </c>
      <c r="O683" s="31">
        <v>97</v>
      </c>
      <c r="P683" s="31">
        <v>97</v>
      </c>
      <c r="Q683" s="31">
        <v>0</v>
      </c>
      <c r="R683" s="31">
        <v>0</v>
      </c>
      <c r="S683" s="31">
        <v>0</v>
      </c>
      <c r="T683" s="31">
        <v>0</v>
      </c>
      <c r="U683" s="31">
        <v>5</v>
      </c>
      <c r="V683" s="31">
        <v>39</v>
      </c>
      <c r="W683" s="31">
        <v>0</v>
      </c>
      <c r="X683" s="31">
        <v>0</v>
      </c>
      <c r="Y683" s="31">
        <v>35</v>
      </c>
      <c r="Z683" s="31">
        <v>35</v>
      </c>
      <c r="AA683" s="31">
        <v>0</v>
      </c>
      <c r="AB683" s="31">
        <v>432</v>
      </c>
    </row>
    <row r="684" spans="1:28" ht="44.25" customHeight="1" x14ac:dyDescent="0.2">
      <c r="A684" s="211"/>
      <c r="B684" s="174" t="s">
        <v>686</v>
      </c>
      <c r="C684" s="175"/>
      <c r="D684" s="175"/>
      <c r="E684" s="175"/>
      <c r="F684" s="175"/>
      <c r="G684" s="176"/>
      <c r="H684" s="68">
        <v>16</v>
      </c>
      <c r="I684" s="31">
        <v>21</v>
      </c>
      <c r="J684" s="31">
        <v>9</v>
      </c>
      <c r="K684" s="31">
        <v>0</v>
      </c>
      <c r="L684" s="31">
        <v>0</v>
      </c>
      <c r="M684" s="31">
        <v>0</v>
      </c>
      <c r="N684" s="31">
        <v>0</v>
      </c>
      <c r="O684" s="31">
        <v>4</v>
      </c>
      <c r="P684" s="31">
        <v>4</v>
      </c>
      <c r="Q684" s="31">
        <v>0</v>
      </c>
      <c r="R684" s="31">
        <v>0</v>
      </c>
      <c r="S684" s="31">
        <v>0</v>
      </c>
      <c r="T684" s="31">
        <v>0</v>
      </c>
      <c r="U684" s="31">
        <v>1</v>
      </c>
      <c r="V684" s="31">
        <v>0</v>
      </c>
      <c r="W684" s="31">
        <v>0</v>
      </c>
      <c r="X684" s="31">
        <v>0</v>
      </c>
      <c r="Y684" s="31">
        <v>1</v>
      </c>
      <c r="Z684" s="31">
        <v>1</v>
      </c>
      <c r="AA684" s="31">
        <v>0</v>
      </c>
      <c r="AB684" s="31">
        <v>17</v>
      </c>
    </row>
    <row r="685" spans="1:28" ht="27.2" customHeight="1" x14ac:dyDescent="0.2">
      <c r="A685" s="211"/>
      <c r="B685" s="174" t="s">
        <v>687</v>
      </c>
      <c r="C685" s="175"/>
      <c r="D685" s="175"/>
      <c r="E685" s="175"/>
      <c r="F685" s="175"/>
      <c r="G685" s="176"/>
      <c r="H685" s="68">
        <v>17</v>
      </c>
      <c r="I685" s="31">
        <v>4</v>
      </c>
      <c r="J685" s="31">
        <v>2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4</v>
      </c>
    </row>
    <row r="686" spans="1:28" ht="25.5" customHeight="1" x14ac:dyDescent="0.2">
      <c r="A686" s="211"/>
      <c r="B686" s="174" t="s">
        <v>688</v>
      </c>
      <c r="C686" s="175"/>
      <c r="D686" s="175"/>
      <c r="E686" s="175"/>
      <c r="F686" s="175"/>
      <c r="G686" s="176"/>
      <c r="H686" s="68">
        <v>18</v>
      </c>
      <c r="I686" s="31">
        <v>18</v>
      </c>
      <c r="J686" s="31">
        <v>1</v>
      </c>
      <c r="K686" s="31">
        <v>0</v>
      </c>
      <c r="L686" s="31">
        <v>0</v>
      </c>
      <c r="M686" s="31">
        <v>0</v>
      </c>
      <c r="N686" s="31">
        <v>0</v>
      </c>
      <c r="O686" s="31">
        <v>1</v>
      </c>
      <c r="P686" s="31">
        <v>1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1</v>
      </c>
      <c r="Z686" s="31">
        <v>1</v>
      </c>
      <c r="AA686" s="31">
        <v>0</v>
      </c>
      <c r="AB686" s="31">
        <v>17</v>
      </c>
    </row>
    <row r="687" spans="1:28" ht="27.2" customHeight="1" x14ac:dyDescent="0.2">
      <c r="A687" s="211"/>
      <c r="B687" s="174" t="s">
        <v>689</v>
      </c>
      <c r="C687" s="175"/>
      <c r="D687" s="175"/>
      <c r="E687" s="175"/>
      <c r="F687" s="175"/>
      <c r="G687" s="176"/>
      <c r="H687" s="68">
        <v>19</v>
      </c>
      <c r="I687" s="31">
        <v>1287</v>
      </c>
      <c r="J687" s="31">
        <v>970</v>
      </c>
      <c r="K687" s="31">
        <v>0</v>
      </c>
      <c r="L687" s="31">
        <v>0</v>
      </c>
      <c r="M687" s="31">
        <v>0</v>
      </c>
      <c r="N687" s="31">
        <v>0</v>
      </c>
      <c r="O687" s="31">
        <v>900</v>
      </c>
      <c r="P687" s="31">
        <v>900</v>
      </c>
      <c r="Q687" s="31">
        <v>0</v>
      </c>
      <c r="R687" s="31">
        <v>0</v>
      </c>
      <c r="S687" s="31">
        <v>0</v>
      </c>
      <c r="T687" s="31">
        <v>0</v>
      </c>
      <c r="U687" s="31">
        <v>42</v>
      </c>
      <c r="V687" s="31">
        <v>2</v>
      </c>
      <c r="W687" s="31">
        <v>189</v>
      </c>
      <c r="X687" s="31">
        <v>0</v>
      </c>
      <c r="Y687" s="31">
        <v>460</v>
      </c>
      <c r="Z687" s="31">
        <v>460</v>
      </c>
      <c r="AA687" s="31">
        <v>0</v>
      </c>
      <c r="AB687" s="31">
        <v>387</v>
      </c>
    </row>
    <row r="688" spans="1:28" ht="24" customHeight="1" x14ac:dyDescent="0.2">
      <c r="A688" s="211"/>
      <c r="B688" s="174" t="s">
        <v>690</v>
      </c>
      <c r="C688" s="175"/>
      <c r="D688" s="175"/>
      <c r="E688" s="175"/>
      <c r="F688" s="175"/>
      <c r="G688" s="176"/>
      <c r="H688" s="68">
        <v>20</v>
      </c>
      <c r="I688" s="31">
        <v>467</v>
      </c>
      <c r="J688" s="31">
        <v>244</v>
      </c>
      <c r="K688" s="31">
        <v>0</v>
      </c>
      <c r="L688" s="31">
        <v>0</v>
      </c>
      <c r="M688" s="31">
        <v>0</v>
      </c>
      <c r="N688" s="31">
        <v>0</v>
      </c>
      <c r="O688" s="31">
        <v>131</v>
      </c>
      <c r="P688" s="31">
        <v>131</v>
      </c>
      <c r="Q688" s="31">
        <v>0</v>
      </c>
      <c r="R688" s="31">
        <v>0</v>
      </c>
      <c r="S688" s="31">
        <v>0</v>
      </c>
      <c r="T688" s="31">
        <v>0</v>
      </c>
      <c r="U688" s="31">
        <v>7</v>
      </c>
      <c r="V688" s="31">
        <v>27</v>
      </c>
      <c r="W688" s="31">
        <v>0</v>
      </c>
      <c r="X688" s="31">
        <v>0</v>
      </c>
      <c r="Y688" s="31">
        <v>23</v>
      </c>
      <c r="Z688" s="31">
        <v>23</v>
      </c>
      <c r="AA688" s="31">
        <v>0</v>
      </c>
      <c r="AB688" s="31">
        <v>336</v>
      </c>
    </row>
    <row r="689" spans="1:28" ht="27.2" customHeight="1" x14ac:dyDescent="0.2">
      <c r="A689" s="211"/>
      <c r="B689" s="174" t="s">
        <v>691</v>
      </c>
      <c r="C689" s="175"/>
      <c r="D689" s="175"/>
      <c r="E689" s="175"/>
      <c r="F689" s="175"/>
      <c r="G689" s="176"/>
      <c r="H689" s="68">
        <v>21</v>
      </c>
      <c r="I689" s="31">
        <v>13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13</v>
      </c>
    </row>
    <row r="690" spans="1:28" ht="27.2" customHeight="1" x14ac:dyDescent="0.2">
      <c r="A690" s="211"/>
      <c r="B690" s="174" t="s">
        <v>692</v>
      </c>
      <c r="C690" s="175"/>
      <c r="D690" s="175"/>
      <c r="E690" s="175"/>
      <c r="F690" s="175"/>
      <c r="G690" s="176"/>
      <c r="H690" s="68">
        <v>22</v>
      </c>
      <c r="I690" s="31">
        <v>0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0</v>
      </c>
    </row>
    <row r="691" spans="1:28" ht="22.5" customHeight="1" x14ac:dyDescent="0.2">
      <c r="A691" s="212"/>
      <c r="B691" s="174" t="s">
        <v>179</v>
      </c>
      <c r="C691" s="175"/>
      <c r="D691" s="175"/>
      <c r="E691" s="175"/>
      <c r="F691" s="175"/>
      <c r="G691" s="176"/>
      <c r="H691" s="68">
        <v>23</v>
      </c>
      <c r="I691" s="31">
        <v>168</v>
      </c>
      <c r="J691" s="31">
        <v>67</v>
      </c>
      <c r="K691" s="31">
        <v>0</v>
      </c>
      <c r="L691" s="31">
        <v>0</v>
      </c>
      <c r="M691" s="31">
        <v>0</v>
      </c>
      <c r="N691" s="31">
        <v>0</v>
      </c>
      <c r="O691" s="31">
        <v>67</v>
      </c>
      <c r="P691" s="31">
        <v>67</v>
      </c>
      <c r="Q691" s="31">
        <v>0</v>
      </c>
      <c r="R691" s="31">
        <v>0</v>
      </c>
      <c r="S691" s="31">
        <v>0</v>
      </c>
      <c r="T691" s="31">
        <v>0</v>
      </c>
      <c r="U691" s="31">
        <v>1</v>
      </c>
      <c r="V691" s="31">
        <v>0</v>
      </c>
      <c r="W691" s="31">
        <v>0</v>
      </c>
      <c r="X691" s="31">
        <v>0</v>
      </c>
      <c r="Y691" s="31">
        <v>42</v>
      </c>
      <c r="Z691" s="31">
        <v>42</v>
      </c>
      <c r="AA691" s="31">
        <v>0</v>
      </c>
      <c r="AB691" s="31">
        <v>101</v>
      </c>
    </row>
    <row r="692" spans="1:28" ht="25.5" customHeight="1" x14ac:dyDescent="0.2">
      <c r="A692" s="138" t="s">
        <v>115</v>
      </c>
      <c r="B692" s="139"/>
      <c r="C692" s="139"/>
      <c r="D692" s="139"/>
      <c r="E692" s="139"/>
      <c r="F692" s="139"/>
      <c r="G692" s="140"/>
      <c r="H692" s="68">
        <v>24</v>
      </c>
      <c r="I692" s="31">
        <f t="shared" ref="I692:AB692" si="15">SUM(I669:I691)</f>
        <v>23451</v>
      </c>
      <c r="J692" s="31">
        <f t="shared" si="15"/>
        <v>13306</v>
      </c>
      <c r="K692" s="31">
        <f t="shared" si="15"/>
        <v>180</v>
      </c>
      <c r="L692" s="31">
        <f t="shared" si="15"/>
        <v>0</v>
      </c>
      <c r="M692" s="31">
        <f t="shared" si="15"/>
        <v>180</v>
      </c>
      <c r="N692" s="31">
        <f t="shared" si="15"/>
        <v>0</v>
      </c>
      <c r="O692" s="31">
        <f t="shared" si="15"/>
        <v>10665</v>
      </c>
      <c r="P692" s="31">
        <f t="shared" si="15"/>
        <v>10659</v>
      </c>
      <c r="Q692" s="31">
        <f t="shared" si="15"/>
        <v>6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377</v>
      </c>
      <c r="V692" s="31">
        <f t="shared" si="15"/>
        <v>1186</v>
      </c>
      <c r="W692" s="31">
        <f t="shared" si="15"/>
        <v>567</v>
      </c>
      <c r="X692" s="31">
        <f t="shared" si="15"/>
        <v>0</v>
      </c>
      <c r="Y692" s="31">
        <f t="shared" si="15"/>
        <v>2548</v>
      </c>
      <c r="Z692" s="31">
        <f t="shared" si="15"/>
        <v>2548</v>
      </c>
      <c r="AA692" s="31">
        <f t="shared" si="15"/>
        <v>0</v>
      </c>
      <c r="AB692" s="31">
        <f t="shared" si="15"/>
        <v>12606</v>
      </c>
    </row>
    <row r="693" spans="1:28" ht="14.25" customHeight="1" x14ac:dyDescent="0.2"/>
    <row r="694" spans="1:28" ht="21.75" customHeight="1" x14ac:dyDescent="0.25">
      <c r="A694" s="177" t="s">
        <v>830</v>
      </c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</row>
    <row r="695" spans="1:28" ht="27.75" customHeight="1" x14ac:dyDescent="0.2">
      <c r="A695" s="178"/>
      <c r="B695" s="179"/>
      <c r="C695" s="179"/>
      <c r="D695" s="179"/>
      <c r="E695" s="179"/>
      <c r="F695" s="179"/>
      <c r="G695" s="180"/>
      <c r="H695" s="187" t="s">
        <v>15</v>
      </c>
      <c r="I695" s="168" t="s">
        <v>1148</v>
      </c>
      <c r="J695" s="168" t="s">
        <v>16</v>
      </c>
      <c r="K695" s="168" t="s">
        <v>17</v>
      </c>
      <c r="L695" s="171" t="s">
        <v>18</v>
      </c>
      <c r="M695" s="172"/>
      <c r="N695" s="173"/>
      <c r="O695" s="168" t="s">
        <v>19</v>
      </c>
      <c r="P695" s="171" t="s">
        <v>20</v>
      </c>
      <c r="Q695" s="172"/>
      <c r="R695" s="172"/>
      <c r="S695" s="173"/>
      <c r="T695" s="168" t="s">
        <v>21</v>
      </c>
      <c r="U695" s="171" t="s">
        <v>22</v>
      </c>
      <c r="V695" s="172"/>
      <c r="W695" s="172"/>
      <c r="X695" s="173"/>
      <c r="Y695" s="171" t="s">
        <v>23</v>
      </c>
      <c r="Z695" s="172"/>
      <c r="AA695" s="173"/>
      <c r="AB695" s="168" t="s">
        <v>24</v>
      </c>
    </row>
    <row r="696" spans="1:28" ht="26.25" customHeight="1" x14ac:dyDescent="0.2">
      <c r="A696" s="181"/>
      <c r="B696" s="182"/>
      <c r="C696" s="182"/>
      <c r="D696" s="182"/>
      <c r="E696" s="182"/>
      <c r="F696" s="182"/>
      <c r="G696" s="183"/>
      <c r="H696" s="188"/>
      <c r="I696" s="170"/>
      <c r="J696" s="170"/>
      <c r="K696" s="170"/>
      <c r="L696" s="168" t="s">
        <v>25</v>
      </c>
      <c r="M696" s="168" t="s">
        <v>26</v>
      </c>
      <c r="N696" s="168" t="s">
        <v>27</v>
      </c>
      <c r="O696" s="170"/>
      <c r="P696" s="168" t="s">
        <v>28</v>
      </c>
      <c r="Q696" s="168" t="s">
        <v>29</v>
      </c>
      <c r="R696" s="168" t="s">
        <v>30</v>
      </c>
      <c r="S696" s="168" t="s">
        <v>31</v>
      </c>
      <c r="T696" s="170"/>
      <c r="U696" s="171" t="s">
        <v>32</v>
      </c>
      <c r="V696" s="172"/>
      <c r="W696" s="172"/>
      <c r="X696" s="173"/>
      <c r="Y696" s="168" t="s">
        <v>33</v>
      </c>
      <c r="Z696" s="171" t="s">
        <v>34</v>
      </c>
      <c r="AA696" s="173"/>
      <c r="AB696" s="170"/>
    </row>
    <row r="697" spans="1:28" ht="78.75" customHeight="1" x14ac:dyDescent="0.2">
      <c r="A697" s="184"/>
      <c r="B697" s="185"/>
      <c r="C697" s="185"/>
      <c r="D697" s="185"/>
      <c r="E697" s="185"/>
      <c r="F697" s="185"/>
      <c r="G697" s="186"/>
      <c r="H697" s="18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9" t="s">
        <v>35</v>
      </c>
      <c r="V697" s="16" t="s">
        <v>36</v>
      </c>
      <c r="W697" s="16" t="s">
        <v>37</v>
      </c>
      <c r="X697" s="16" t="s">
        <v>38</v>
      </c>
      <c r="Y697" s="169"/>
      <c r="Z697" s="18" t="s">
        <v>39</v>
      </c>
      <c r="AA697" s="17" t="s">
        <v>40</v>
      </c>
      <c r="AB697" s="169"/>
    </row>
    <row r="698" spans="1:28" ht="15" customHeight="1" x14ac:dyDescent="0.2">
      <c r="A698" s="150" t="s">
        <v>41</v>
      </c>
      <c r="B698" s="151"/>
      <c r="C698" s="151"/>
      <c r="D698" s="151"/>
      <c r="E698" s="151"/>
      <c r="F698" s="151"/>
      <c r="G698" s="152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53" t="s">
        <v>831</v>
      </c>
      <c r="B699" s="154"/>
      <c r="C699" s="154"/>
      <c r="D699" s="154"/>
      <c r="E699" s="154"/>
      <c r="F699" s="154"/>
      <c r="G699" s="155"/>
      <c r="H699" s="23">
        <v>1</v>
      </c>
      <c r="I699" s="31">
        <v>5600</v>
      </c>
      <c r="J699" s="31">
        <v>3560</v>
      </c>
      <c r="K699" s="31">
        <v>12</v>
      </c>
      <c r="L699" s="31">
        <v>0</v>
      </c>
      <c r="M699" s="31">
        <v>11</v>
      </c>
      <c r="N699" s="31">
        <v>0</v>
      </c>
      <c r="O699" s="31">
        <v>3378</v>
      </c>
      <c r="P699" s="31">
        <v>3368</v>
      </c>
      <c r="Q699" s="31">
        <v>0</v>
      </c>
      <c r="R699" s="31">
        <v>10</v>
      </c>
      <c r="S699" s="31">
        <v>0</v>
      </c>
      <c r="T699" s="31">
        <v>0</v>
      </c>
      <c r="U699" s="31">
        <v>1180</v>
      </c>
      <c r="V699" s="31">
        <v>1</v>
      </c>
      <c r="W699" s="31">
        <v>174</v>
      </c>
      <c r="X699" s="31">
        <v>3</v>
      </c>
      <c r="Y699" s="31">
        <v>965</v>
      </c>
      <c r="Z699" s="31">
        <v>965</v>
      </c>
      <c r="AA699" s="31">
        <v>0</v>
      </c>
      <c r="AB699" s="31">
        <v>2210</v>
      </c>
    </row>
    <row r="700" spans="1:28" ht="20.25" customHeight="1" x14ac:dyDescent="0.2">
      <c r="A700" s="204" t="s">
        <v>20</v>
      </c>
      <c r="B700" s="205"/>
      <c r="C700" s="165" t="s">
        <v>51</v>
      </c>
      <c r="D700" s="166"/>
      <c r="E700" s="166"/>
      <c r="F700" s="166"/>
      <c r="G700" s="167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0.25" customHeight="1" x14ac:dyDescent="0.2">
      <c r="A701" s="206"/>
      <c r="B701" s="207"/>
      <c r="C701" s="165" t="s">
        <v>52</v>
      </c>
      <c r="D701" s="166"/>
      <c r="E701" s="166"/>
      <c r="F701" s="166"/>
      <c r="G701" s="167"/>
      <c r="H701" s="23">
        <v>3</v>
      </c>
      <c r="I701" s="31">
        <v>108</v>
      </c>
      <c r="J701" s="31">
        <v>72</v>
      </c>
      <c r="K701" s="31">
        <v>0</v>
      </c>
      <c r="L701" s="31">
        <v>0</v>
      </c>
      <c r="M701" s="31">
        <v>0</v>
      </c>
      <c r="N701" s="31">
        <v>0</v>
      </c>
      <c r="O701" s="31">
        <v>66</v>
      </c>
      <c r="P701" s="31">
        <v>66</v>
      </c>
      <c r="Q701" s="31">
        <v>0</v>
      </c>
      <c r="R701" s="31">
        <v>0</v>
      </c>
      <c r="S701" s="31">
        <v>0</v>
      </c>
      <c r="T701" s="31">
        <v>0</v>
      </c>
      <c r="U701" s="31">
        <v>53</v>
      </c>
      <c r="V701" s="31">
        <v>0</v>
      </c>
      <c r="W701" s="31">
        <v>3</v>
      </c>
      <c r="X701" s="31">
        <v>0</v>
      </c>
      <c r="Y701" s="31">
        <v>5</v>
      </c>
      <c r="Z701" s="31">
        <v>5</v>
      </c>
      <c r="AA701" s="31">
        <v>0</v>
      </c>
      <c r="AB701" s="31">
        <v>42</v>
      </c>
    </row>
    <row r="702" spans="1:28" ht="20.25" customHeight="1" x14ac:dyDescent="0.2">
      <c r="A702" s="206"/>
      <c r="B702" s="207"/>
      <c r="C702" s="165" t="s">
        <v>182</v>
      </c>
      <c r="D702" s="166"/>
      <c r="E702" s="166"/>
      <c r="F702" s="166"/>
      <c r="G702" s="167"/>
      <c r="H702" s="23">
        <v>4</v>
      </c>
      <c r="I702" s="31">
        <v>3890</v>
      </c>
      <c r="J702" s="31">
        <v>2332</v>
      </c>
      <c r="K702" s="31">
        <v>5</v>
      </c>
      <c r="L702" s="31">
        <v>0</v>
      </c>
      <c r="M702" s="31">
        <v>5</v>
      </c>
      <c r="N702" s="31">
        <v>0</v>
      </c>
      <c r="O702" s="31">
        <v>2185</v>
      </c>
      <c r="P702" s="31">
        <v>2177</v>
      </c>
      <c r="Q702" s="31">
        <v>0</v>
      </c>
      <c r="R702" s="31">
        <v>8</v>
      </c>
      <c r="S702" s="31">
        <v>0</v>
      </c>
      <c r="T702" s="31">
        <v>0</v>
      </c>
      <c r="U702" s="31">
        <v>537</v>
      </c>
      <c r="V702" s="31">
        <v>1</v>
      </c>
      <c r="W702" s="31">
        <v>145</v>
      </c>
      <c r="X702" s="31">
        <v>2</v>
      </c>
      <c r="Y702" s="31">
        <v>575</v>
      </c>
      <c r="Z702" s="31">
        <v>575</v>
      </c>
      <c r="AA702" s="31">
        <v>0</v>
      </c>
      <c r="AB702" s="31">
        <v>1700</v>
      </c>
    </row>
    <row r="703" spans="1:28" ht="20.25" customHeight="1" x14ac:dyDescent="0.2">
      <c r="A703" s="208"/>
      <c r="B703" s="209"/>
      <c r="C703" s="165" t="s">
        <v>49</v>
      </c>
      <c r="D703" s="166"/>
      <c r="E703" s="166"/>
      <c r="F703" s="166"/>
      <c r="G703" s="167"/>
      <c r="H703" s="23">
        <v>5</v>
      </c>
      <c r="I703" s="31">
        <v>1598</v>
      </c>
      <c r="J703" s="31">
        <v>1156</v>
      </c>
      <c r="K703" s="31">
        <v>7</v>
      </c>
      <c r="L703" s="31">
        <v>0</v>
      </c>
      <c r="M703" s="31">
        <v>6</v>
      </c>
      <c r="N703" s="31">
        <v>0</v>
      </c>
      <c r="O703" s="31">
        <v>1127</v>
      </c>
      <c r="P703" s="31">
        <v>1125</v>
      </c>
      <c r="Q703" s="31">
        <v>0</v>
      </c>
      <c r="R703" s="31">
        <v>2</v>
      </c>
      <c r="S703" s="31">
        <v>0</v>
      </c>
      <c r="T703" s="31">
        <v>0</v>
      </c>
      <c r="U703" s="31">
        <v>590</v>
      </c>
      <c r="V703" s="31">
        <v>0</v>
      </c>
      <c r="W703" s="31">
        <v>26</v>
      </c>
      <c r="X703" s="31">
        <v>1</v>
      </c>
      <c r="Y703" s="31">
        <v>385</v>
      </c>
      <c r="Z703" s="31">
        <v>385</v>
      </c>
      <c r="AA703" s="31">
        <v>0</v>
      </c>
      <c r="AB703" s="31">
        <v>464</v>
      </c>
    </row>
    <row r="704" spans="1:28" ht="30" customHeight="1" x14ac:dyDescent="0.2">
      <c r="A704" s="144" t="s">
        <v>165</v>
      </c>
      <c r="B704" s="138" t="s">
        <v>694</v>
      </c>
      <c r="C704" s="139"/>
      <c r="D704" s="139"/>
      <c r="E704" s="139"/>
      <c r="F704" s="139"/>
      <c r="G704" s="140"/>
      <c r="H704" s="23">
        <v>6</v>
      </c>
      <c r="I704" s="31">
        <v>2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2</v>
      </c>
      <c r="Z704" s="31">
        <v>2</v>
      </c>
      <c r="AA704" s="31">
        <v>0</v>
      </c>
      <c r="AB704" s="31">
        <v>2</v>
      </c>
    </row>
    <row r="705" spans="1:28" ht="27.2" customHeight="1" x14ac:dyDescent="0.2">
      <c r="A705" s="145"/>
      <c r="B705" s="190" t="s">
        <v>32</v>
      </c>
      <c r="C705" s="138" t="s">
        <v>695</v>
      </c>
      <c r="D705" s="139"/>
      <c r="E705" s="139"/>
      <c r="F705" s="139"/>
      <c r="G705" s="140"/>
      <c r="H705" s="23">
        <v>7</v>
      </c>
      <c r="I705" s="31">
        <v>1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2</v>
      </c>
      <c r="Z705" s="31">
        <v>2</v>
      </c>
      <c r="AA705" s="31">
        <v>0</v>
      </c>
      <c r="AB705" s="31">
        <v>1</v>
      </c>
    </row>
    <row r="706" spans="1:28" ht="26.25" customHeight="1" x14ac:dyDescent="0.2">
      <c r="A706" s="145"/>
      <c r="B706" s="191"/>
      <c r="C706" s="139" t="s">
        <v>696</v>
      </c>
      <c r="D706" s="139"/>
      <c r="E706" s="139"/>
      <c r="F706" s="139"/>
      <c r="G706" s="140"/>
      <c r="H706" s="23">
        <v>8</v>
      </c>
      <c r="I706" s="54">
        <v>1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1</v>
      </c>
    </row>
    <row r="707" spans="1:28" ht="27.2" customHeight="1" x14ac:dyDescent="0.2">
      <c r="A707" s="145"/>
      <c r="B707" s="138" t="s">
        <v>697</v>
      </c>
      <c r="C707" s="139"/>
      <c r="D707" s="139"/>
      <c r="E707" s="139"/>
      <c r="F707" s="139"/>
      <c r="G707" s="140"/>
      <c r="H707" s="23">
        <v>9</v>
      </c>
      <c r="I707" s="31">
        <v>2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2</v>
      </c>
    </row>
    <row r="708" spans="1:28" ht="27.2" customHeight="1" x14ac:dyDescent="0.2">
      <c r="A708" s="145"/>
      <c r="B708" s="138" t="s">
        <v>698</v>
      </c>
      <c r="C708" s="139"/>
      <c r="D708" s="139"/>
      <c r="E708" s="139"/>
      <c r="F708" s="139"/>
      <c r="G708" s="140"/>
      <c r="H708" s="23">
        <v>10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27" customHeight="1" x14ac:dyDescent="0.2">
      <c r="A709" s="145"/>
      <c r="B709" s="138" t="s">
        <v>699</v>
      </c>
      <c r="C709" s="139"/>
      <c r="D709" s="139"/>
      <c r="E709" s="139"/>
      <c r="F709" s="139"/>
      <c r="G709" s="140"/>
      <c r="H709" s="23">
        <v>11</v>
      </c>
      <c r="I709" s="31">
        <v>2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2</v>
      </c>
    </row>
    <row r="710" spans="1:28" ht="39" customHeight="1" x14ac:dyDescent="0.2">
      <c r="A710" s="145"/>
      <c r="B710" s="138" t="s">
        <v>700</v>
      </c>
      <c r="C710" s="139"/>
      <c r="D710" s="139"/>
      <c r="E710" s="139"/>
      <c r="F710" s="139"/>
      <c r="G710" s="140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45"/>
      <c r="B711" s="138" t="s">
        <v>701</v>
      </c>
      <c r="C711" s="139"/>
      <c r="D711" s="139"/>
      <c r="E711" s="139"/>
      <c r="F711" s="139"/>
      <c r="G711" s="140"/>
      <c r="H711" s="23">
        <v>13</v>
      </c>
      <c r="I711" s="31">
        <v>60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6</v>
      </c>
      <c r="Z711" s="31">
        <v>6</v>
      </c>
      <c r="AA711" s="31">
        <v>0</v>
      </c>
      <c r="AB711" s="31">
        <v>60</v>
      </c>
    </row>
    <row r="712" spans="1:28" ht="27.2" customHeight="1" x14ac:dyDescent="0.2">
      <c r="A712" s="146"/>
      <c r="B712" s="138" t="s">
        <v>702</v>
      </c>
      <c r="C712" s="139"/>
      <c r="D712" s="139"/>
      <c r="E712" s="139"/>
      <c r="F712" s="139"/>
      <c r="G712" s="140"/>
      <c r="H712" s="23">
        <v>14</v>
      </c>
      <c r="I712" s="31">
        <v>10</v>
      </c>
      <c r="J712" s="31">
        <v>1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1</v>
      </c>
      <c r="Z712" s="31">
        <v>1</v>
      </c>
      <c r="AA712" s="31">
        <v>0</v>
      </c>
      <c r="AB712" s="31">
        <v>10</v>
      </c>
    </row>
    <row r="713" spans="1:28" ht="14.25" customHeight="1" x14ac:dyDescent="0.2">
      <c r="A713" s="198" t="s">
        <v>41</v>
      </c>
      <c r="B713" s="199"/>
      <c r="C713" s="199"/>
      <c r="D713" s="199"/>
      <c r="E713" s="199"/>
      <c r="F713" s="199"/>
      <c r="G713" s="200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44" t="s">
        <v>165</v>
      </c>
      <c r="B714" s="138" t="s">
        <v>703</v>
      </c>
      <c r="C714" s="139"/>
      <c r="D714" s="139"/>
      <c r="E714" s="139"/>
      <c r="F714" s="139"/>
      <c r="G714" s="140"/>
      <c r="H714" s="23">
        <v>15</v>
      </c>
      <c r="I714" s="31">
        <v>8</v>
      </c>
      <c r="J714" s="31">
        <v>1</v>
      </c>
      <c r="K714" s="31">
        <v>0</v>
      </c>
      <c r="L714" s="31">
        <v>0</v>
      </c>
      <c r="M714" s="31">
        <v>0</v>
      </c>
      <c r="N714" s="31">
        <v>0</v>
      </c>
      <c r="O714" s="31">
        <v>1</v>
      </c>
      <c r="P714" s="31">
        <v>1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1</v>
      </c>
      <c r="Z714" s="31">
        <v>1</v>
      </c>
      <c r="AA714" s="31">
        <v>0</v>
      </c>
      <c r="AB714" s="31">
        <v>7</v>
      </c>
    </row>
    <row r="715" spans="1:28" ht="33" customHeight="1" x14ac:dyDescent="0.2">
      <c r="A715" s="145"/>
      <c r="B715" s="138" t="s">
        <v>704</v>
      </c>
      <c r="C715" s="139"/>
      <c r="D715" s="139"/>
      <c r="E715" s="139"/>
      <c r="F715" s="139"/>
      <c r="G715" s="140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45"/>
      <c r="B716" s="138" t="s">
        <v>705</v>
      </c>
      <c r="C716" s="139"/>
      <c r="D716" s="139"/>
      <c r="E716" s="139"/>
      <c r="F716" s="139"/>
      <c r="G716" s="140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45"/>
      <c r="B717" s="138" t="s">
        <v>706</v>
      </c>
      <c r="C717" s="139"/>
      <c r="D717" s="139"/>
      <c r="E717" s="139"/>
      <c r="F717" s="139"/>
      <c r="G717" s="140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45"/>
      <c r="B718" s="138" t="s">
        <v>707</v>
      </c>
      <c r="C718" s="139"/>
      <c r="D718" s="139"/>
      <c r="E718" s="139"/>
      <c r="F718" s="139"/>
      <c r="G718" s="140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45"/>
      <c r="B719" s="190" t="s">
        <v>32</v>
      </c>
      <c r="C719" s="138" t="s">
        <v>708</v>
      </c>
      <c r="D719" s="139"/>
      <c r="E719" s="139"/>
      <c r="F719" s="139"/>
      <c r="G719" s="140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45"/>
      <c r="B720" s="191"/>
      <c r="C720" s="139" t="s">
        <v>709</v>
      </c>
      <c r="D720" s="139"/>
      <c r="E720" s="139"/>
      <c r="F720" s="139"/>
      <c r="G720" s="140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45"/>
      <c r="B721" s="138" t="s">
        <v>710</v>
      </c>
      <c r="C721" s="139"/>
      <c r="D721" s="139"/>
      <c r="E721" s="139"/>
      <c r="F721" s="139"/>
      <c r="G721" s="140"/>
      <c r="H721" s="23">
        <v>22</v>
      </c>
      <c r="I721" s="31">
        <v>3515</v>
      </c>
      <c r="J721" s="31">
        <v>2300</v>
      </c>
      <c r="K721" s="31">
        <v>3</v>
      </c>
      <c r="L721" s="31">
        <v>0</v>
      </c>
      <c r="M721" s="31">
        <v>3</v>
      </c>
      <c r="N721" s="31">
        <v>0</v>
      </c>
      <c r="O721" s="31">
        <v>2166</v>
      </c>
      <c r="P721" s="31">
        <v>2159</v>
      </c>
      <c r="Q721" s="31">
        <v>0</v>
      </c>
      <c r="R721" s="31">
        <v>7</v>
      </c>
      <c r="S721" s="31">
        <v>0</v>
      </c>
      <c r="T721" s="31">
        <v>0</v>
      </c>
      <c r="U721" s="31">
        <v>552</v>
      </c>
      <c r="V721" s="31">
        <v>1</v>
      </c>
      <c r="W721" s="31">
        <v>146</v>
      </c>
      <c r="X721" s="31">
        <v>1</v>
      </c>
      <c r="Y721" s="31">
        <v>503</v>
      </c>
      <c r="Z721" s="31">
        <v>503</v>
      </c>
      <c r="AA721" s="31">
        <v>0</v>
      </c>
      <c r="AB721" s="31">
        <v>1346</v>
      </c>
    </row>
    <row r="722" spans="1:28" ht="27.2" customHeight="1" x14ac:dyDescent="0.2">
      <c r="A722" s="145"/>
      <c r="B722" s="138" t="s">
        <v>711</v>
      </c>
      <c r="C722" s="139"/>
      <c r="D722" s="139"/>
      <c r="E722" s="139"/>
      <c r="F722" s="139"/>
      <c r="G722" s="140"/>
      <c r="H722" s="23">
        <v>23</v>
      </c>
      <c r="I722" s="31">
        <v>146</v>
      </c>
      <c r="J722" s="31">
        <v>21</v>
      </c>
      <c r="K722" s="31">
        <v>1</v>
      </c>
      <c r="L722" s="31">
        <v>0</v>
      </c>
      <c r="M722" s="31">
        <v>1</v>
      </c>
      <c r="N722" s="31">
        <v>0</v>
      </c>
      <c r="O722" s="31">
        <v>19</v>
      </c>
      <c r="P722" s="31">
        <v>19</v>
      </c>
      <c r="Q722" s="31">
        <v>0</v>
      </c>
      <c r="R722" s="31">
        <v>0</v>
      </c>
      <c r="S722" s="31">
        <v>0</v>
      </c>
      <c r="T722" s="31">
        <v>0</v>
      </c>
      <c r="U722" s="31">
        <v>1</v>
      </c>
      <c r="V722" s="31">
        <v>0</v>
      </c>
      <c r="W722" s="31">
        <v>2</v>
      </c>
      <c r="X722" s="31">
        <v>0</v>
      </c>
      <c r="Y722" s="31">
        <v>38</v>
      </c>
      <c r="Z722" s="31">
        <v>38</v>
      </c>
      <c r="AA722" s="31">
        <v>0</v>
      </c>
      <c r="AB722" s="31">
        <v>126</v>
      </c>
    </row>
    <row r="723" spans="1:28" ht="27.75" customHeight="1" x14ac:dyDescent="0.2">
      <c r="A723" s="145"/>
      <c r="B723" s="138" t="s">
        <v>712</v>
      </c>
      <c r="C723" s="139"/>
      <c r="D723" s="139"/>
      <c r="E723" s="139"/>
      <c r="F723" s="139"/>
      <c r="G723" s="140"/>
      <c r="H723" s="23">
        <v>24</v>
      </c>
      <c r="I723" s="31">
        <v>224</v>
      </c>
      <c r="J723" s="31">
        <v>26</v>
      </c>
      <c r="K723" s="31">
        <v>2</v>
      </c>
      <c r="L723" s="31">
        <v>0</v>
      </c>
      <c r="M723" s="31">
        <v>2</v>
      </c>
      <c r="N723" s="31">
        <v>0</v>
      </c>
      <c r="O723" s="31">
        <v>14</v>
      </c>
      <c r="P723" s="31">
        <v>14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53</v>
      </c>
      <c r="Z723" s="31">
        <v>53</v>
      </c>
      <c r="AA723" s="31">
        <v>0</v>
      </c>
      <c r="AB723" s="31">
        <v>208</v>
      </c>
    </row>
    <row r="724" spans="1:28" ht="24.75" customHeight="1" x14ac:dyDescent="0.2">
      <c r="A724" s="145"/>
      <c r="B724" s="190" t="s">
        <v>32</v>
      </c>
      <c r="C724" s="138" t="s">
        <v>713</v>
      </c>
      <c r="D724" s="139"/>
      <c r="E724" s="139"/>
      <c r="F724" s="139"/>
      <c r="G724" s="140"/>
      <c r="H724" s="23">
        <v>25</v>
      </c>
      <c r="I724" s="31">
        <v>131</v>
      </c>
      <c r="J724" s="31">
        <v>7</v>
      </c>
      <c r="K724" s="31">
        <v>1</v>
      </c>
      <c r="L724" s="31">
        <v>0</v>
      </c>
      <c r="M724" s="31">
        <v>1</v>
      </c>
      <c r="N724" s="31">
        <v>0</v>
      </c>
      <c r="O724" s="31">
        <v>6</v>
      </c>
      <c r="P724" s="31">
        <v>6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42</v>
      </c>
      <c r="Z724" s="31">
        <v>42</v>
      </c>
      <c r="AA724" s="31">
        <v>0</v>
      </c>
      <c r="AB724" s="31">
        <v>124</v>
      </c>
    </row>
    <row r="725" spans="1:28" ht="24.75" customHeight="1" x14ac:dyDescent="0.2">
      <c r="A725" s="145"/>
      <c r="B725" s="191"/>
      <c r="C725" s="139" t="s">
        <v>714</v>
      </c>
      <c r="D725" s="139"/>
      <c r="E725" s="139"/>
      <c r="F725" s="139"/>
      <c r="G725" s="140"/>
      <c r="H725" s="23">
        <v>26</v>
      </c>
      <c r="I725" s="54">
        <v>93</v>
      </c>
      <c r="J725" s="54">
        <v>19</v>
      </c>
      <c r="K725" s="54">
        <v>1</v>
      </c>
      <c r="L725" s="54">
        <v>0</v>
      </c>
      <c r="M725" s="31">
        <v>1</v>
      </c>
      <c r="N725" s="31">
        <v>0</v>
      </c>
      <c r="O725" s="31">
        <v>8</v>
      </c>
      <c r="P725" s="31">
        <v>8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11</v>
      </c>
      <c r="Z725" s="31">
        <v>11</v>
      </c>
      <c r="AA725" s="31">
        <v>0</v>
      </c>
      <c r="AB725" s="31">
        <v>84</v>
      </c>
    </row>
    <row r="726" spans="1:28" ht="40.5" customHeight="1" x14ac:dyDescent="0.2">
      <c r="A726" s="145"/>
      <c r="B726" s="138" t="s">
        <v>715</v>
      </c>
      <c r="C726" s="139"/>
      <c r="D726" s="139"/>
      <c r="E726" s="139"/>
      <c r="F726" s="139"/>
      <c r="G726" s="140"/>
      <c r="H726" s="23">
        <v>27</v>
      </c>
      <c r="I726" s="31">
        <v>4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2</v>
      </c>
      <c r="Z726" s="31">
        <v>2</v>
      </c>
      <c r="AA726" s="31">
        <v>0</v>
      </c>
      <c r="AB726" s="31">
        <v>4</v>
      </c>
    </row>
    <row r="727" spans="1:28" ht="24.75" customHeight="1" x14ac:dyDescent="0.2">
      <c r="A727" s="145"/>
      <c r="B727" s="190" t="s">
        <v>32</v>
      </c>
      <c r="C727" s="138" t="s">
        <v>716</v>
      </c>
      <c r="D727" s="139"/>
      <c r="E727" s="139"/>
      <c r="F727" s="139"/>
      <c r="G727" s="140"/>
      <c r="H727" s="23">
        <v>28</v>
      </c>
      <c r="I727" s="31">
        <v>4</v>
      </c>
      <c r="J727" s="31">
        <v>0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2</v>
      </c>
      <c r="Z727" s="31">
        <v>2</v>
      </c>
      <c r="AA727" s="31">
        <v>0</v>
      </c>
      <c r="AB727" s="31">
        <v>4</v>
      </c>
    </row>
    <row r="728" spans="1:28" ht="24.75" customHeight="1" x14ac:dyDescent="0.2">
      <c r="A728" s="145"/>
      <c r="B728" s="191"/>
      <c r="C728" s="139" t="s">
        <v>717</v>
      </c>
      <c r="D728" s="139"/>
      <c r="E728" s="139"/>
      <c r="F728" s="139"/>
      <c r="G728" s="140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45"/>
      <c r="B729" s="138" t="s">
        <v>718</v>
      </c>
      <c r="C729" s="139"/>
      <c r="D729" s="139"/>
      <c r="E729" s="139"/>
      <c r="F729" s="139"/>
      <c r="G729" s="140"/>
      <c r="H729" s="23">
        <v>30</v>
      </c>
      <c r="I729" s="31">
        <v>15</v>
      </c>
      <c r="J729" s="31">
        <v>1</v>
      </c>
      <c r="K729" s="31">
        <v>0</v>
      </c>
      <c r="L729" s="31">
        <v>0</v>
      </c>
      <c r="M729" s="31">
        <v>0</v>
      </c>
      <c r="N729" s="31">
        <v>0</v>
      </c>
      <c r="O729" s="31">
        <v>1</v>
      </c>
      <c r="P729" s="31">
        <v>1</v>
      </c>
      <c r="Q729" s="31">
        <v>0</v>
      </c>
      <c r="R729" s="31">
        <v>0</v>
      </c>
      <c r="S729" s="31">
        <v>0</v>
      </c>
      <c r="T729" s="31">
        <v>0</v>
      </c>
      <c r="U729" s="31">
        <v>1</v>
      </c>
      <c r="V729" s="31">
        <v>0</v>
      </c>
      <c r="W729" s="31">
        <v>0</v>
      </c>
      <c r="X729" s="31">
        <v>0</v>
      </c>
      <c r="Y729" s="31">
        <v>5</v>
      </c>
      <c r="Z729" s="31">
        <v>5</v>
      </c>
      <c r="AA729" s="31">
        <v>0</v>
      </c>
      <c r="AB729" s="31">
        <v>14</v>
      </c>
    </row>
    <row r="730" spans="1:28" ht="32.25" customHeight="1" x14ac:dyDescent="0.2">
      <c r="A730" s="145"/>
      <c r="B730" s="138" t="s">
        <v>719</v>
      </c>
      <c r="C730" s="139"/>
      <c r="D730" s="139"/>
      <c r="E730" s="139"/>
      <c r="F730" s="139"/>
      <c r="G730" s="140"/>
      <c r="H730" s="23">
        <v>31</v>
      </c>
      <c r="I730" s="31">
        <v>11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4</v>
      </c>
      <c r="Z730" s="31">
        <v>4</v>
      </c>
      <c r="AA730" s="31">
        <v>0</v>
      </c>
      <c r="AB730" s="31">
        <v>11</v>
      </c>
    </row>
    <row r="731" spans="1:28" ht="37.5" customHeight="1" x14ac:dyDescent="0.2">
      <c r="A731" s="145"/>
      <c r="B731" s="138" t="s">
        <v>720</v>
      </c>
      <c r="C731" s="139"/>
      <c r="D731" s="139"/>
      <c r="E731" s="139"/>
      <c r="F731" s="139"/>
      <c r="G731" s="140"/>
      <c r="H731" s="23">
        <v>32</v>
      </c>
      <c r="I731" s="31">
        <v>65</v>
      </c>
      <c r="J731" s="31">
        <v>2</v>
      </c>
      <c r="K731" s="31">
        <v>0</v>
      </c>
      <c r="L731" s="31">
        <v>0</v>
      </c>
      <c r="M731" s="31">
        <v>0</v>
      </c>
      <c r="N731" s="31">
        <v>0</v>
      </c>
      <c r="O731" s="31">
        <v>2</v>
      </c>
      <c r="P731" s="31">
        <v>2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10</v>
      </c>
      <c r="Z731" s="31">
        <v>10</v>
      </c>
      <c r="AA731" s="31">
        <v>0</v>
      </c>
      <c r="AB731" s="31">
        <v>63</v>
      </c>
    </row>
    <row r="732" spans="1:28" ht="28.5" customHeight="1" x14ac:dyDescent="0.2">
      <c r="A732" s="145"/>
      <c r="B732" s="138" t="s">
        <v>721</v>
      </c>
      <c r="C732" s="139"/>
      <c r="D732" s="139"/>
      <c r="E732" s="139"/>
      <c r="F732" s="139"/>
      <c r="G732" s="140"/>
      <c r="H732" s="23">
        <v>33</v>
      </c>
      <c r="I732" s="31">
        <v>526</v>
      </c>
      <c r="J732" s="31">
        <v>386</v>
      </c>
      <c r="K732" s="31">
        <v>2</v>
      </c>
      <c r="L732" s="31">
        <v>0</v>
      </c>
      <c r="M732" s="31">
        <v>2</v>
      </c>
      <c r="N732" s="31">
        <v>0</v>
      </c>
      <c r="O732" s="31">
        <v>379</v>
      </c>
      <c r="P732" s="31">
        <v>379</v>
      </c>
      <c r="Q732" s="31">
        <v>0</v>
      </c>
      <c r="R732" s="31">
        <v>0</v>
      </c>
      <c r="S732" s="31">
        <v>0</v>
      </c>
      <c r="T732" s="31">
        <v>0</v>
      </c>
      <c r="U732" s="31">
        <v>312</v>
      </c>
      <c r="V732" s="31">
        <v>0</v>
      </c>
      <c r="W732" s="31">
        <v>0</v>
      </c>
      <c r="X732" s="31">
        <v>1</v>
      </c>
      <c r="Y732" s="31">
        <v>219</v>
      </c>
      <c r="Z732" s="31">
        <v>219</v>
      </c>
      <c r="AA732" s="31">
        <v>0</v>
      </c>
      <c r="AB732" s="31">
        <v>145</v>
      </c>
    </row>
    <row r="733" spans="1:28" ht="27.2" customHeight="1" x14ac:dyDescent="0.2">
      <c r="A733" s="145"/>
      <c r="B733" s="138" t="s">
        <v>722</v>
      </c>
      <c r="C733" s="139"/>
      <c r="D733" s="139"/>
      <c r="E733" s="139"/>
      <c r="F733" s="139"/>
      <c r="G733" s="140"/>
      <c r="H733" s="23">
        <v>34</v>
      </c>
      <c r="I733" s="31">
        <v>1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1</v>
      </c>
    </row>
    <row r="734" spans="1:28" ht="41.25" customHeight="1" x14ac:dyDescent="0.2">
      <c r="A734" s="145"/>
      <c r="B734" s="138" t="s">
        <v>723</v>
      </c>
      <c r="C734" s="139"/>
      <c r="D734" s="139"/>
      <c r="E734" s="139"/>
      <c r="F734" s="139"/>
      <c r="G734" s="140"/>
      <c r="H734" s="23">
        <v>35</v>
      </c>
      <c r="I734" s="31">
        <v>15</v>
      </c>
      <c r="J734" s="31">
        <v>13</v>
      </c>
      <c r="K734" s="31">
        <v>0</v>
      </c>
      <c r="L734" s="31">
        <v>0</v>
      </c>
      <c r="M734" s="31">
        <v>0</v>
      </c>
      <c r="N734" s="31">
        <v>0</v>
      </c>
      <c r="O734" s="31">
        <v>13</v>
      </c>
      <c r="P734" s="31">
        <v>13</v>
      </c>
      <c r="Q734" s="31">
        <v>0</v>
      </c>
      <c r="R734" s="31">
        <v>0</v>
      </c>
      <c r="S734" s="31">
        <v>0</v>
      </c>
      <c r="T734" s="31">
        <v>0</v>
      </c>
      <c r="U734" s="31">
        <v>3</v>
      </c>
      <c r="V734" s="31">
        <v>0</v>
      </c>
      <c r="W734" s="31">
        <v>0</v>
      </c>
      <c r="X734" s="31">
        <v>0</v>
      </c>
      <c r="Y734" s="31">
        <v>3</v>
      </c>
      <c r="Z734" s="31">
        <v>3</v>
      </c>
      <c r="AA734" s="31">
        <v>0</v>
      </c>
      <c r="AB734" s="31">
        <v>2</v>
      </c>
    </row>
    <row r="735" spans="1:28" ht="27.2" customHeight="1" x14ac:dyDescent="0.2">
      <c r="A735" s="145"/>
      <c r="B735" s="138" t="s">
        <v>724</v>
      </c>
      <c r="C735" s="139"/>
      <c r="D735" s="139"/>
      <c r="E735" s="139"/>
      <c r="F735" s="139"/>
      <c r="G735" s="140"/>
      <c r="H735" s="23">
        <v>36</v>
      </c>
      <c r="I735" s="31">
        <v>5</v>
      </c>
      <c r="J735" s="31">
        <v>4</v>
      </c>
      <c r="K735" s="31">
        <v>0</v>
      </c>
      <c r="L735" s="31">
        <v>0</v>
      </c>
      <c r="M735" s="31">
        <v>0</v>
      </c>
      <c r="N735" s="31">
        <v>0</v>
      </c>
      <c r="O735" s="31">
        <v>4</v>
      </c>
      <c r="P735" s="31">
        <v>4</v>
      </c>
      <c r="Q735" s="31">
        <v>0</v>
      </c>
      <c r="R735" s="31">
        <v>0</v>
      </c>
      <c r="S735" s="31">
        <v>0</v>
      </c>
      <c r="T735" s="31">
        <v>0</v>
      </c>
      <c r="U735" s="31">
        <v>4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1</v>
      </c>
    </row>
    <row r="736" spans="1:28" ht="43.5" customHeight="1" x14ac:dyDescent="0.2">
      <c r="A736" s="145"/>
      <c r="B736" s="195" t="s">
        <v>725</v>
      </c>
      <c r="C736" s="196"/>
      <c r="D736" s="196"/>
      <c r="E736" s="196"/>
      <c r="F736" s="196"/>
      <c r="G736" s="197"/>
      <c r="H736" s="23">
        <v>37</v>
      </c>
      <c r="I736" s="31">
        <v>706</v>
      </c>
      <c r="J736" s="31">
        <v>619</v>
      </c>
      <c r="K736" s="31">
        <v>3</v>
      </c>
      <c r="L736" s="31">
        <v>0</v>
      </c>
      <c r="M736" s="31">
        <v>2</v>
      </c>
      <c r="N736" s="31">
        <v>0</v>
      </c>
      <c r="O736" s="31">
        <v>601</v>
      </c>
      <c r="P736" s="31">
        <v>599</v>
      </c>
      <c r="Q736" s="31">
        <v>0</v>
      </c>
      <c r="R736" s="31">
        <v>2</v>
      </c>
      <c r="S736" s="31">
        <v>0</v>
      </c>
      <c r="T736" s="31">
        <v>0</v>
      </c>
      <c r="U736" s="31">
        <v>164</v>
      </c>
      <c r="V736" s="31">
        <v>0</v>
      </c>
      <c r="W736" s="31">
        <v>25</v>
      </c>
      <c r="X736" s="31">
        <v>0</v>
      </c>
      <c r="Y736" s="31">
        <v>60</v>
      </c>
      <c r="Z736" s="31">
        <v>60</v>
      </c>
      <c r="AA736" s="31">
        <v>0</v>
      </c>
      <c r="AB736" s="31">
        <v>102</v>
      </c>
    </row>
    <row r="737" spans="1:28" ht="30.75" customHeight="1" x14ac:dyDescent="0.2">
      <c r="A737" s="145"/>
      <c r="B737" s="138" t="s">
        <v>726</v>
      </c>
      <c r="C737" s="139"/>
      <c r="D737" s="139"/>
      <c r="E737" s="139"/>
      <c r="F737" s="139"/>
      <c r="G737" s="140"/>
      <c r="H737" s="23">
        <v>38</v>
      </c>
      <c r="I737" s="31">
        <v>35</v>
      </c>
      <c r="J737" s="31">
        <v>28</v>
      </c>
      <c r="K737" s="31">
        <v>0</v>
      </c>
      <c r="L737" s="31">
        <v>0</v>
      </c>
      <c r="M737" s="31">
        <v>0</v>
      </c>
      <c r="N737" s="31">
        <v>0</v>
      </c>
      <c r="O737" s="31">
        <v>25</v>
      </c>
      <c r="P737" s="31">
        <v>25</v>
      </c>
      <c r="Q737" s="31">
        <v>0</v>
      </c>
      <c r="R737" s="31">
        <v>0</v>
      </c>
      <c r="S737" s="31">
        <v>0</v>
      </c>
      <c r="T737" s="31">
        <v>0</v>
      </c>
      <c r="U737" s="31">
        <v>25</v>
      </c>
      <c r="V737" s="31">
        <v>0</v>
      </c>
      <c r="W737" s="31">
        <v>0</v>
      </c>
      <c r="X737" s="31">
        <v>0</v>
      </c>
      <c r="Y737" s="31">
        <v>2</v>
      </c>
      <c r="Z737" s="31">
        <v>2</v>
      </c>
      <c r="AA737" s="31">
        <v>0</v>
      </c>
      <c r="AB737" s="31">
        <v>10</v>
      </c>
    </row>
    <row r="738" spans="1:28" ht="27.2" customHeight="1" x14ac:dyDescent="0.2">
      <c r="A738" s="145"/>
      <c r="B738" s="138" t="s">
        <v>727</v>
      </c>
      <c r="C738" s="139"/>
      <c r="D738" s="139"/>
      <c r="E738" s="139"/>
      <c r="F738" s="139"/>
      <c r="G738" s="140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45"/>
      <c r="B739" s="138" t="s">
        <v>728</v>
      </c>
      <c r="C739" s="139"/>
      <c r="D739" s="139"/>
      <c r="E739" s="139"/>
      <c r="F739" s="139"/>
      <c r="G739" s="140"/>
      <c r="H739" s="23">
        <v>40</v>
      </c>
      <c r="I739" s="31">
        <v>8</v>
      </c>
      <c r="J739" s="31">
        <v>7</v>
      </c>
      <c r="K739" s="31">
        <v>0</v>
      </c>
      <c r="L739" s="31">
        <v>0</v>
      </c>
      <c r="M739" s="31">
        <v>0</v>
      </c>
      <c r="N739" s="31">
        <v>0</v>
      </c>
      <c r="O739" s="31">
        <v>7</v>
      </c>
      <c r="P739" s="31">
        <v>7</v>
      </c>
      <c r="Q739" s="31">
        <v>0</v>
      </c>
      <c r="R739" s="31">
        <v>0</v>
      </c>
      <c r="S739" s="31">
        <v>0</v>
      </c>
      <c r="T739" s="31">
        <v>0</v>
      </c>
      <c r="U739" s="31">
        <v>5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1</v>
      </c>
    </row>
    <row r="740" spans="1:28" ht="27.2" customHeight="1" x14ac:dyDescent="0.2">
      <c r="A740" s="145"/>
      <c r="B740" s="138" t="s">
        <v>729</v>
      </c>
      <c r="C740" s="139"/>
      <c r="D740" s="139"/>
      <c r="E740" s="139"/>
      <c r="F740" s="139"/>
      <c r="G740" s="140"/>
      <c r="H740" s="23">
        <v>41</v>
      </c>
      <c r="I740" s="31">
        <v>6</v>
      </c>
      <c r="J740" s="31">
        <v>3</v>
      </c>
      <c r="K740" s="31">
        <v>0</v>
      </c>
      <c r="L740" s="31">
        <v>0</v>
      </c>
      <c r="M740" s="31">
        <v>0</v>
      </c>
      <c r="N740" s="31">
        <v>0</v>
      </c>
      <c r="O740" s="31">
        <v>2</v>
      </c>
      <c r="P740" s="31">
        <v>1</v>
      </c>
      <c r="Q740" s="31">
        <v>0</v>
      </c>
      <c r="R740" s="31">
        <v>1</v>
      </c>
      <c r="S740" s="31">
        <v>0</v>
      </c>
      <c r="T740" s="31">
        <v>0</v>
      </c>
      <c r="U740" s="31">
        <v>0</v>
      </c>
      <c r="V740" s="31">
        <v>0</v>
      </c>
      <c r="W740" s="31">
        <v>0</v>
      </c>
      <c r="X740" s="31">
        <v>0</v>
      </c>
      <c r="Y740" s="31">
        <v>1</v>
      </c>
      <c r="Z740" s="31">
        <v>1</v>
      </c>
      <c r="AA740" s="31">
        <v>0</v>
      </c>
      <c r="AB740" s="31">
        <v>4</v>
      </c>
    </row>
    <row r="741" spans="1:28" ht="27.2" customHeight="1" x14ac:dyDescent="0.2">
      <c r="A741" s="145"/>
      <c r="B741" s="138" t="s">
        <v>730</v>
      </c>
      <c r="C741" s="139"/>
      <c r="D741" s="139"/>
      <c r="E741" s="139"/>
      <c r="F741" s="139"/>
      <c r="G741" s="140"/>
      <c r="H741" s="23">
        <v>42</v>
      </c>
      <c r="I741" s="31">
        <v>152</v>
      </c>
      <c r="J741" s="31">
        <v>143</v>
      </c>
      <c r="K741" s="31">
        <v>1</v>
      </c>
      <c r="L741" s="31">
        <v>0</v>
      </c>
      <c r="M741" s="31">
        <v>1</v>
      </c>
      <c r="N741" s="31">
        <v>0</v>
      </c>
      <c r="O741" s="31">
        <v>140</v>
      </c>
      <c r="P741" s="31">
        <v>140</v>
      </c>
      <c r="Q741" s="31">
        <v>0</v>
      </c>
      <c r="R741" s="31">
        <v>0</v>
      </c>
      <c r="S741" s="31">
        <v>0</v>
      </c>
      <c r="T741" s="31">
        <v>0</v>
      </c>
      <c r="U741" s="31">
        <v>113</v>
      </c>
      <c r="V741" s="31">
        <v>0</v>
      </c>
      <c r="W741" s="31">
        <v>1</v>
      </c>
      <c r="X741" s="31">
        <v>0</v>
      </c>
      <c r="Y741" s="31">
        <v>33</v>
      </c>
      <c r="Z741" s="31">
        <v>33</v>
      </c>
      <c r="AA741" s="31">
        <v>0</v>
      </c>
      <c r="AB741" s="31">
        <v>11</v>
      </c>
    </row>
    <row r="742" spans="1:28" ht="27.2" customHeight="1" x14ac:dyDescent="0.2">
      <c r="A742" s="145"/>
      <c r="B742" s="138" t="s">
        <v>731</v>
      </c>
      <c r="C742" s="139"/>
      <c r="D742" s="139"/>
      <c r="E742" s="139"/>
      <c r="F742" s="139"/>
      <c r="G742" s="140"/>
      <c r="H742" s="23">
        <v>43</v>
      </c>
      <c r="I742" s="31">
        <v>14</v>
      </c>
      <c r="J742" s="31">
        <v>5</v>
      </c>
      <c r="K742" s="31">
        <v>0</v>
      </c>
      <c r="L742" s="31">
        <v>0</v>
      </c>
      <c r="M742" s="31">
        <v>0</v>
      </c>
      <c r="N742" s="31">
        <v>0</v>
      </c>
      <c r="O742" s="31">
        <v>4</v>
      </c>
      <c r="P742" s="31">
        <v>4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0</v>
      </c>
      <c r="X742" s="31">
        <v>1</v>
      </c>
      <c r="Y742" s="31">
        <v>3</v>
      </c>
      <c r="Z742" s="31">
        <v>3</v>
      </c>
      <c r="AA742" s="31">
        <v>0</v>
      </c>
      <c r="AB742" s="31">
        <v>10</v>
      </c>
    </row>
    <row r="743" spans="1:28" ht="27.2" customHeight="1" x14ac:dyDescent="0.2">
      <c r="A743" s="145"/>
      <c r="B743" s="138" t="s">
        <v>732</v>
      </c>
      <c r="C743" s="139"/>
      <c r="D743" s="139"/>
      <c r="E743" s="139"/>
      <c r="F743" s="139"/>
      <c r="G743" s="140"/>
      <c r="H743" s="23">
        <v>44</v>
      </c>
      <c r="I743" s="31">
        <v>44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18</v>
      </c>
      <c r="Z743" s="31">
        <v>18</v>
      </c>
      <c r="AA743" s="31">
        <v>0</v>
      </c>
      <c r="AB743" s="31">
        <v>44</v>
      </c>
    </row>
    <row r="744" spans="1:28" ht="30" customHeight="1" x14ac:dyDescent="0.2">
      <c r="A744" s="145"/>
      <c r="B744" s="138" t="s">
        <v>733</v>
      </c>
      <c r="C744" s="139"/>
      <c r="D744" s="139"/>
      <c r="E744" s="139"/>
      <c r="F744" s="139"/>
      <c r="G744" s="140"/>
      <c r="H744" s="23">
        <v>45</v>
      </c>
      <c r="I744" s="31">
        <v>10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1</v>
      </c>
      <c r="Z744" s="31">
        <v>1</v>
      </c>
      <c r="AA744" s="31">
        <v>0</v>
      </c>
      <c r="AB744" s="31">
        <v>10</v>
      </c>
    </row>
    <row r="745" spans="1:28" ht="32.25" customHeight="1" x14ac:dyDescent="0.2">
      <c r="A745" s="145"/>
      <c r="B745" s="138" t="s">
        <v>734</v>
      </c>
      <c r="C745" s="139"/>
      <c r="D745" s="139"/>
      <c r="E745" s="139"/>
      <c r="F745" s="139"/>
      <c r="G745" s="140"/>
      <c r="H745" s="23">
        <v>46</v>
      </c>
      <c r="I745" s="31">
        <v>6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6</v>
      </c>
    </row>
    <row r="746" spans="1:28" ht="43.5" customHeight="1" x14ac:dyDescent="0.2">
      <c r="A746" s="145"/>
      <c r="B746" s="138" t="s">
        <v>735</v>
      </c>
      <c r="C746" s="139"/>
      <c r="D746" s="139"/>
      <c r="E746" s="139"/>
      <c r="F746" s="139"/>
      <c r="G746" s="140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</row>
    <row r="747" spans="1:28" ht="26.25" customHeight="1" x14ac:dyDescent="0.2">
      <c r="A747" s="145"/>
      <c r="B747" s="138" t="s">
        <v>736</v>
      </c>
      <c r="C747" s="139"/>
      <c r="D747" s="139"/>
      <c r="E747" s="139"/>
      <c r="F747" s="139"/>
      <c r="G747" s="140"/>
      <c r="H747" s="23">
        <v>48</v>
      </c>
      <c r="I747" s="31">
        <v>8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8</v>
      </c>
    </row>
    <row r="748" spans="1:28" ht="24.75" customHeight="1" x14ac:dyDescent="0.2">
      <c r="A748" s="145"/>
      <c r="B748" s="190" t="s">
        <v>32</v>
      </c>
      <c r="C748" s="138" t="s">
        <v>737</v>
      </c>
      <c r="D748" s="139"/>
      <c r="E748" s="139"/>
      <c r="F748" s="139"/>
      <c r="G748" s="140"/>
      <c r="H748" s="23">
        <v>49</v>
      </c>
      <c r="I748" s="31">
        <v>7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7</v>
      </c>
    </row>
    <row r="749" spans="1:28" ht="24.75" customHeight="1" x14ac:dyDescent="0.2">
      <c r="A749" s="145"/>
      <c r="B749" s="191"/>
      <c r="C749" s="139" t="s">
        <v>738</v>
      </c>
      <c r="D749" s="139"/>
      <c r="E749" s="139"/>
      <c r="F749" s="139"/>
      <c r="G749" s="140"/>
      <c r="H749" s="23">
        <v>50</v>
      </c>
      <c r="I749" s="54">
        <v>1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1</v>
      </c>
    </row>
    <row r="750" spans="1:28" ht="22.5" customHeight="1" x14ac:dyDescent="0.2">
      <c r="A750" s="146"/>
      <c r="B750" s="301" t="s">
        <v>832</v>
      </c>
      <c r="C750" s="302"/>
      <c r="D750" s="302"/>
      <c r="E750" s="302"/>
      <c r="F750" s="302"/>
      <c r="G750" s="303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304" t="s">
        <v>95</v>
      </c>
      <c r="B751" s="305"/>
      <c r="C751" s="305"/>
      <c r="D751" s="305"/>
      <c r="E751" s="305"/>
      <c r="F751" s="305"/>
      <c r="G751" s="306"/>
      <c r="H751" s="23">
        <v>52</v>
      </c>
      <c r="I751" s="24">
        <v>370</v>
      </c>
      <c r="J751" s="24">
        <v>207</v>
      </c>
      <c r="K751" s="24">
        <v>42</v>
      </c>
      <c r="L751" s="24">
        <v>0</v>
      </c>
      <c r="M751" s="24">
        <v>41</v>
      </c>
      <c r="N751" s="24">
        <v>1</v>
      </c>
      <c r="O751" s="24">
        <v>101</v>
      </c>
      <c r="P751" s="24">
        <v>100</v>
      </c>
      <c r="Q751" s="24">
        <v>0</v>
      </c>
      <c r="R751" s="24">
        <v>0</v>
      </c>
      <c r="S751" s="24">
        <v>1</v>
      </c>
      <c r="T751" s="24">
        <v>0</v>
      </c>
      <c r="U751" s="24">
        <v>3</v>
      </c>
      <c r="V751" s="24">
        <v>25</v>
      </c>
      <c r="W751" s="24">
        <v>3</v>
      </c>
      <c r="X751" s="24">
        <v>2</v>
      </c>
      <c r="Y751" s="24">
        <v>5</v>
      </c>
      <c r="Z751" s="24">
        <v>5</v>
      </c>
      <c r="AA751" s="31">
        <v>0</v>
      </c>
      <c r="AB751" s="31">
        <v>227</v>
      </c>
    </row>
    <row r="752" spans="1:28" ht="42.75" customHeight="1" x14ac:dyDescent="0.2">
      <c r="A752" s="304" t="s">
        <v>833</v>
      </c>
      <c r="B752" s="305"/>
      <c r="C752" s="305"/>
      <c r="D752" s="305"/>
      <c r="E752" s="305"/>
      <c r="F752" s="305"/>
      <c r="G752" s="306"/>
      <c r="H752" s="23">
        <v>53</v>
      </c>
      <c r="I752" s="24">
        <v>1990</v>
      </c>
      <c r="J752" s="24">
        <v>820</v>
      </c>
      <c r="K752" s="24">
        <v>103</v>
      </c>
      <c r="L752" s="24">
        <v>1</v>
      </c>
      <c r="M752" s="24">
        <v>102</v>
      </c>
      <c r="N752" s="24">
        <v>0</v>
      </c>
      <c r="O752" s="24">
        <v>576</v>
      </c>
      <c r="P752" s="24">
        <v>376</v>
      </c>
      <c r="Q752" s="24">
        <v>199</v>
      </c>
      <c r="R752" s="24">
        <v>0</v>
      </c>
      <c r="S752" s="24">
        <v>1</v>
      </c>
      <c r="T752" s="24">
        <v>0</v>
      </c>
      <c r="U752" s="24">
        <v>37</v>
      </c>
      <c r="V752" s="24">
        <v>65</v>
      </c>
      <c r="W752" s="24">
        <v>3</v>
      </c>
      <c r="X752" s="24">
        <v>0</v>
      </c>
      <c r="Y752" s="24">
        <v>70</v>
      </c>
      <c r="Z752" s="24">
        <v>69</v>
      </c>
      <c r="AA752" s="31">
        <v>0</v>
      </c>
      <c r="AB752" s="31">
        <v>1310</v>
      </c>
    </row>
    <row r="753" spans="1:28" ht="30.6" customHeight="1" x14ac:dyDescent="0.2">
      <c r="A753" s="304" t="s">
        <v>114</v>
      </c>
      <c r="B753" s="305"/>
      <c r="C753" s="305"/>
      <c r="D753" s="305"/>
      <c r="E753" s="305"/>
      <c r="F753" s="305"/>
      <c r="G753" s="306"/>
      <c r="H753" s="23">
        <v>54</v>
      </c>
      <c r="I753" s="24">
        <v>2746</v>
      </c>
      <c r="J753" s="24">
        <v>221</v>
      </c>
      <c r="K753" s="24">
        <v>36</v>
      </c>
      <c r="L753" s="24">
        <v>0</v>
      </c>
      <c r="M753" s="24">
        <v>36</v>
      </c>
      <c r="N753" s="24">
        <v>0</v>
      </c>
      <c r="O753" s="24">
        <v>145</v>
      </c>
      <c r="P753" s="24">
        <v>138</v>
      </c>
      <c r="Q753" s="24">
        <v>0</v>
      </c>
      <c r="R753" s="24">
        <v>7</v>
      </c>
      <c r="S753" s="24">
        <v>0</v>
      </c>
      <c r="T753" s="24">
        <v>0</v>
      </c>
      <c r="U753" s="24">
        <v>9</v>
      </c>
      <c r="V753" s="24">
        <v>1</v>
      </c>
      <c r="W753" s="24">
        <v>2</v>
      </c>
      <c r="X753" s="24">
        <v>0</v>
      </c>
      <c r="Y753" s="24">
        <v>5</v>
      </c>
      <c r="Z753" s="24">
        <v>5</v>
      </c>
      <c r="AA753" s="31">
        <v>0</v>
      </c>
      <c r="AB753" s="31">
        <v>2565</v>
      </c>
    </row>
    <row r="754" spans="1:28" ht="27" customHeight="1" x14ac:dyDescent="0.2">
      <c r="A754" s="138" t="s">
        <v>115</v>
      </c>
      <c r="B754" s="139"/>
      <c r="C754" s="139"/>
      <c r="D754" s="139"/>
      <c r="E754" s="139"/>
      <c r="F754" s="139"/>
      <c r="G754" s="140"/>
      <c r="H754" s="23">
        <v>55</v>
      </c>
      <c r="I754" s="31">
        <f t="shared" ref="I754:AB754" si="16">SUM(I714:I753,I699:I712)</f>
        <v>22140</v>
      </c>
      <c r="J754" s="31">
        <f t="shared" si="16"/>
        <v>11954</v>
      </c>
      <c r="K754" s="31">
        <f t="shared" si="16"/>
        <v>219</v>
      </c>
      <c r="L754" s="31">
        <f t="shared" si="16"/>
        <v>1</v>
      </c>
      <c r="M754" s="31">
        <f t="shared" si="16"/>
        <v>214</v>
      </c>
      <c r="N754" s="31">
        <f t="shared" si="16"/>
        <v>1</v>
      </c>
      <c r="O754" s="31">
        <f t="shared" si="16"/>
        <v>10970</v>
      </c>
      <c r="P754" s="31">
        <f t="shared" si="16"/>
        <v>10732</v>
      </c>
      <c r="Q754" s="31">
        <f t="shared" si="16"/>
        <v>199</v>
      </c>
      <c r="R754" s="31">
        <f t="shared" si="16"/>
        <v>37</v>
      </c>
      <c r="S754" s="31">
        <f t="shared" si="16"/>
        <v>2</v>
      </c>
      <c r="T754" s="31">
        <f t="shared" si="16"/>
        <v>0</v>
      </c>
      <c r="U754" s="31">
        <f t="shared" si="16"/>
        <v>3589</v>
      </c>
      <c r="V754" s="31">
        <f t="shared" si="16"/>
        <v>94</v>
      </c>
      <c r="W754" s="31">
        <f t="shared" si="16"/>
        <v>530</v>
      </c>
      <c r="X754" s="31">
        <f t="shared" si="16"/>
        <v>11</v>
      </c>
      <c r="Y754" s="31">
        <f t="shared" si="16"/>
        <v>3032</v>
      </c>
      <c r="Z754" s="31">
        <f t="shared" si="16"/>
        <v>3031</v>
      </c>
      <c r="AA754" s="31">
        <f t="shared" si="16"/>
        <v>0</v>
      </c>
      <c r="AB754" s="31">
        <f t="shared" si="16"/>
        <v>10950</v>
      </c>
    </row>
    <row r="755" spans="1:28" ht="27" customHeight="1" x14ac:dyDescent="0.2"/>
    <row r="756" spans="1:28" ht="27" customHeight="1" x14ac:dyDescent="0.2">
      <c r="A756" t="s">
        <v>834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1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0" priority="1">
      <formula>SUM(I9:I12)&gt;I8</formula>
    </cfRule>
  </conditionalFormatting>
  <conditionalFormatting sqref="I8:AB8">
    <cfRule type="expression" dxfId="119" priority="2">
      <formula>SUM(I13,I28:I30,I33:I35,I38,I40:I43,I47:I48,I50:I51,I55,I57:I60,I63:I67,I70:I74,I77:I78)&lt;&gt;I8</formula>
    </cfRule>
  </conditionalFormatting>
  <conditionalFormatting sqref="I13:AB13">
    <cfRule type="expression" dxfId="118" priority="3">
      <formula>SUM(I14:I27)&gt;I13</formula>
    </cfRule>
  </conditionalFormatting>
  <conditionalFormatting sqref="I31:AB32">
    <cfRule type="expression" dxfId="117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16" priority="5">
      <formula>I36&gt;I35</formula>
    </cfRule>
  </conditionalFormatting>
  <conditionalFormatting sqref="I37:AB37">
    <cfRule type="expression" dxfId="115" priority="6">
      <formula>I37&gt;I35</formula>
    </cfRule>
  </conditionalFormatting>
  <conditionalFormatting sqref="I43:AB43 I51:AB51">
    <cfRule type="expression" dxfId="114" priority="7">
      <formula>SUM(I45:I46)&lt;&gt;I43</formula>
    </cfRule>
  </conditionalFormatting>
  <conditionalFormatting sqref="I51:AB51">
    <cfRule type="expression" dxfId="113" priority="8">
      <formula>I52&gt;I51</formula>
    </cfRule>
  </conditionalFormatting>
  <conditionalFormatting sqref="I60:AB60 I67:AB67 I74:AB74">
    <cfRule type="expression" dxfId="112" priority="9">
      <formula>SUM(I61:I62)&lt;&gt;I60</formula>
    </cfRule>
  </conditionalFormatting>
  <conditionalFormatting sqref="I86:AB86">
    <cfRule type="expression" dxfId="111" priority="10">
      <formula>SUM(I91,I93:I96,I99,I102:I105)&lt;&gt;I86</formula>
    </cfRule>
  </conditionalFormatting>
  <conditionalFormatting sqref="I96:AB96 I457:AB457">
    <cfRule type="expression" dxfId="110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12">
      <formula>SUM(I100:I101)&lt;&gt;I99</formula>
    </cfRule>
  </conditionalFormatting>
  <conditionalFormatting sqref="I113:AB113">
    <cfRule type="expression" dxfId="108" priority="13">
      <formula>SUM(I118:I120,I123:I125)&lt;&gt;I113</formula>
    </cfRule>
  </conditionalFormatting>
  <conditionalFormatting sqref="I133:AB133">
    <cfRule type="expression" dxfId="107" priority="14">
      <formula>SUM(I138:I142,I145:I146,I149:I150,I153,I157:I161,I164:I167,I170:I172,I175:I181,I184,I187:I188)&lt;&gt;I133</formula>
    </cfRule>
  </conditionalFormatting>
  <conditionalFormatting sqref="I196:AB196">
    <cfRule type="expression" dxfId="106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05" priority="16">
      <formula>SUM(I203:I204)&gt;I202</formula>
    </cfRule>
  </conditionalFormatting>
  <conditionalFormatting sqref="I202:AB202">
    <cfRule type="expression" dxfId="104" priority="17">
      <formula>SUM(I214,I222)&lt;&gt;I202</formula>
    </cfRule>
  </conditionalFormatting>
  <conditionalFormatting sqref="I214:AB214">
    <cfRule type="expression" dxfId="103" priority="18">
      <formula>SUM(I217:I221)&gt;I214</formula>
    </cfRule>
  </conditionalFormatting>
  <conditionalFormatting sqref="I222:AB222">
    <cfRule type="expression" dxfId="102" priority="19">
      <formula>SUM(I226:I233)&gt;I222</formula>
    </cfRule>
  </conditionalFormatting>
  <conditionalFormatting sqref="I243:AB243">
    <cfRule type="expression" dxfId="101" priority="20">
      <formula>I243&gt;I240</formula>
    </cfRule>
  </conditionalFormatting>
  <conditionalFormatting sqref="I268:AB268">
    <cfRule type="expression" dxfId="100" priority="21">
      <formula>SUM(I273:I278,I281:I286,I289:I297,I299:I304)&lt;&gt;I268</formula>
    </cfRule>
  </conditionalFormatting>
  <conditionalFormatting sqref="I312:AB312">
    <cfRule type="expression" dxfId="99" priority="22">
      <formula>SUM(I317:I321,I324,I327:I336,I339,I342:I344,I347,I350:I351)&lt;&gt;I312</formula>
    </cfRule>
  </conditionalFormatting>
  <conditionalFormatting sqref="I359:AB359">
    <cfRule type="expression" dxfId="98" priority="23">
      <formula>SUM(I364:I377,I380:I383)&lt;&gt;I359</formula>
    </cfRule>
  </conditionalFormatting>
  <conditionalFormatting sqref="I391:AB391">
    <cfRule type="expression" dxfId="97" priority="24">
      <formula>SUM(I396,I399,I403:I405,I408)&lt;&gt;I391</formula>
    </cfRule>
  </conditionalFormatting>
  <conditionalFormatting sqref="I416:AB416">
    <cfRule type="expression" dxfId="96" priority="25">
      <formula>SUM(I421,I424:I427,I430,I433,I436,I439,I442:I444,I446:I447,I449,I465:I468)&lt;&gt;I416</formula>
    </cfRule>
  </conditionalFormatting>
  <conditionalFormatting sqref="I449:AB449">
    <cfRule type="expression" dxfId="95" priority="26">
      <formula>SUM(I450:I451)&gt;I449</formula>
    </cfRule>
    <cfRule type="expression" dxfId="94" priority="26">
      <formula>SUM(I453:I456)&gt;I449</formula>
    </cfRule>
  </conditionalFormatting>
  <conditionalFormatting sqref="I450:AB451">
    <cfRule type="expression" dxfId="93" priority="27">
      <formula>I458:I464&gt;I450:I456</formula>
    </cfRule>
  </conditionalFormatting>
  <conditionalFormatting sqref="I452:AB452">
    <cfRule type="expression" dxfId="92" priority="28">
      <formula>I452&gt;I449</formula>
    </cfRule>
  </conditionalFormatting>
  <conditionalFormatting sqref="I452:AB456">
    <cfRule type="expression" dxfId="91" priority="29">
      <formula>I460:I464&gt;I452:I456</formula>
    </cfRule>
  </conditionalFormatting>
  <conditionalFormatting sqref="I476:AB476">
    <cfRule type="expression" dxfId="90" priority="30">
      <formula>SUM(I481:I484,I487,I489,I492,I495,I498:I499,I501,I504,I506,I511)&lt;&gt;I476</formula>
    </cfRule>
  </conditionalFormatting>
  <conditionalFormatting sqref="I519:AB519">
    <cfRule type="expression" dxfId="89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88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7" priority="33">
      <formula>SUM(I532:I533)&lt;&gt;I531</formula>
    </cfRule>
  </conditionalFormatting>
  <conditionalFormatting sqref="I576:AB576">
    <cfRule type="expression" dxfId="86" priority="34">
      <formula>SUM(I581:I586)&lt;&gt;I576</formula>
    </cfRule>
  </conditionalFormatting>
  <conditionalFormatting sqref="I594:AB594">
    <cfRule type="expression" dxfId="85" priority="35">
      <formula>SUM(I599:I603,I606:I617,I620:I624,I627,I629,I632:I633,I636,I639,I642)&lt;&gt;I594</formula>
    </cfRule>
  </conditionalFormatting>
  <conditionalFormatting sqref="I639:AB639">
    <cfRule type="expression" dxfId="84" priority="36">
      <formula>SUM(I640:I641)&lt;&gt;I639</formula>
    </cfRule>
  </conditionalFormatting>
  <conditionalFormatting sqref="I650:AB650">
    <cfRule type="expression" dxfId="83" priority="37">
      <formula>SUM(I655:I661)&lt;&gt;I650</formula>
    </cfRule>
  </conditionalFormatting>
  <conditionalFormatting sqref="I669:AB669">
    <cfRule type="expression" dxfId="82" priority="38">
      <formula>SUM(I674,I676,I677,I679:I691)&lt;&gt;I669</formula>
    </cfRule>
  </conditionalFormatting>
  <conditionalFormatting sqref="I699:AB699">
    <cfRule type="expression" dxfId="81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0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9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8" priority="42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60" zoomScaleNormal="9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835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836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8" t="s">
        <v>1148</v>
      </c>
      <c r="J3" s="168" t="s">
        <v>16</v>
      </c>
      <c r="K3" s="168" t="s">
        <v>17</v>
      </c>
      <c r="L3" s="171" t="s">
        <v>18</v>
      </c>
      <c r="M3" s="172"/>
      <c r="N3" s="173"/>
      <c r="O3" s="168" t="s">
        <v>19</v>
      </c>
      <c r="P3" s="171" t="s">
        <v>20</v>
      </c>
      <c r="Q3" s="172"/>
      <c r="R3" s="172"/>
      <c r="S3" s="173"/>
      <c r="T3" s="168" t="s">
        <v>21</v>
      </c>
      <c r="U3" s="171" t="s">
        <v>22</v>
      </c>
      <c r="V3" s="172"/>
      <c r="W3" s="172"/>
      <c r="X3" s="173"/>
      <c r="Y3" s="171" t="s">
        <v>23</v>
      </c>
      <c r="Z3" s="172"/>
      <c r="AA3" s="173"/>
      <c r="AB3" s="168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0"/>
      <c r="J4" s="170"/>
      <c r="K4" s="170"/>
      <c r="L4" s="168" t="s">
        <v>25</v>
      </c>
      <c r="M4" s="168" t="s">
        <v>26</v>
      </c>
      <c r="N4" s="168" t="s">
        <v>27</v>
      </c>
      <c r="O4" s="170"/>
      <c r="P4" s="168" t="s">
        <v>28</v>
      </c>
      <c r="Q4" s="168" t="s">
        <v>29</v>
      </c>
      <c r="R4" s="168" t="s">
        <v>30</v>
      </c>
      <c r="S4" s="168" t="s">
        <v>31</v>
      </c>
      <c r="T4" s="170"/>
      <c r="U4" s="171" t="s">
        <v>32</v>
      </c>
      <c r="V4" s="172"/>
      <c r="W4" s="172"/>
      <c r="X4" s="173"/>
      <c r="Y4" s="168" t="s">
        <v>33</v>
      </c>
      <c r="Z4" s="171" t="s">
        <v>34</v>
      </c>
      <c r="AA4" s="173"/>
      <c r="AB4" s="170"/>
    </row>
    <row r="5" spans="1:28" ht="90.75" customHeight="1" x14ac:dyDescent="0.2">
      <c r="A5" s="184"/>
      <c r="B5" s="185"/>
      <c r="C5" s="185"/>
      <c r="D5" s="185"/>
      <c r="E5" s="185"/>
      <c r="F5" s="185"/>
      <c r="G5" s="186"/>
      <c r="H5" s="18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9" t="s">
        <v>35</v>
      </c>
      <c r="V5" s="16" t="s">
        <v>36</v>
      </c>
      <c r="W5" s="16" t="s">
        <v>37</v>
      </c>
      <c r="X5" s="16" t="s">
        <v>38</v>
      </c>
      <c r="Y5" s="169"/>
      <c r="Z5" s="18" t="s">
        <v>39</v>
      </c>
      <c r="AA5" s="17" t="s">
        <v>40</v>
      </c>
      <c r="AB5" s="169"/>
    </row>
    <row r="6" spans="1:28" ht="12.75" customHeight="1" x14ac:dyDescent="0.2">
      <c r="A6" s="150" t="s">
        <v>41</v>
      </c>
      <c r="B6" s="151"/>
      <c r="C6" s="151"/>
      <c r="D6" s="151"/>
      <c r="E6" s="151"/>
      <c r="F6" s="151"/>
      <c r="G6" s="15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3" t="s">
        <v>43</v>
      </c>
      <c r="B7" s="154"/>
      <c r="C7" s="154"/>
      <c r="D7" s="154"/>
      <c r="E7" s="154"/>
      <c r="F7" s="154"/>
      <c r="G7" s="155"/>
      <c r="H7" s="23">
        <v>1</v>
      </c>
      <c r="I7" s="31">
        <v>1510</v>
      </c>
      <c r="J7" s="31">
        <v>343</v>
      </c>
      <c r="K7" s="31">
        <v>0</v>
      </c>
      <c r="L7" s="31">
        <v>0</v>
      </c>
      <c r="M7" s="31">
        <v>0</v>
      </c>
      <c r="N7" s="31">
        <v>0</v>
      </c>
      <c r="O7" s="31">
        <v>288</v>
      </c>
      <c r="P7" s="31">
        <v>232</v>
      </c>
      <c r="Q7" s="31">
        <v>56</v>
      </c>
      <c r="R7" s="31">
        <v>0</v>
      </c>
      <c r="S7" s="31">
        <v>0</v>
      </c>
      <c r="T7" s="31">
        <v>0</v>
      </c>
      <c r="U7" s="31">
        <v>10</v>
      </c>
      <c r="V7" s="31">
        <v>41</v>
      </c>
      <c r="W7" s="31">
        <v>0</v>
      </c>
      <c r="X7" s="31">
        <v>0</v>
      </c>
      <c r="Y7" s="31">
        <v>74</v>
      </c>
      <c r="Z7" s="31">
        <v>74</v>
      </c>
      <c r="AA7" s="31">
        <v>0</v>
      </c>
      <c r="AB7" s="31">
        <v>1222</v>
      </c>
    </row>
    <row r="8" spans="1:28" ht="19.5" customHeight="1" x14ac:dyDescent="0.2">
      <c r="A8" s="156" t="s">
        <v>20</v>
      </c>
      <c r="B8" s="157"/>
      <c r="C8" s="157"/>
      <c r="D8" s="165" t="s">
        <v>51</v>
      </c>
      <c r="E8" s="166"/>
      <c r="F8" s="166"/>
      <c r="G8" s="167"/>
      <c r="H8" s="23">
        <v>2</v>
      </c>
      <c r="I8" s="31">
        <v>212</v>
      </c>
      <c r="J8" s="31">
        <v>28</v>
      </c>
      <c r="K8" s="31">
        <v>0</v>
      </c>
      <c r="L8" s="31">
        <v>0</v>
      </c>
      <c r="M8" s="31">
        <v>0</v>
      </c>
      <c r="N8" s="31">
        <v>0</v>
      </c>
      <c r="O8" s="31">
        <v>13</v>
      </c>
      <c r="P8" s="31">
        <v>13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10</v>
      </c>
      <c r="W8" s="31">
        <v>0</v>
      </c>
      <c r="X8" s="31">
        <v>0</v>
      </c>
      <c r="Y8" s="31">
        <v>12</v>
      </c>
      <c r="Z8" s="31">
        <v>12</v>
      </c>
      <c r="AA8" s="31">
        <v>0</v>
      </c>
      <c r="AB8" s="31">
        <v>199</v>
      </c>
    </row>
    <row r="9" spans="1:28" ht="19.5" customHeight="1" x14ac:dyDescent="0.2">
      <c r="A9" s="159"/>
      <c r="B9" s="160"/>
      <c r="C9" s="160"/>
      <c r="D9" s="165" t="s">
        <v>52</v>
      </c>
      <c r="E9" s="166"/>
      <c r="F9" s="166"/>
      <c r="G9" s="167"/>
      <c r="H9" s="23">
        <v>3</v>
      </c>
      <c r="I9" s="31">
        <v>733</v>
      </c>
      <c r="J9" s="31">
        <v>99</v>
      </c>
      <c r="K9" s="31">
        <v>0</v>
      </c>
      <c r="L9" s="31">
        <v>0</v>
      </c>
      <c r="M9" s="31">
        <v>0</v>
      </c>
      <c r="N9" s="31">
        <v>0</v>
      </c>
      <c r="O9" s="31">
        <v>86</v>
      </c>
      <c r="P9" s="31">
        <v>61</v>
      </c>
      <c r="Q9" s="31">
        <v>25</v>
      </c>
      <c r="R9" s="31">
        <v>0</v>
      </c>
      <c r="S9" s="31">
        <v>0</v>
      </c>
      <c r="T9" s="31">
        <v>0</v>
      </c>
      <c r="U9" s="31">
        <v>3</v>
      </c>
      <c r="V9" s="31">
        <v>9</v>
      </c>
      <c r="W9" s="31">
        <v>0</v>
      </c>
      <c r="X9" s="31">
        <v>0</v>
      </c>
      <c r="Y9" s="31">
        <v>30</v>
      </c>
      <c r="Z9" s="31">
        <v>30</v>
      </c>
      <c r="AA9" s="31">
        <v>0</v>
      </c>
      <c r="AB9" s="31">
        <v>647</v>
      </c>
    </row>
    <row r="10" spans="1:28" ht="19.5" customHeight="1" x14ac:dyDescent="0.2">
      <c r="A10" s="159"/>
      <c r="B10" s="160"/>
      <c r="C10" s="160"/>
      <c r="D10" s="165" t="s">
        <v>182</v>
      </c>
      <c r="E10" s="166"/>
      <c r="F10" s="166"/>
      <c r="G10" s="167"/>
      <c r="H10" s="23">
        <v>4</v>
      </c>
      <c r="I10" s="31">
        <v>523</v>
      </c>
      <c r="J10" s="31">
        <v>201</v>
      </c>
      <c r="K10" s="31">
        <v>0</v>
      </c>
      <c r="L10" s="31">
        <v>0</v>
      </c>
      <c r="M10" s="31">
        <v>0</v>
      </c>
      <c r="N10" s="31">
        <v>0</v>
      </c>
      <c r="O10" s="31">
        <v>180</v>
      </c>
      <c r="P10" s="31">
        <v>149</v>
      </c>
      <c r="Q10" s="31">
        <v>31</v>
      </c>
      <c r="R10" s="31">
        <v>0</v>
      </c>
      <c r="S10" s="31">
        <v>0</v>
      </c>
      <c r="T10" s="31">
        <v>0</v>
      </c>
      <c r="U10" s="31">
        <v>7</v>
      </c>
      <c r="V10" s="31">
        <v>22</v>
      </c>
      <c r="W10" s="31">
        <v>0</v>
      </c>
      <c r="X10" s="31">
        <v>0</v>
      </c>
      <c r="Y10" s="31">
        <v>32</v>
      </c>
      <c r="Z10" s="31">
        <v>32</v>
      </c>
      <c r="AA10" s="31">
        <v>0</v>
      </c>
      <c r="AB10" s="31">
        <v>343</v>
      </c>
    </row>
    <row r="11" spans="1:28" ht="19.5" customHeight="1" x14ac:dyDescent="0.2">
      <c r="A11" s="162"/>
      <c r="B11" s="163"/>
      <c r="C11" s="163"/>
      <c r="D11" s="165" t="s">
        <v>49</v>
      </c>
      <c r="E11" s="166"/>
      <c r="F11" s="166"/>
      <c r="G11" s="167"/>
      <c r="H11" s="23">
        <v>5</v>
      </c>
      <c r="I11" s="31">
        <v>28</v>
      </c>
      <c r="J11" s="31">
        <v>10</v>
      </c>
      <c r="K11" s="31">
        <v>0</v>
      </c>
      <c r="L11" s="31">
        <v>0</v>
      </c>
      <c r="M11" s="31">
        <v>0</v>
      </c>
      <c r="N11" s="31">
        <v>0</v>
      </c>
      <c r="O11" s="31">
        <v>7</v>
      </c>
      <c r="P11" s="31">
        <v>7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21</v>
      </c>
    </row>
    <row r="12" spans="1:28" ht="22.5" customHeight="1" x14ac:dyDescent="0.2">
      <c r="A12" s="144" t="s">
        <v>165</v>
      </c>
      <c r="B12" s="153" t="s">
        <v>837</v>
      </c>
      <c r="C12" s="154"/>
      <c r="D12" s="154"/>
      <c r="E12" s="154"/>
      <c r="F12" s="154"/>
      <c r="G12" s="154"/>
      <c r="H12" s="23">
        <v>6</v>
      </c>
      <c r="I12" s="31">
        <v>149</v>
      </c>
      <c r="J12" s="31">
        <v>17</v>
      </c>
      <c r="K12" s="31">
        <v>0</v>
      </c>
      <c r="L12" s="31">
        <v>0</v>
      </c>
      <c r="M12" s="31">
        <v>0</v>
      </c>
      <c r="N12" s="31">
        <v>0</v>
      </c>
      <c r="O12" s="31">
        <v>6</v>
      </c>
      <c r="P12" s="31">
        <v>6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3</v>
      </c>
      <c r="W12" s="31">
        <v>0</v>
      </c>
      <c r="X12" s="31">
        <v>0</v>
      </c>
      <c r="Y12" s="31">
        <v>9</v>
      </c>
      <c r="Z12" s="31">
        <v>9</v>
      </c>
      <c r="AA12" s="31">
        <v>0</v>
      </c>
      <c r="AB12" s="31">
        <v>143</v>
      </c>
    </row>
    <row r="13" spans="1:28" ht="18" customHeight="1" x14ac:dyDescent="0.2">
      <c r="A13" s="145"/>
      <c r="B13" s="313" t="s">
        <v>838</v>
      </c>
      <c r="C13" s="314"/>
      <c r="D13" s="314"/>
      <c r="E13" s="314"/>
      <c r="F13" s="314"/>
      <c r="G13" s="315"/>
      <c r="H13" s="23">
        <v>7</v>
      </c>
      <c r="I13" s="31">
        <v>5</v>
      </c>
      <c r="J13" s="31">
        <v>2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5</v>
      </c>
    </row>
    <row r="14" spans="1:28" ht="18" customHeight="1" x14ac:dyDescent="0.2">
      <c r="A14" s="145"/>
      <c r="B14" s="216" t="s">
        <v>32</v>
      </c>
      <c r="C14" s="138" t="s">
        <v>346</v>
      </c>
      <c r="D14" s="139"/>
      <c r="E14" s="139"/>
      <c r="F14" s="139"/>
      <c r="G14" s="140"/>
      <c r="H14" s="23">
        <v>8</v>
      </c>
      <c r="I14" s="31">
        <v>1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</v>
      </c>
    </row>
    <row r="15" spans="1:28" ht="18" customHeight="1" x14ac:dyDescent="0.2">
      <c r="A15" s="145"/>
      <c r="B15" s="217"/>
      <c r="C15" s="138" t="s">
        <v>347</v>
      </c>
      <c r="D15" s="139"/>
      <c r="E15" s="139"/>
      <c r="F15" s="139"/>
      <c r="G15" s="140"/>
      <c r="H15" s="23">
        <v>9</v>
      </c>
      <c r="I15" s="31">
        <v>4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4</v>
      </c>
    </row>
    <row r="16" spans="1:28" ht="25.5" customHeight="1" x14ac:dyDescent="0.2">
      <c r="A16" s="145"/>
      <c r="B16" s="313" t="s">
        <v>839</v>
      </c>
      <c r="C16" s="314"/>
      <c r="D16" s="314"/>
      <c r="E16" s="314"/>
      <c r="F16" s="314"/>
      <c r="G16" s="315"/>
      <c r="H16" s="23">
        <v>10</v>
      </c>
      <c r="I16" s="31">
        <v>144</v>
      </c>
      <c r="J16" s="31">
        <v>15</v>
      </c>
      <c r="K16" s="31">
        <v>0</v>
      </c>
      <c r="L16" s="31">
        <v>0</v>
      </c>
      <c r="M16" s="31">
        <v>0</v>
      </c>
      <c r="N16" s="31">
        <v>0</v>
      </c>
      <c r="O16" s="31">
        <v>6</v>
      </c>
      <c r="P16" s="31">
        <v>6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3</v>
      </c>
      <c r="W16" s="31">
        <v>0</v>
      </c>
      <c r="X16" s="31">
        <v>0</v>
      </c>
      <c r="Y16" s="31">
        <v>9</v>
      </c>
      <c r="Z16" s="31">
        <v>9</v>
      </c>
      <c r="AA16" s="31">
        <v>0</v>
      </c>
      <c r="AB16" s="31">
        <v>138</v>
      </c>
    </row>
    <row r="17" spans="1:28" ht="25.5" customHeight="1" x14ac:dyDescent="0.2">
      <c r="A17" s="145"/>
      <c r="B17" s="138" t="s">
        <v>351</v>
      </c>
      <c r="C17" s="139"/>
      <c r="D17" s="139"/>
      <c r="E17" s="139"/>
      <c r="F17" s="139"/>
      <c r="G17" s="140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5.5" customHeight="1" x14ac:dyDescent="0.2">
      <c r="A18" s="145"/>
      <c r="B18" s="153" t="s">
        <v>840</v>
      </c>
      <c r="C18" s="154"/>
      <c r="D18" s="154"/>
      <c r="E18" s="154"/>
      <c r="F18" s="154"/>
      <c r="G18" s="154"/>
      <c r="H18" s="23">
        <v>12</v>
      </c>
      <c r="I18" s="31">
        <v>1186</v>
      </c>
      <c r="J18" s="31">
        <v>253</v>
      </c>
      <c r="K18" s="31">
        <v>0</v>
      </c>
      <c r="L18" s="31">
        <v>0</v>
      </c>
      <c r="M18" s="31">
        <v>0</v>
      </c>
      <c r="N18" s="31">
        <v>0</v>
      </c>
      <c r="O18" s="31">
        <v>236</v>
      </c>
      <c r="P18" s="31">
        <v>181</v>
      </c>
      <c r="Q18" s="31">
        <v>55</v>
      </c>
      <c r="R18" s="31">
        <v>0</v>
      </c>
      <c r="S18" s="31">
        <v>0</v>
      </c>
      <c r="T18" s="31">
        <v>0</v>
      </c>
      <c r="U18" s="31">
        <v>10</v>
      </c>
      <c r="V18" s="31">
        <v>38</v>
      </c>
      <c r="W18" s="31">
        <v>0</v>
      </c>
      <c r="X18" s="31">
        <v>0</v>
      </c>
      <c r="Y18" s="31">
        <v>60</v>
      </c>
      <c r="Z18" s="31">
        <v>60</v>
      </c>
      <c r="AA18" s="31">
        <v>0</v>
      </c>
      <c r="AB18" s="31">
        <v>950</v>
      </c>
    </row>
    <row r="19" spans="1:28" ht="42" customHeight="1" x14ac:dyDescent="0.2">
      <c r="A19" s="145"/>
      <c r="B19" s="174" t="s">
        <v>841</v>
      </c>
      <c r="C19" s="175"/>
      <c r="D19" s="175"/>
      <c r="E19" s="175"/>
      <c r="F19" s="175"/>
      <c r="G19" s="176"/>
      <c r="H19" s="23">
        <v>13</v>
      </c>
      <c r="I19" s="31">
        <v>56</v>
      </c>
      <c r="J19" s="31">
        <v>17</v>
      </c>
      <c r="K19" s="31">
        <v>0</v>
      </c>
      <c r="L19" s="31">
        <v>0</v>
      </c>
      <c r="M19" s="31">
        <v>0</v>
      </c>
      <c r="N19" s="31">
        <v>0</v>
      </c>
      <c r="O19" s="31">
        <v>12</v>
      </c>
      <c r="P19" s="31">
        <v>12</v>
      </c>
      <c r="Q19" s="31">
        <v>0</v>
      </c>
      <c r="R19" s="31">
        <v>0</v>
      </c>
      <c r="S19" s="31">
        <v>0</v>
      </c>
      <c r="T19" s="31">
        <v>0</v>
      </c>
      <c r="U19" s="31">
        <v>1</v>
      </c>
      <c r="V19" s="31">
        <v>3</v>
      </c>
      <c r="W19" s="31">
        <v>0</v>
      </c>
      <c r="X19" s="31">
        <v>0</v>
      </c>
      <c r="Y19" s="31">
        <v>3</v>
      </c>
      <c r="Z19" s="31">
        <v>3</v>
      </c>
      <c r="AA19" s="31">
        <v>0</v>
      </c>
      <c r="AB19" s="31">
        <v>44</v>
      </c>
    </row>
    <row r="20" spans="1:28" ht="31.5" customHeight="1" x14ac:dyDescent="0.2">
      <c r="A20" s="145"/>
      <c r="B20" s="313" t="s">
        <v>842</v>
      </c>
      <c r="C20" s="314"/>
      <c r="D20" s="314"/>
      <c r="E20" s="314"/>
      <c r="F20" s="314"/>
      <c r="G20" s="314"/>
      <c r="H20" s="23">
        <v>14</v>
      </c>
      <c r="I20" s="31">
        <v>16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4</v>
      </c>
      <c r="P20" s="31">
        <v>2</v>
      </c>
      <c r="Q20" s="31">
        <v>2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1</v>
      </c>
      <c r="Z20" s="31">
        <v>1</v>
      </c>
      <c r="AA20" s="31">
        <v>0</v>
      </c>
      <c r="AB20" s="31">
        <v>12</v>
      </c>
    </row>
    <row r="21" spans="1:28" ht="24.75" customHeight="1" x14ac:dyDescent="0.2">
      <c r="A21" s="145"/>
      <c r="B21" s="313" t="s">
        <v>843</v>
      </c>
      <c r="C21" s="314"/>
      <c r="D21" s="314"/>
      <c r="E21" s="314"/>
      <c r="F21" s="314"/>
      <c r="G21" s="314"/>
      <c r="H21" s="23">
        <v>15</v>
      </c>
      <c r="I21" s="31">
        <v>27</v>
      </c>
      <c r="J21" s="31">
        <v>2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6</v>
      </c>
      <c r="Z21" s="31">
        <v>6</v>
      </c>
      <c r="AA21" s="31">
        <v>0</v>
      </c>
      <c r="AB21" s="31">
        <v>27</v>
      </c>
    </row>
    <row r="22" spans="1:28" ht="24.75" customHeight="1" x14ac:dyDescent="0.2">
      <c r="A22" s="145"/>
      <c r="B22" s="141" t="s">
        <v>844</v>
      </c>
      <c r="C22" s="142"/>
      <c r="D22" s="142"/>
      <c r="E22" s="142"/>
      <c r="F22" s="142"/>
      <c r="G22" s="143"/>
      <c r="H22" s="23">
        <v>16</v>
      </c>
      <c r="I22" s="31">
        <v>196</v>
      </c>
      <c r="J22" s="31">
        <v>78</v>
      </c>
      <c r="K22" s="31">
        <v>0</v>
      </c>
      <c r="L22" s="31">
        <v>0</v>
      </c>
      <c r="M22" s="31">
        <v>0</v>
      </c>
      <c r="N22" s="31">
        <v>0</v>
      </c>
      <c r="O22" s="31">
        <v>77</v>
      </c>
      <c r="P22" s="31">
        <v>77</v>
      </c>
      <c r="Q22" s="31">
        <v>0</v>
      </c>
      <c r="R22" s="31">
        <v>0</v>
      </c>
      <c r="S22" s="31">
        <v>0</v>
      </c>
      <c r="T22" s="31">
        <v>0</v>
      </c>
      <c r="U22" s="31">
        <v>6</v>
      </c>
      <c r="V22" s="31">
        <v>18</v>
      </c>
      <c r="W22" s="31">
        <v>0</v>
      </c>
      <c r="X22" s="31">
        <v>0</v>
      </c>
      <c r="Y22" s="31">
        <v>4</v>
      </c>
      <c r="Z22" s="31">
        <v>4</v>
      </c>
      <c r="AA22" s="31">
        <v>0</v>
      </c>
      <c r="AB22" s="31">
        <v>119</v>
      </c>
    </row>
    <row r="23" spans="1:28" ht="27.75" customHeight="1" x14ac:dyDescent="0.2">
      <c r="A23" s="145"/>
      <c r="B23" s="174" t="s">
        <v>375</v>
      </c>
      <c r="C23" s="175"/>
      <c r="D23" s="175"/>
      <c r="E23" s="175"/>
      <c r="F23" s="175"/>
      <c r="G23" s="176"/>
      <c r="H23" s="23">
        <v>17</v>
      </c>
      <c r="I23" s="31">
        <v>69</v>
      </c>
      <c r="J23" s="31">
        <v>19</v>
      </c>
      <c r="K23" s="31">
        <v>0</v>
      </c>
      <c r="L23" s="31">
        <v>0</v>
      </c>
      <c r="M23" s="31">
        <v>0</v>
      </c>
      <c r="N23" s="31">
        <v>0</v>
      </c>
      <c r="O23" s="31">
        <v>18</v>
      </c>
      <c r="P23" s="31">
        <v>17</v>
      </c>
      <c r="Q23" s="31">
        <v>1</v>
      </c>
      <c r="R23" s="31">
        <v>0</v>
      </c>
      <c r="S23" s="31">
        <v>0</v>
      </c>
      <c r="T23" s="31">
        <v>0</v>
      </c>
      <c r="U23" s="31">
        <v>0</v>
      </c>
      <c r="V23" s="31">
        <v>1</v>
      </c>
      <c r="W23" s="31">
        <v>0</v>
      </c>
      <c r="X23" s="31">
        <v>0</v>
      </c>
      <c r="Y23" s="31">
        <v>1</v>
      </c>
      <c r="Z23" s="31">
        <v>1</v>
      </c>
      <c r="AA23" s="31">
        <v>0</v>
      </c>
      <c r="AB23" s="31">
        <v>51</v>
      </c>
    </row>
    <row r="24" spans="1:28" ht="15.75" customHeight="1" x14ac:dyDescent="0.2">
      <c r="A24" s="145"/>
      <c r="B24" s="174" t="s">
        <v>845</v>
      </c>
      <c r="C24" s="175"/>
      <c r="D24" s="175"/>
      <c r="E24" s="175"/>
      <c r="F24" s="175"/>
      <c r="G24" s="176"/>
      <c r="H24" s="23">
        <v>18</v>
      </c>
      <c r="I24" s="31">
        <v>12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2</v>
      </c>
      <c r="Z24" s="31">
        <v>2</v>
      </c>
      <c r="AA24" s="31">
        <v>0</v>
      </c>
      <c r="AB24" s="31">
        <v>12</v>
      </c>
    </row>
    <row r="25" spans="1:28" ht="15.75" customHeight="1" x14ac:dyDescent="0.2">
      <c r="A25" s="145"/>
      <c r="B25" s="141" t="s">
        <v>846</v>
      </c>
      <c r="C25" s="142"/>
      <c r="D25" s="142"/>
      <c r="E25" s="142"/>
      <c r="F25" s="142"/>
      <c r="G25" s="143"/>
      <c r="H25" s="23">
        <v>19</v>
      </c>
      <c r="I25" s="31">
        <v>4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4</v>
      </c>
    </row>
    <row r="26" spans="1:28" ht="15" customHeight="1" x14ac:dyDescent="0.2">
      <c r="A26" s="145"/>
      <c r="B26" s="141" t="s">
        <v>847</v>
      </c>
      <c r="C26" s="142"/>
      <c r="D26" s="142"/>
      <c r="E26" s="142"/>
      <c r="F26" s="142"/>
      <c r="G26" s="143"/>
      <c r="H26" s="23">
        <v>20</v>
      </c>
      <c r="I26" s="31">
        <v>100</v>
      </c>
      <c r="J26" s="31">
        <v>28</v>
      </c>
      <c r="K26" s="31">
        <v>0</v>
      </c>
      <c r="L26" s="31">
        <v>0</v>
      </c>
      <c r="M26" s="31">
        <v>0</v>
      </c>
      <c r="N26" s="31">
        <v>0</v>
      </c>
      <c r="O26" s="31">
        <v>25</v>
      </c>
      <c r="P26" s="31">
        <v>25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3</v>
      </c>
      <c r="W26" s="31">
        <v>0</v>
      </c>
      <c r="X26" s="31">
        <v>0</v>
      </c>
      <c r="Y26" s="31">
        <v>2</v>
      </c>
      <c r="Z26" s="31">
        <v>2</v>
      </c>
      <c r="AA26" s="31">
        <v>0</v>
      </c>
      <c r="AB26" s="31">
        <v>75</v>
      </c>
    </row>
    <row r="27" spans="1:28" ht="32.25" customHeight="1" x14ac:dyDescent="0.2">
      <c r="A27" s="145"/>
      <c r="B27" s="138" t="s">
        <v>381</v>
      </c>
      <c r="C27" s="139"/>
      <c r="D27" s="139"/>
      <c r="E27" s="139"/>
      <c r="F27" s="139"/>
      <c r="G27" s="140"/>
      <c r="H27" s="23">
        <v>21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2.25" customHeight="1" x14ac:dyDescent="0.2">
      <c r="A28" s="145"/>
      <c r="B28" s="138" t="s">
        <v>382</v>
      </c>
      <c r="C28" s="139"/>
      <c r="D28" s="139"/>
      <c r="E28" s="139"/>
      <c r="F28" s="139"/>
      <c r="G28" s="140"/>
      <c r="H28" s="23">
        <v>22</v>
      </c>
      <c r="I28" s="31">
        <v>7</v>
      </c>
      <c r="J28" s="31">
        <v>3</v>
      </c>
      <c r="K28" s="31">
        <v>0</v>
      </c>
      <c r="L28" s="31">
        <v>0</v>
      </c>
      <c r="M28" s="31">
        <v>0</v>
      </c>
      <c r="N28" s="31">
        <v>0</v>
      </c>
      <c r="O28" s="31">
        <v>2</v>
      </c>
      <c r="P28" s="31">
        <v>2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5</v>
      </c>
    </row>
    <row r="29" spans="1:28" ht="32.25" customHeight="1" x14ac:dyDescent="0.2">
      <c r="A29" s="145"/>
      <c r="B29" s="138" t="s">
        <v>383</v>
      </c>
      <c r="C29" s="139"/>
      <c r="D29" s="139"/>
      <c r="E29" s="139"/>
      <c r="F29" s="139"/>
      <c r="G29" s="140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1.75" customHeight="1" x14ac:dyDescent="0.2">
      <c r="A30" s="145"/>
      <c r="B30" s="141" t="s">
        <v>848</v>
      </c>
      <c r="C30" s="142"/>
      <c r="D30" s="142"/>
      <c r="E30" s="142"/>
      <c r="F30" s="142"/>
      <c r="G30" s="143"/>
      <c r="H30" s="23">
        <v>24</v>
      </c>
      <c r="I30" s="31">
        <v>504</v>
      </c>
      <c r="J30" s="31">
        <v>55</v>
      </c>
      <c r="K30" s="31">
        <v>0</v>
      </c>
      <c r="L30" s="31">
        <v>0</v>
      </c>
      <c r="M30" s="31">
        <v>0</v>
      </c>
      <c r="N30" s="31">
        <v>0</v>
      </c>
      <c r="O30" s="31">
        <v>53</v>
      </c>
      <c r="P30" s="31">
        <v>5</v>
      </c>
      <c r="Q30" s="31">
        <v>48</v>
      </c>
      <c r="R30" s="31">
        <v>0</v>
      </c>
      <c r="S30" s="31">
        <v>0</v>
      </c>
      <c r="T30" s="31">
        <v>0</v>
      </c>
      <c r="U30" s="31">
        <v>1</v>
      </c>
      <c r="V30" s="31">
        <v>1</v>
      </c>
      <c r="W30" s="31">
        <v>0</v>
      </c>
      <c r="X30" s="31">
        <v>0</v>
      </c>
      <c r="Y30" s="31">
        <v>38</v>
      </c>
      <c r="Z30" s="31">
        <v>38</v>
      </c>
      <c r="AA30" s="31">
        <v>0</v>
      </c>
      <c r="AB30" s="31">
        <v>451</v>
      </c>
    </row>
    <row r="31" spans="1:28" ht="30.75" customHeight="1" x14ac:dyDescent="0.2">
      <c r="A31" s="145"/>
      <c r="B31" s="141" t="s">
        <v>849</v>
      </c>
      <c r="C31" s="142"/>
      <c r="D31" s="142"/>
      <c r="E31" s="142"/>
      <c r="F31" s="142"/>
      <c r="G31" s="143"/>
      <c r="H31" s="23">
        <v>25</v>
      </c>
      <c r="I31" s="31">
        <v>19</v>
      </c>
      <c r="J31" s="31">
        <v>4</v>
      </c>
      <c r="K31" s="31">
        <v>0</v>
      </c>
      <c r="L31" s="31">
        <v>0</v>
      </c>
      <c r="M31" s="31">
        <v>0</v>
      </c>
      <c r="N31" s="31">
        <v>0</v>
      </c>
      <c r="O31" s="31">
        <v>4</v>
      </c>
      <c r="P31" s="31">
        <v>0</v>
      </c>
      <c r="Q31" s="31">
        <v>4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15</v>
      </c>
    </row>
    <row r="32" spans="1:28" ht="30.75" customHeight="1" x14ac:dyDescent="0.2">
      <c r="A32" s="145"/>
      <c r="B32" s="141" t="s">
        <v>850</v>
      </c>
      <c r="C32" s="142"/>
      <c r="D32" s="142"/>
      <c r="E32" s="142"/>
      <c r="F32" s="142"/>
      <c r="G32" s="143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30.75" customHeight="1" x14ac:dyDescent="0.2">
      <c r="A33" s="145"/>
      <c r="B33" s="190" t="s">
        <v>32</v>
      </c>
      <c r="C33" s="138" t="s">
        <v>390</v>
      </c>
      <c r="D33" s="139"/>
      <c r="E33" s="139"/>
      <c r="F33" s="139"/>
      <c r="G33" s="140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45"/>
      <c r="B34" s="191"/>
      <c r="C34" s="139" t="s">
        <v>391</v>
      </c>
      <c r="D34" s="139"/>
      <c r="E34" s="139"/>
      <c r="F34" s="139"/>
      <c r="G34" s="140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45"/>
      <c r="B35" s="174" t="s">
        <v>392</v>
      </c>
      <c r="C35" s="175"/>
      <c r="D35" s="175"/>
      <c r="E35" s="175"/>
      <c r="F35" s="175"/>
      <c r="G35" s="176"/>
      <c r="H35" s="23">
        <v>29</v>
      </c>
      <c r="I35" s="31">
        <v>1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1</v>
      </c>
    </row>
    <row r="36" spans="1:28" ht="19.5" customHeight="1" x14ac:dyDescent="0.2">
      <c r="A36" s="145"/>
      <c r="B36" s="141" t="s">
        <v>851</v>
      </c>
      <c r="C36" s="142"/>
      <c r="D36" s="142"/>
      <c r="E36" s="142"/>
      <c r="F36" s="142"/>
      <c r="G36" s="143"/>
      <c r="H36" s="23">
        <v>30</v>
      </c>
      <c r="I36" s="31">
        <v>7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1</v>
      </c>
      <c r="Z36" s="31">
        <v>1</v>
      </c>
      <c r="AA36" s="31">
        <v>0</v>
      </c>
      <c r="AB36" s="31">
        <v>7</v>
      </c>
    </row>
    <row r="37" spans="1:28" ht="24" customHeight="1" x14ac:dyDescent="0.2">
      <c r="A37" s="145"/>
      <c r="B37" s="174" t="s">
        <v>394</v>
      </c>
      <c r="C37" s="175"/>
      <c r="D37" s="175"/>
      <c r="E37" s="175"/>
      <c r="F37" s="175"/>
      <c r="G37" s="176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1.5" customHeight="1" x14ac:dyDescent="0.2">
      <c r="A38" s="145"/>
      <c r="B38" s="174" t="s">
        <v>852</v>
      </c>
      <c r="C38" s="175"/>
      <c r="D38" s="175"/>
      <c r="E38" s="175"/>
      <c r="F38" s="175"/>
      <c r="G38" s="176"/>
      <c r="H38" s="23">
        <v>32</v>
      </c>
      <c r="I38" s="31">
        <v>1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1</v>
      </c>
    </row>
    <row r="39" spans="1:28" ht="19.5" customHeight="1" x14ac:dyDescent="0.2">
      <c r="A39" s="145"/>
      <c r="B39" s="141" t="s">
        <v>853</v>
      </c>
      <c r="C39" s="142"/>
      <c r="D39" s="142"/>
      <c r="E39" s="142"/>
      <c r="F39" s="142"/>
      <c r="G39" s="143"/>
      <c r="H39" s="23">
        <v>33</v>
      </c>
      <c r="I39" s="31">
        <v>23</v>
      </c>
      <c r="J39" s="31">
        <v>4</v>
      </c>
      <c r="K39" s="31">
        <v>0</v>
      </c>
      <c r="L39" s="31">
        <v>0</v>
      </c>
      <c r="M39" s="31">
        <v>0</v>
      </c>
      <c r="N39" s="31">
        <v>0</v>
      </c>
      <c r="O39" s="31">
        <v>4</v>
      </c>
      <c r="P39" s="31">
        <v>4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1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19</v>
      </c>
    </row>
    <row r="40" spans="1:28" ht="19.5" customHeight="1" x14ac:dyDescent="0.2">
      <c r="A40" s="145"/>
      <c r="B40" s="141" t="s">
        <v>854</v>
      </c>
      <c r="C40" s="142"/>
      <c r="D40" s="142"/>
      <c r="E40" s="142"/>
      <c r="F40" s="142"/>
      <c r="G40" s="143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7" customHeight="1" x14ac:dyDescent="0.2">
      <c r="A41" s="145"/>
      <c r="B41" s="141" t="s">
        <v>399</v>
      </c>
      <c r="C41" s="142"/>
      <c r="D41" s="142"/>
      <c r="E41" s="142"/>
      <c r="F41" s="142"/>
      <c r="G41" s="143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8.5" customHeight="1" x14ac:dyDescent="0.2">
      <c r="A42" s="145"/>
      <c r="B42" s="141" t="s">
        <v>400</v>
      </c>
      <c r="C42" s="142"/>
      <c r="D42" s="142"/>
      <c r="E42" s="142"/>
      <c r="F42" s="142"/>
      <c r="G42" s="143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7" customHeight="1" x14ac:dyDescent="0.2">
      <c r="A43" s="145"/>
      <c r="B43" s="141" t="s">
        <v>402</v>
      </c>
      <c r="C43" s="142"/>
      <c r="D43" s="142"/>
      <c r="E43" s="142"/>
      <c r="F43" s="142"/>
      <c r="G43" s="143"/>
      <c r="H43" s="23">
        <v>37</v>
      </c>
      <c r="I43" s="31">
        <v>51</v>
      </c>
      <c r="J43" s="31">
        <v>19</v>
      </c>
      <c r="K43" s="31">
        <v>0</v>
      </c>
      <c r="L43" s="31">
        <v>0</v>
      </c>
      <c r="M43" s="31">
        <v>0</v>
      </c>
      <c r="N43" s="31">
        <v>0</v>
      </c>
      <c r="O43" s="31">
        <v>19</v>
      </c>
      <c r="P43" s="31">
        <v>19</v>
      </c>
      <c r="Q43" s="31">
        <v>0</v>
      </c>
      <c r="R43" s="31">
        <v>0</v>
      </c>
      <c r="S43" s="31">
        <v>0</v>
      </c>
      <c r="T43" s="31">
        <v>0</v>
      </c>
      <c r="U43" s="31">
        <v>2</v>
      </c>
      <c r="V43" s="31">
        <v>10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32</v>
      </c>
    </row>
    <row r="44" spans="1:28" ht="27" customHeight="1" x14ac:dyDescent="0.2">
      <c r="A44" s="145"/>
      <c r="B44" s="141" t="s">
        <v>855</v>
      </c>
      <c r="C44" s="142"/>
      <c r="D44" s="142"/>
      <c r="E44" s="142"/>
      <c r="F44" s="142"/>
      <c r="G44" s="143"/>
      <c r="H44" s="23">
        <v>38</v>
      </c>
      <c r="I44" s="31">
        <v>1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1</v>
      </c>
    </row>
    <row r="45" spans="1:28" ht="34.5" customHeight="1" x14ac:dyDescent="0.2">
      <c r="A45" s="145"/>
      <c r="B45" s="141" t="s">
        <v>404</v>
      </c>
      <c r="C45" s="142"/>
      <c r="D45" s="142"/>
      <c r="E45" s="142"/>
      <c r="F45" s="142"/>
      <c r="G45" s="143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2.5" customHeight="1" x14ac:dyDescent="0.2">
      <c r="A46" s="145"/>
      <c r="B46" s="141" t="s">
        <v>856</v>
      </c>
      <c r="C46" s="142"/>
      <c r="D46" s="142"/>
      <c r="E46" s="142"/>
      <c r="F46" s="142"/>
      <c r="G46" s="143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2.5" customHeight="1" x14ac:dyDescent="0.2">
      <c r="A47" s="145"/>
      <c r="B47" s="141" t="s">
        <v>857</v>
      </c>
      <c r="C47" s="142"/>
      <c r="D47" s="142"/>
      <c r="E47" s="142"/>
      <c r="F47" s="142"/>
      <c r="G47" s="143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2.5" customHeight="1" x14ac:dyDescent="0.2">
      <c r="A48" s="145"/>
      <c r="B48" s="141" t="s">
        <v>407</v>
      </c>
      <c r="C48" s="142"/>
      <c r="D48" s="142"/>
      <c r="E48" s="142"/>
      <c r="F48" s="142"/>
      <c r="G48" s="143"/>
      <c r="H48" s="23">
        <v>42</v>
      </c>
      <c r="I48" s="31">
        <v>2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2</v>
      </c>
    </row>
    <row r="49" spans="1:28" ht="31.5" customHeight="1" x14ac:dyDescent="0.2">
      <c r="A49" s="145"/>
      <c r="B49" s="310" t="s">
        <v>858</v>
      </c>
      <c r="C49" s="311"/>
      <c r="D49" s="311"/>
      <c r="E49" s="311"/>
      <c r="F49" s="311"/>
      <c r="G49" s="312"/>
      <c r="H49" s="23">
        <v>43</v>
      </c>
      <c r="I49" s="31">
        <v>72</v>
      </c>
      <c r="J49" s="31">
        <v>36</v>
      </c>
      <c r="K49" s="31">
        <v>0</v>
      </c>
      <c r="L49" s="31">
        <v>0</v>
      </c>
      <c r="M49" s="31">
        <v>0</v>
      </c>
      <c r="N49" s="31">
        <v>0</v>
      </c>
      <c r="O49" s="31">
        <v>27</v>
      </c>
      <c r="P49" s="31">
        <v>27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45</v>
      </c>
    </row>
    <row r="50" spans="1:28" ht="27.75" customHeight="1" x14ac:dyDescent="0.2">
      <c r="A50" s="145"/>
      <c r="B50" s="141" t="s">
        <v>859</v>
      </c>
      <c r="C50" s="142"/>
      <c r="D50" s="142"/>
      <c r="E50" s="142"/>
      <c r="F50" s="142"/>
      <c r="G50" s="143"/>
      <c r="H50" s="23">
        <v>44</v>
      </c>
      <c r="I50" s="31">
        <v>67</v>
      </c>
      <c r="J50" s="31">
        <v>35</v>
      </c>
      <c r="K50" s="31">
        <v>0</v>
      </c>
      <c r="L50" s="31">
        <v>0</v>
      </c>
      <c r="M50" s="31">
        <v>0</v>
      </c>
      <c r="N50" s="31">
        <v>0</v>
      </c>
      <c r="O50" s="31">
        <v>27</v>
      </c>
      <c r="P50" s="31">
        <v>27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1</v>
      </c>
      <c r="Z50" s="31">
        <v>1</v>
      </c>
      <c r="AA50" s="31">
        <v>0</v>
      </c>
      <c r="AB50" s="31">
        <v>40</v>
      </c>
    </row>
    <row r="51" spans="1:28" ht="18.75" customHeight="1" x14ac:dyDescent="0.2">
      <c r="A51" s="145"/>
      <c r="B51" s="216" t="s">
        <v>34</v>
      </c>
      <c r="C51" s="138" t="s">
        <v>656</v>
      </c>
      <c r="D51" s="139"/>
      <c r="E51" s="139"/>
      <c r="F51" s="139"/>
      <c r="G51" s="140"/>
      <c r="H51" s="23">
        <v>45</v>
      </c>
      <c r="I51" s="31">
        <v>19</v>
      </c>
      <c r="J51" s="31">
        <v>10</v>
      </c>
      <c r="K51" s="31">
        <v>0</v>
      </c>
      <c r="L51" s="31">
        <v>0</v>
      </c>
      <c r="M51" s="31">
        <v>0</v>
      </c>
      <c r="N51" s="31">
        <v>0</v>
      </c>
      <c r="O51" s="31">
        <v>7</v>
      </c>
      <c r="P51" s="31">
        <v>7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12</v>
      </c>
    </row>
    <row r="52" spans="1:28" ht="18.75" customHeight="1" x14ac:dyDescent="0.2">
      <c r="A52" s="145"/>
      <c r="B52" s="217"/>
      <c r="C52" s="174" t="s">
        <v>657</v>
      </c>
      <c r="D52" s="175"/>
      <c r="E52" s="175"/>
      <c r="F52" s="175"/>
      <c r="G52" s="176"/>
      <c r="H52" s="23">
        <v>46</v>
      </c>
      <c r="I52" s="31">
        <v>48</v>
      </c>
      <c r="J52" s="31">
        <v>25</v>
      </c>
      <c r="K52" s="31">
        <v>0</v>
      </c>
      <c r="L52" s="31">
        <v>0</v>
      </c>
      <c r="M52" s="31">
        <v>0</v>
      </c>
      <c r="N52" s="31">
        <v>0</v>
      </c>
      <c r="O52" s="31">
        <v>20</v>
      </c>
      <c r="P52" s="31">
        <v>20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1</v>
      </c>
      <c r="Z52" s="31">
        <v>1</v>
      </c>
      <c r="AA52" s="31">
        <v>0</v>
      </c>
      <c r="AB52" s="31">
        <v>28</v>
      </c>
    </row>
    <row r="53" spans="1:28" ht="30.75" customHeight="1" x14ac:dyDescent="0.2">
      <c r="A53" s="145"/>
      <c r="B53" s="310" t="s">
        <v>111</v>
      </c>
      <c r="C53" s="311"/>
      <c r="D53" s="311"/>
      <c r="E53" s="311"/>
      <c r="F53" s="311"/>
      <c r="G53" s="312"/>
      <c r="H53" s="23">
        <v>47</v>
      </c>
      <c r="I53" s="31">
        <v>74</v>
      </c>
      <c r="J53" s="31">
        <v>34</v>
      </c>
      <c r="K53" s="31">
        <v>0</v>
      </c>
      <c r="L53" s="31">
        <v>0</v>
      </c>
      <c r="M53" s="31">
        <v>0</v>
      </c>
      <c r="N53" s="31">
        <v>0</v>
      </c>
      <c r="O53" s="31">
        <v>16</v>
      </c>
      <c r="P53" s="31">
        <v>15</v>
      </c>
      <c r="Q53" s="31">
        <v>1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3</v>
      </c>
      <c r="Z53" s="31">
        <v>3</v>
      </c>
      <c r="AA53" s="31">
        <v>0</v>
      </c>
      <c r="AB53" s="31">
        <v>58</v>
      </c>
    </row>
    <row r="54" spans="1:28" ht="21" customHeight="1" x14ac:dyDescent="0.2">
      <c r="A54" s="145"/>
      <c r="B54" s="141" t="s">
        <v>672</v>
      </c>
      <c r="C54" s="142"/>
      <c r="D54" s="142"/>
      <c r="E54" s="142"/>
      <c r="F54" s="142"/>
      <c r="G54" s="143"/>
      <c r="H54" s="23">
        <v>48</v>
      </c>
      <c r="I54" s="31">
        <v>27</v>
      </c>
      <c r="J54" s="31">
        <v>7</v>
      </c>
      <c r="K54" s="31">
        <v>0</v>
      </c>
      <c r="L54" s="31">
        <v>0</v>
      </c>
      <c r="M54" s="31">
        <v>0</v>
      </c>
      <c r="N54" s="31">
        <v>0</v>
      </c>
      <c r="O54" s="31">
        <v>3</v>
      </c>
      <c r="P54" s="31">
        <v>3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2</v>
      </c>
      <c r="Z54" s="31">
        <v>2</v>
      </c>
      <c r="AA54" s="31">
        <v>0</v>
      </c>
      <c r="AB54" s="31">
        <v>24</v>
      </c>
    </row>
    <row r="55" spans="1:28" ht="21.75" customHeight="1" x14ac:dyDescent="0.2">
      <c r="A55" s="145"/>
      <c r="B55" s="175" t="s">
        <v>860</v>
      </c>
      <c r="C55" s="175"/>
      <c r="D55" s="175"/>
      <c r="E55" s="175"/>
      <c r="F55" s="175"/>
      <c r="G55" s="176"/>
      <c r="H55" s="23">
        <v>49</v>
      </c>
      <c r="I55" s="31">
        <v>41</v>
      </c>
      <c r="J55" s="31">
        <v>24</v>
      </c>
      <c r="K55" s="31">
        <v>0</v>
      </c>
      <c r="L55" s="31">
        <v>0</v>
      </c>
      <c r="M55" s="31">
        <v>0</v>
      </c>
      <c r="N55" s="31">
        <v>0</v>
      </c>
      <c r="O55" s="31">
        <v>12</v>
      </c>
      <c r="P55" s="31">
        <v>11</v>
      </c>
      <c r="Q55" s="31">
        <v>1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1</v>
      </c>
      <c r="Z55" s="31">
        <v>1</v>
      </c>
      <c r="AA55" s="31">
        <v>0</v>
      </c>
      <c r="AB55" s="31">
        <v>29</v>
      </c>
    </row>
    <row r="56" spans="1:28" ht="21.75" customHeight="1" x14ac:dyDescent="0.2">
      <c r="A56" s="145"/>
      <c r="B56" s="175" t="s">
        <v>861</v>
      </c>
      <c r="C56" s="175"/>
      <c r="D56" s="175"/>
      <c r="E56" s="175"/>
      <c r="F56" s="175"/>
      <c r="G56" s="176"/>
      <c r="H56" s="23">
        <v>50</v>
      </c>
      <c r="I56" s="31">
        <v>2</v>
      </c>
      <c r="J56" s="31">
        <v>1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6.25" customHeight="1" x14ac:dyDescent="0.2">
      <c r="A57" s="145"/>
      <c r="B57" s="175" t="s">
        <v>689</v>
      </c>
      <c r="C57" s="175"/>
      <c r="D57" s="175"/>
      <c r="E57" s="175"/>
      <c r="F57" s="175"/>
      <c r="G57" s="176"/>
      <c r="H57" s="23">
        <v>51</v>
      </c>
      <c r="I57" s="31">
        <v>2</v>
      </c>
      <c r="J57" s="31">
        <v>1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2</v>
      </c>
    </row>
    <row r="58" spans="1:28" ht="21.75" customHeight="1" x14ac:dyDescent="0.2">
      <c r="A58" s="145"/>
      <c r="B58" s="310" t="s">
        <v>112</v>
      </c>
      <c r="C58" s="311"/>
      <c r="D58" s="311"/>
      <c r="E58" s="311"/>
      <c r="F58" s="311"/>
      <c r="G58" s="312"/>
      <c r="H58" s="23">
        <v>52</v>
      </c>
      <c r="I58" s="31">
        <v>7</v>
      </c>
      <c r="J58" s="31">
        <v>1</v>
      </c>
      <c r="K58" s="31">
        <v>0</v>
      </c>
      <c r="L58" s="31">
        <v>0</v>
      </c>
      <c r="M58" s="31">
        <v>0</v>
      </c>
      <c r="N58" s="31">
        <v>0</v>
      </c>
      <c r="O58" s="31">
        <v>1</v>
      </c>
      <c r="P58" s="31">
        <v>1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6</v>
      </c>
    </row>
    <row r="59" spans="1:28" ht="27" customHeight="1" x14ac:dyDescent="0.2">
      <c r="A59" s="145"/>
      <c r="B59" s="138" t="s">
        <v>862</v>
      </c>
      <c r="C59" s="139"/>
      <c r="D59" s="139"/>
      <c r="E59" s="139"/>
      <c r="F59" s="139"/>
      <c r="G59" s="140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0.25" customHeight="1" x14ac:dyDescent="0.2">
      <c r="A60" s="145"/>
      <c r="B60" s="190" t="s">
        <v>32</v>
      </c>
      <c r="C60" s="138" t="s">
        <v>713</v>
      </c>
      <c r="D60" s="139"/>
      <c r="E60" s="139"/>
      <c r="F60" s="139"/>
      <c r="G60" s="140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0.25" customHeight="1" x14ac:dyDescent="0.2">
      <c r="A61" s="145"/>
      <c r="B61" s="191"/>
      <c r="C61" s="139" t="s">
        <v>714</v>
      </c>
      <c r="D61" s="139"/>
      <c r="E61" s="139"/>
      <c r="F61" s="139"/>
      <c r="G61" s="140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40.5" customHeight="1" x14ac:dyDescent="0.2">
      <c r="A62" s="145"/>
      <c r="B62" s="141" t="s">
        <v>863</v>
      </c>
      <c r="C62" s="142"/>
      <c r="D62" s="142"/>
      <c r="E62" s="142"/>
      <c r="F62" s="142"/>
      <c r="G62" s="143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45"/>
      <c r="B63" s="190" t="s">
        <v>32</v>
      </c>
      <c r="C63" s="138" t="s">
        <v>716</v>
      </c>
      <c r="D63" s="139"/>
      <c r="E63" s="139"/>
      <c r="F63" s="139"/>
      <c r="G63" s="140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45"/>
      <c r="B64" s="191"/>
      <c r="C64" s="139" t="s">
        <v>717</v>
      </c>
      <c r="D64" s="139"/>
      <c r="E64" s="139"/>
      <c r="F64" s="139"/>
      <c r="G64" s="140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40.5" customHeight="1" x14ac:dyDescent="0.2">
      <c r="A65" s="145"/>
      <c r="B65" s="141" t="s">
        <v>864</v>
      </c>
      <c r="C65" s="142"/>
      <c r="D65" s="142"/>
      <c r="E65" s="142"/>
      <c r="F65" s="142"/>
      <c r="G65" s="143"/>
      <c r="H65" s="23">
        <v>59</v>
      </c>
      <c r="I65" s="31">
        <v>5</v>
      </c>
      <c r="J65" s="31">
        <v>1</v>
      </c>
      <c r="K65" s="31">
        <v>0</v>
      </c>
      <c r="L65" s="31">
        <v>0</v>
      </c>
      <c r="M65" s="31">
        <v>0</v>
      </c>
      <c r="N65" s="31">
        <v>0</v>
      </c>
      <c r="O65" s="31">
        <v>1</v>
      </c>
      <c r="P65" s="31">
        <v>1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4</v>
      </c>
    </row>
    <row r="66" spans="1:28" ht="22.5" customHeight="1" x14ac:dyDescent="0.2">
      <c r="A66" s="145"/>
      <c r="B66" s="141" t="s">
        <v>865</v>
      </c>
      <c r="C66" s="142"/>
      <c r="D66" s="142"/>
      <c r="E66" s="142"/>
      <c r="F66" s="142"/>
      <c r="G66" s="143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6"/>
      <c r="B67" s="304" t="s">
        <v>179</v>
      </c>
      <c r="C67" s="305"/>
      <c r="D67" s="305"/>
      <c r="E67" s="305"/>
      <c r="F67" s="305"/>
      <c r="G67" s="306"/>
      <c r="H67" s="23">
        <v>61</v>
      </c>
      <c r="I67" s="31">
        <v>22</v>
      </c>
      <c r="J67" s="31">
        <v>2</v>
      </c>
      <c r="K67" s="31">
        <v>0</v>
      </c>
      <c r="L67" s="31">
        <v>0</v>
      </c>
      <c r="M67" s="31">
        <v>0</v>
      </c>
      <c r="N67" s="31">
        <v>0</v>
      </c>
      <c r="O67" s="31">
        <v>2</v>
      </c>
      <c r="P67" s="31">
        <v>2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20</v>
      </c>
    </row>
    <row r="68" spans="1:28" ht="21" customHeight="1" x14ac:dyDescent="0.2">
      <c r="A68" s="304" t="s">
        <v>115</v>
      </c>
      <c r="B68" s="305"/>
      <c r="C68" s="305"/>
      <c r="D68" s="305"/>
      <c r="E68" s="305"/>
      <c r="F68" s="305"/>
      <c r="G68" s="305"/>
      <c r="H68" s="23">
        <v>62</v>
      </c>
      <c r="I68" s="31">
        <f t="shared" ref="I68:AB68" si="0">SUM(I7:I67)</f>
        <v>5977</v>
      </c>
      <c r="J68" s="31">
        <f t="shared" si="0"/>
        <v>1381</v>
      </c>
      <c r="K68" s="31">
        <f t="shared" si="0"/>
        <v>0</v>
      </c>
      <c r="L68" s="31">
        <f t="shared" si="0"/>
        <v>0</v>
      </c>
      <c r="M68" s="31">
        <f t="shared" si="0"/>
        <v>0</v>
      </c>
      <c r="N68" s="31">
        <f t="shared" si="0"/>
        <v>0</v>
      </c>
      <c r="O68" s="31">
        <f t="shared" si="0"/>
        <v>1157</v>
      </c>
      <c r="P68" s="31">
        <f t="shared" si="0"/>
        <v>933</v>
      </c>
      <c r="Q68" s="31">
        <f t="shared" si="0"/>
        <v>224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40</v>
      </c>
      <c r="V68" s="31">
        <f t="shared" si="0"/>
        <v>163</v>
      </c>
      <c r="W68" s="31">
        <f t="shared" si="0"/>
        <v>0</v>
      </c>
      <c r="X68" s="31">
        <f t="shared" si="0"/>
        <v>0</v>
      </c>
      <c r="Y68" s="31">
        <f t="shared" si="0"/>
        <v>295</v>
      </c>
      <c r="Z68" s="31">
        <f t="shared" si="0"/>
        <v>295</v>
      </c>
      <c r="AA68" s="31">
        <f t="shared" si="0"/>
        <v>0</v>
      </c>
      <c r="AB68" s="31">
        <f t="shared" si="0"/>
        <v>4820</v>
      </c>
    </row>
    <row r="69" spans="1:28" ht="18.75" customHeight="1" x14ac:dyDescent="0.2">
      <c r="A69" t="s">
        <v>834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77" priority="0">
      <formula>I7&lt;&gt;SUM(K7,O7)+T7+(Y7-Z7)+AB7</formula>
    </cfRule>
  </conditionalFormatting>
  <conditionalFormatting sqref="I7:AB7">
    <cfRule type="expression" dxfId="76" priority="1">
      <formula>SUM(I8:I11)&gt;I7</formula>
    </cfRule>
    <cfRule type="expression" dxfId="75" priority="1">
      <formula>SUM(I12,I18,I49,I53,I58,I67)&lt;&gt;I7</formula>
    </cfRule>
  </conditionalFormatting>
  <conditionalFormatting sqref="I12:AB12">
    <cfRule type="expression" dxfId="74" priority="2">
      <formula>SUM(I13,I16:I17)&gt;I12</formula>
    </cfRule>
  </conditionalFormatting>
  <conditionalFormatting sqref="I13:AB13 I32:AB32 I50:AB50">
    <cfRule type="expression" dxfId="73" priority="3">
      <formula>SUM(I14:I15)&lt;&gt;I13</formula>
    </cfRule>
  </conditionalFormatting>
  <conditionalFormatting sqref="I18:AB18">
    <cfRule type="expression" dxfId="72" priority="4">
      <formula>SUM(I19:I32,I35:I48)&gt;I18</formula>
    </cfRule>
  </conditionalFormatting>
  <conditionalFormatting sqref="I49:AB49">
    <cfRule type="expression" dxfId="71" priority="5">
      <formula>I50&gt;I49</formula>
    </cfRule>
  </conditionalFormatting>
  <conditionalFormatting sqref="I53:AB53">
    <cfRule type="expression" dxfId="70" priority="6">
      <formula>SUM(I54:I57)&gt;I53</formula>
    </cfRule>
  </conditionalFormatting>
  <conditionalFormatting sqref="I58:AB58">
    <cfRule type="expression" dxfId="69" priority="7">
      <formula>SUM(I59,I62,I65:I66)&gt;I58</formula>
    </cfRule>
  </conditionalFormatting>
  <conditionalFormatting sqref="I59:AB59">
    <cfRule type="expression" dxfId="68" priority="8">
      <formula>SUM(I60:I61)&lt;&gt;I59</formula>
    </cfRule>
  </conditionalFormatting>
  <conditionalFormatting sqref="I62:AB62">
    <cfRule type="expression" dxfId="67" priority="9">
      <formula>SUM(I63:I64)&lt;&gt;I62</formula>
    </cfRule>
  </conditionalFormatting>
  <conditionalFormatting sqref="K7:K68">
    <cfRule type="expression" dxfId="66" priority="10">
      <formula>SUM(L7:N7)&gt;K7</formula>
    </cfRule>
  </conditionalFormatting>
  <conditionalFormatting sqref="O7:O67">
    <cfRule type="expression" dxfId="65" priority="11">
      <formula>SUM(P7:S7)&lt;&gt;O7</formula>
    </cfRule>
  </conditionalFormatting>
  <conditionalFormatting sqref="Y7:Y67">
    <cfRule type="expression" dxfId="64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90" zoomScaleNormal="100" zoomScaleSheetLayoutView="9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39.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41" t="s">
        <v>866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</row>
    <row r="2" spans="1:28" ht="19.5" customHeight="1" x14ac:dyDescent="0.25">
      <c r="A2" s="241" t="s">
        <v>867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8" t="s">
        <v>1148</v>
      </c>
      <c r="J3" s="168" t="s">
        <v>16</v>
      </c>
      <c r="K3" s="168" t="s">
        <v>17</v>
      </c>
      <c r="L3" s="171" t="s">
        <v>18</v>
      </c>
      <c r="M3" s="172"/>
      <c r="N3" s="173"/>
      <c r="O3" s="168" t="s">
        <v>19</v>
      </c>
      <c r="P3" s="171" t="s">
        <v>20</v>
      </c>
      <c r="Q3" s="172"/>
      <c r="R3" s="172"/>
      <c r="S3" s="173"/>
      <c r="T3" s="168" t="s">
        <v>21</v>
      </c>
      <c r="U3" s="171" t="s">
        <v>22</v>
      </c>
      <c r="V3" s="172"/>
      <c r="W3" s="172"/>
      <c r="X3" s="173"/>
      <c r="Y3" s="171" t="s">
        <v>23</v>
      </c>
      <c r="Z3" s="172"/>
      <c r="AA3" s="173"/>
      <c r="AB3" s="168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0"/>
      <c r="J4" s="170"/>
      <c r="K4" s="170"/>
      <c r="L4" s="168" t="s">
        <v>25</v>
      </c>
      <c r="M4" s="168" t="s">
        <v>26</v>
      </c>
      <c r="N4" s="168" t="s">
        <v>27</v>
      </c>
      <c r="O4" s="170"/>
      <c r="P4" s="168" t="s">
        <v>28</v>
      </c>
      <c r="Q4" s="168" t="s">
        <v>29</v>
      </c>
      <c r="R4" s="168" t="s">
        <v>30</v>
      </c>
      <c r="S4" s="168" t="s">
        <v>31</v>
      </c>
      <c r="T4" s="170"/>
      <c r="U4" s="171" t="s">
        <v>32</v>
      </c>
      <c r="V4" s="172"/>
      <c r="W4" s="172"/>
      <c r="X4" s="173"/>
      <c r="Y4" s="168" t="s">
        <v>33</v>
      </c>
      <c r="Z4" s="171" t="s">
        <v>34</v>
      </c>
      <c r="AA4" s="173"/>
      <c r="AB4" s="170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9" t="s">
        <v>35</v>
      </c>
      <c r="V5" s="16" t="s">
        <v>36</v>
      </c>
      <c r="W5" s="16" t="s">
        <v>37</v>
      </c>
      <c r="X5" s="16" t="s">
        <v>38</v>
      </c>
      <c r="Y5" s="169"/>
      <c r="Z5" s="18" t="s">
        <v>39</v>
      </c>
      <c r="AA5" s="17" t="s">
        <v>40</v>
      </c>
      <c r="AB5" s="169"/>
    </row>
    <row r="6" spans="1:28" ht="15.75" customHeight="1" x14ac:dyDescent="0.2">
      <c r="A6" s="150" t="s">
        <v>41</v>
      </c>
      <c r="B6" s="151"/>
      <c r="C6" s="151"/>
      <c r="D6" s="151"/>
      <c r="E6" s="151"/>
      <c r="F6" s="151"/>
      <c r="G6" s="15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3" t="s">
        <v>43</v>
      </c>
      <c r="B7" s="154"/>
      <c r="C7" s="154"/>
      <c r="D7" s="154"/>
      <c r="E7" s="154"/>
      <c r="F7" s="154"/>
      <c r="G7" s="155"/>
      <c r="H7" s="23">
        <v>1</v>
      </c>
      <c r="I7" s="24">
        <v>23864</v>
      </c>
      <c r="J7" s="24">
        <v>2060</v>
      </c>
      <c r="K7" s="24">
        <v>92</v>
      </c>
      <c r="L7" s="24">
        <v>0</v>
      </c>
      <c r="M7" s="24">
        <v>91</v>
      </c>
      <c r="N7" s="24">
        <v>1</v>
      </c>
      <c r="O7" s="24">
        <v>992</v>
      </c>
      <c r="P7" s="24">
        <v>984</v>
      </c>
      <c r="Q7" s="24">
        <v>1</v>
      </c>
      <c r="R7" s="24">
        <v>5</v>
      </c>
      <c r="S7" s="24">
        <v>2</v>
      </c>
      <c r="T7" s="24">
        <v>0</v>
      </c>
      <c r="U7" s="24">
        <v>34</v>
      </c>
      <c r="V7" s="24">
        <v>82</v>
      </c>
      <c r="W7" s="24">
        <v>5</v>
      </c>
      <c r="X7" s="24">
        <v>36</v>
      </c>
      <c r="Y7" s="24">
        <v>19</v>
      </c>
      <c r="Z7" s="24">
        <v>19</v>
      </c>
      <c r="AA7" s="24">
        <v>0</v>
      </c>
      <c r="AB7" s="24">
        <v>22780</v>
      </c>
    </row>
    <row r="8" spans="1:28" ht="19.5" customHeight="1" x14ac:dyDescent="0.2">
      <c r="A8" s="156" t="s">
        <v>20</v>
      </c>
      <c r="B8" s="157"/>
      <c r="C8" s="158"/>
      <c r="D8" s="165" t="s">
        <v>51</v>
      </c>
      <c r="E8" s="166"/>
      <c r="F8" s="166"/>
      <c r="G8" s="167"/>
      <c r="H8" s="23">
        <v>2</v>
      </c>
      <c r="I8" s="24">
        <v>20734</v>
      </c>
      <c r="J8" s="24">
        <v>672</v>
      </c>
      <c r="K8" s="24">
        <v>20</v>
      </c>
      <c r="L8" s="24">
        <v>0</v>
      </c>
      <c r="M8" s="24">
        <v>19</v>
      </c>
      <c r="N8" s="24">
        <v>1</v>
      </c>
      <c r="O8" s="24">
        <v>333</v>
      </c>
      <c r="P8" s="24">
        <v>331</v>
      </c>
      <c r="Q8" s="24">
        <v>1</v>
      </c>
      <c r="R8" s="24">
        <v>1</v>
      </c>
      <c r="S8" s="24">
        <v>0</v>
      </c>
      <c r="T8" s="24">
        <v>0</v>
      </c>
      <c r="U8" s="24">
        <v>14</v>
      </c>
      <c r="V8" s="24">
        <v>32</v>
      </c>
      <c r="W8" s="24">
        <v>1</v>
      </c>
      <c r="X8" s="24">
        <v>12</v>
      </c>
      <c r="Y8" s="24">
        <v>3</v>
      </c>
      <c r="Z8" s="24">
        <v>3</v>
      </c>
      <c r="AA8" s="24">
        <v>0</v>
      </c>
      <c r="AB8" s="24">
        <v>20381</v>
      </c>
    </row>
    <row r="9" spans="1:28" ht="19.5" customHeight="1" x14ac:dyDescent="0.2">
      <c r="A9" s="159"/>
      <c r="B9" s="160"/>
      <c r="C9" s="161"/>
      <c r="D9" s="165" t="s">
        <v>52</v>
      </c>
      <c r="E9" s="166"/>
      <c r="F9" s="166"/>
      <c r="G9" s="167"/>
      <c r="H9" s="23">
        <v>3</v>
      </c>
      <c r="I9" s="24">
        <v>2134</v>
      </c>
      <c r="J9" s="24">
        <v>891</v>
      </c>
      <c r="K9" s="24">
        <v>65</v>
      </c>
      <c r="L9" s="24">
        <v>0</v>
      </c>
      <c r="M9" s="24">
        <v>65</v>
      </c>
      <c r="N9" s="24">
        <v>0</v>
      </c>
      <c r="O9" s="24">
        <v>435</v>
      </c>
      <c r="P9" s="24">
        <v>430</v>
      </c>
      <c r="Q9" s="24">
        <v>0</v>
      </c>
      <c r="R9" s="24">
        <v>3</v>
      </c>
      <c r="S9" s="24">
        <v>2</v>
      </c>
      <c r="T9" s="24">
        <v>0</v>
      </c>
      <c r="U9" s="24">
        <v>12</v>
      </c>
      <c r="V9" s="24">
        <v>40</v>
      </c>
      <c r="W9" s="24">
        <v>3</v>
      </c>
      <c r="X9" s="24">
        <v>23</v>
      </c>
      <c r="Y9" s="24">
        <v>5</v>
      </c>
      <c r="Z9" s="24">
        <v>5</v>
      </c>
      <c r="AA9" s="24">
        <v>0</v>
      </c>
      <c r="AB9" s="24">
        <v>1634</v>
      </c>
    </row>
    <row r="10" spans="1:28" ht="19.5" customHeight="1" x14ac:dyDescent="0.2">
      <c r="A10" s="159"/>
      <c r="B10" s="160"/>
      <c r="C10" s="161"/>
      <c r="D10" s="165" t="s">
        <v>182</v>
      </c>
      <c r="E10" s="166"/>
      <c r="F10" s="166"/>
      <c r="G10" s="167"/>
      <c r="H10" s="23">
        <v>4</v>
      </c>
      <c r="I10" s="24">
        <v>928</v>
      </c>
      <c r="J10" s="24">
        <v>454</v>
      </c>
      <c r="K10" s="24">
        <v>6</v>
      </c>
      <c r="L10" s="24">
        <v>0</v>
      </c>
      <c r="M10" s="24">
        <v>6</v>
      </c>
      <c r="N10" s="24">
        <v>0</v>
      </c>
      <c r="O10" s="24">
        <v>202</v>
      </c>
      <c r="P10" s="24">
        <v>201</v>
      </c>
      <c r="Q10" s="24">
        <v>0</v>
      </c>
      <c r="R10" s="24">
        <v>1</v>
      </c>
      <c r="S10" s="24">
        <v>0</v>
      </c>
      <c r="T10" s="24">
        <v>0</v>
      </c>
      <c r="U10" s="24">
        <v>6</v>
      </c>
      <c r="V10" s="24">
        <v>10</v>
      </c>
      <c r="W10" s="24">
        <v>1</v>
      </c>
      <c r="X10" s="24">
        <v>1</v>
      </c>
      <c r="Y10" s="24">
        <v>10</v>
      </c>
      <c r="Z10" s="24">
        <v>10</v>
      </c>
      <c r="AA10" s="24">
        <v>0</v>
      </c>
      <c r="AB10" s="24">
        <v>720</v>
      </c>
    </row>
    <row r="11" spans="1:28" ht="19.5" customHeight="1" x14ac:dyDescent="0.2">
      <c r="A11" s="162"/>
      <c r="B11" s="163"/>
      <c r="C11" s="164"/>
      <c r="D11" s="165" t="s">
        <v>49</v>
      </c>
      <c r="E11" s="166"/>
      <c r="F11" s="166"/>
      <c r="G11" s="167"/>
      <c r="H11" s="23">
        <v>5</v>
      </c>
      <c r="I11" s="24">
        <v>67</v>
      </c>
      <c r="J11" s="24">
        <v>42</v>
      </c>
      <c r="K11" s="24">
        <v>1</v>
      </c>
      <c r="L11" s="24">
        <v>0</v>
      </c>
      <c r="M11" s="24">
        <v>1</v>
      </c>
      <c r="N11" s="24">
        <v>0</v>
      </c>
      <c r="O11" s="24">
        <v>21</v>
      </c>
      <c r="P11" s="24">
        <v>21</v>
      </c>
      <c r="Q11" s="24">
        <v>0</v>
      </c>
      <c r="R11" s="24">
        <v>0</v>
      </c>
      <c r="S11" s="24">
        <v>0</v>
      </c>
      <c r="T11" s="24">
        <v>0</v>
      </c>
      <c r="U11" s="24">
        <v>2</v>
      </c>
      <c r="V11" s="24">
        <v>0</v>
      </c>
      <c r="W11" s="24">
        <v>0</v>
      </c>
      <c r="X11" s="24">
        <v>0</v>
      </c>
      <c r="Y11" s="24">
        <v>1</v>
      </c>
      <c r="Z11" s="24">
        <v>1</v>
      </c>
      <c r="AA11" s="24">
        <v>0</v>
      </c>
      <c r="AB11" s="24">
        <v>45</v>
      </c>
    </row>
    <row r="12" spans="1:28" ht="32.25" customHeight="1" x14ac:dyDescent="0.2">
      <c r="A12" s="144" t="s">
        <v>165</v>
      </c>
      <c r="B12" s="153" t="s">
        <v>95</v>
      </c>
      <c r="C12" s="154"/>
      <c r="D12" s="154"/>
      <c r="E12" s="154"/>
      <c r="F12" s="154"/>
      <c r="G12" s="155"/>
      <c r="H12" s="23">
        <v>6</v>
      </c>
      <c r="I12" s="24">
        <v>2797</v>
      </c>
      <c r="J12" s="24">
        <v>943</v>
      </c>
      <c r="K12" s="24">
        <v>60</v>
      </c>
      <c r="L12" s="24">
        <v>0</v>
      </c>
      <c r="M12" s="24">
        <v>60</v>
      </c>
      <c r="N12" s="24">
        <v>0</v>
      </c>
      <c r="O12" s="24">
        <v>508</v>
      </c>
      <c r="P12" s="24">
        <v>505</v>
      </c>
      <c r="Q12" s="24">
        <v>1</v>
      </c>
      <c r="R12" s="24">
        <v>0</v>
      </c>
      <c r="S12" s="24">
        <v>2</v>
      </c>
      <c r="T12" s="24">
        <v>0</v>
      </c>
      <c r="U12" s="24">
        <v>17</v>
      </c>
      <c r="V12" s="24">
        <v>32</v>
      </c>
      <c r="W12" s="24">
        <v>3</v>
      </c>
      <c r="X12" s="24">
        <v>14</v>
      </c>
      <c r="Y12" s="24">
        <v>5</v>
      </c>
      <c r="Z12" s="24">
        <v>5</v>
      </c>
      <c r="AA12" s="24">
        <v>0</v>
      </c>
      <c r="AB12" s="24">
        <v>2229</v>
      </c>
    </row>
    <row r="13" spans="1:28" ht="42" customHeight="1" x14ac:dyDescent="0.2">
      <c r="A13" s="145"/>
      <c r="B13" s="141" t="s">
        <v>868</v>
      </c>
      <c r="C13" s="142"/>
      <c r="D13" s="142"/>
      <c r="E13" s="142"/>
      <c r="F13" s="142"/>
      <c r="G13" s="143"/>
      <c r="H13" s="23">
        <v>7</v>
      </c>
      <c r="I13" s="24">
        <v>52</v>
      </c>
      <c r="J13" s="24">
        <v>27</v>
      </c>
      <c r="K13" s="24">
        <v>1</v>
      </c>
      <c r="L13" s="24">
        <v>0</v>
      </c>
      <c r="M13" s="24">
        <v>1</v>
      </c>
      <c r="N13" s="24">
        <v>0</v>
      </c>
      <c r="O13" s="24">
        <v>22</v>
      </c>
      <c r="P13" s="24">
        <v>22</v>
      </c>
      <c r="Q13" s="24">
        <v>0</v>
      </c>
      <c r="R13" s="24">
        <v>0</v>
      </c>
      <c r="S13" s="24">
        <v>0</v>
      </c>
      <c r="T13" s="24">
        <v>0</v>
      </c>
      <c r="U13" s="24">
        <v>1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29</v>
      </c>
    </row>
    <row r="14" spans="1:28" ht="27" customHeight="1" x14ac:dyDescent="0.2">
      <c r="A14" s="145"/>
      <c r="B14" s="141" t="s">
        <v>869</v>
      </c>
      <c r="C14" s="142"/>
      <c r="D14" s="142"/>
      <c r="E14" s="142"/>
      <c r="F14" s="142"/>
      <c r="G14" s="143"/>
      <c r="H14" s="23">
        <v>8</v>
      </c>
      <c r="I14" s="24">
        <v>284</v>
      </c>
      <c r="J14" s="24">
        <v>30</v>
      </c>
      <c r="K14" s="24">
        <v>4</v>
      </c>
      <c r="L14" s="24">
        <v>0</v>
      </c>
      <c r="M14" s="24">
        <v>4</v>
      </c>
      <c r="N14" s="24">
        <v>0</v>
      </c>
      <c r="O14" s="24">
        <v>23</v>
      </c>
      <c r="P14" s="24">
        <v>23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257</v>
      </c>
    </row>
    <row r="15" spans="1:28" ht="54" customHeight="1" x14ac:dyDescent="0.2">
      <c r="A15" s="145"/>
      <c r="B15" s="141" t="s">
        <v>870</v>
      </c>
      <c r="C15" s="142"/>
      <c r="D15" s="142"/>
      <c r="E15" s="142"/>
      <c r="F15" s="142"/>
      <c r="G15" s="143"/>
      <c r="H15" s="23">
        <v>9</v>
      </c>
      <c r="I15" s="24">
        <v>31</v>
      </c>
      <c r="J15" s="24">
        <v>4</v>
      </c>
      <c r="K15" s="24">
        <v>0</v>
      </c>
      <c r="L15" s="24">
        <v>0</v>
      </c>
      <c r="M15" s="24">
        <v>0</v>
      </c>
      <c r="N15" s="24">
        <v>0</v>
      </c>
      <c r="O15" s="24">
        <v>3</v>
      </c>
      <c r="P15" s="24">
        <v>3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28</v>
      </c>
    </row>
    <row r="16" spans="1:28" ht="27" customHeight="1" x14ac:dyDescent="0.2">
      <c r="A16" s="145"/>
      <c r="B16" s="141" t="s">
        <v>871</v>
      </c>
      <c r="C16" s="142"/>
      <c r="D16" s="142"/>
      <c r="E16" s="142"/>
      <c r="F16" s="142"/>
      <c r="G16" s="143"/>
      <c r="H16" s="23">
        <v>10</v>
      </c>
      <c r="I16" s="24">
        <v>516</v>
      </c>
      <c r="J16" s="24">
        <v>257</v>
      </c>
      <c r="K16" s="24">
        <v>6</v>
      </c>
      <c r="L16" s="24">
        <v>0</v>
      </c>
      <c r="M16" s="24">
        <v>6</v>
      </c>
      <c r="N16" s="24">
        <v>0</v>
      </c>
      <c r="O16" s="24">
        <v>175</v>
      </c>
      <c r="P16" s="24">
        <v>174</v>
      </c>
      <c r="Q16" s="24">
        <v>1</v>
      </c>
      <c r="R16" s="24">
        <v>0</v>
      </c>
      <c r="S16" s="24">
        <v>0</v>
      </c>
      <c r="T16" s="24">
        <v>0</v>
      </c>
      <c r="U16" s="24">
        <v>7</v>
      </c>
      <c r="V16" s="24">
        <v>8</v>
      </c>
      <c r="W16" s="24">
        <v>1</v>
      </c>
      <c r="X16" s="80">
        <v>1</v>
      </c>
      <c r="Y16" s="24">
        <v>1</v>
      </c>
      <c r="Z16" s="24">
        <v>1</v>
      </c>
      <c r="AA16" s="24">
        <v>0</v>
      </c>
      <c r="AB16" s="24">
        <v>335</v>
      </c>
    </row>
    <row r="17" spans="1:28" ht="27" customHeight="1" x14ac:dyDescent="0.2">
      <c r="A17" s="145"/>
      <c r="B17" s="251" t="s">
        <v>170</v>
      </c>
      <c r="C17" s="252"/>
      <c r="D17" s="252"/>
      <c r="E17" s="252"/>
      <c r="F17" s="252"/>
      <c r="G17" s="253"/>
      <c r="H17" s="23">
        <v>11</v>
      </c>
      <c r="I17" s="24">
        <v>922</v>
      </c>
      <c r="J17" s="24">
        <v>238</v>
      </c>
      <c r="K17" s="24">
        <v>47</v>
      </c>
      <c r="L17" s="24">
        <v>0</v>
      </c>
      <c r="M17" s="24">
        <v>47</v>
      </c>
      <c r="N17" s="24">
        <v>0</v>
      </c>
      <c r="O17" s="24">
        <v>153</v>
      </c>
      <c r="P17" s="24">
        <v>153</v>
      </c>
      <c r="Q17" s="24">
        <v>0</v>
      </c>
      <c r="R17" s="24">
        <v>0</v>
      </c>
      <c r="S17" s="24">
        <v>0</v>
      </c>
      <c r="T17" s="24">
        <v>0</v>
      </c>
      <c r="U17" s="24">
        <v>2</v>
      </c>
      <c r="V17" s="24">
        <v>6</v>
      </c>
      <c r="W17" s="24">
        <v>0</v>
      </c>
      <c r="X17" s="80">
        <v>0</v>
      </c>
      <c r="Y17" s="24">
        <v>0</v>
      </c>
      <c r="Z17" s="24">
        <v>0</v>
      </c>
      <c r="AA17" s="24">
        <v>0</v>
      </c>
      <c r="AB17" s="24">
        <v>722</v>
      </c>
    </row>
    <row r="18" spans="1:28" ht="27" customHeight="1" x14ac:dyDescent="0.2">
      <c r="A18" s="145"/>
      <c r="B18" s="254" t="s">
        <v>32</v>
      </c>
      <c r="C18" s="251" t="s">
        <v>171</v>
      </c>
      <c r="D18" s="252"/>
      <c r="E18" s="252"/>
      <c r="F18" s="252"/>
      <c r="G18" s="253"/>
      <c r="H18" s="23">
        <v>12</v>
      </c>
      <c r="I18" s="24">
        <v>15</v>
      </c>
      <c r="J18" s="24">
        <v>4</v>
      </c>
      <c r="K18" s="24">
        <v>0</v>
      </c>
      <c r="L18" s="24">
        <v>0</v>
      </c>
      <c r="M18" s="24">
        <v>0</v>
      </c>
      <c r="N18" s="24">
        <v>0</v>
      </c>
      <c r="O18" s="24">
        <v>3</v>
      </c>
      <c r="P18" s="24">
        <v>3</v>
      </c>
      <c r="Q18" s="24">
        <v>0</v>
      </c>
      <c r="R18" s="24">
        <v>0</v>
      </c>
      <c r="S18" s="24">
        <v>0</v>
      </c>
      <c r="T18" s="24">
        <v>0</v>
      </c>
      <c r="U18" s="24">
        <v>1</v>
      </c>
      <c r="V18" s="24">
        <v>0</v>
      </c>
      <c r="W18" s="24">
        <v>0</v>
      </c>
      <c r="X18" s="80">
        <v>0</v>
      </c>
      <c r="Y18" s="24">
        <v>0</v>
      </c>
      <c r="Z18" s="24">
        <v>0</v>
      </c>
      <c r="AA18" s="24">
        <v>0</v>
      </c>
      <c r="AB18" s="24">
        <v>12</v>
      </c>
    </row>
    <row r="19" spans="1:28" ht="27" customHeight="1" x14ac:dyDescent="0.2">
      <c r="A19" s="145"/>
      <c r="B19" s="255"/>
      <c r="C19" s="251" t="s">
        <v>172</v>
      </c>
      <c r="D19" s="252"/>
      <c r="E19" s="252"/>
      <c r="F19" s="252"/>
      <c r="G19" s="253"/>
      <c r="H19" s="23">
        <v>13</v>
      </c>
      <c r="I19" s="24">
        <v>907</v>
      </c>
      <c r="J19" s="24">
        <v>234</v>
      </c>
      <c r="K19" s="24">
        <v>47</v>
      </c>
      <c r="L19" s="24">
        <v>0</v>
      </c>
      <c r="M19" s="24">
        <v>47</v>
      </c>
      <c r="N19" s="24">
        <v>0</v>
      </c>
      <c r="O19" s="24">
        <v>150</v>
      </c>
      <c r="P19" s="24">
        <v>150</v>
      </c>
      <c r="Q19" s="24">
        <v>0</v>
      </c>
      <c r="R19" s="24">
        <v>0</v>
      </c>
      <c r="S19" s="24">
        <v>0</v>
      </c>
      <c r="T19" s="24">
        <v>0</v>
      </c>
      <c r="U19" s="24">
        <v>1</v>
      </c>
      <c r="V19" s="24">
        <v>6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710</v>
      </c>
    </row>
    <row r="20" spans="1:28" ht="27" customHeight="1" x14ac:dyDescent="0.2">
      <c r="A20" s="145"/>
      <c r="B20" s="251" t="s">
        <v>173</v>
      </c>
      <c r="C20" s="252"/>
      <c r="D20" s="252"/>
      <c r="E20" s="252"/>
      <c r="F20" s="252"/>
      <c r="G20" s="253"/>
      <c r="H20" s="23">
        <v>14</v>
      </c>
      <c r="I20" s="24">
        <v>187</v>
      </c>
      <c r="J20" s="24">
        <v>25</v>
      </c>
      <c r="K20" s="24">
        <v>2</v>
      </c>
      <c r="L20" s="24">
        <v>0</v>
      </c>
      <c r="M20" s="24">
        <v>2</v>
      </c>
      <c r="N20" s="24">
        <v>0</v>
      </c>
      <c r="O20" s="24">
        <v>5</v>
      </c>
      <c r="P20" s="24">
        <v>5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80">
        <v>0</v>
      </c>
      <c r="Y20" s="24">
        <v>1</v>
      </c>
      <c r="Z20" s="24">
        <v>1</v>
      </c>
      <c r="AA20" s="24">
        <v>0</v>
      </c>
      <c r="AB20" s="24">
        <v>180</v>
      </c>
    </row>
    <row r="21" spans="1:28" ht="27" customHeight="1" x14ac:dyDescent="0.2">
      <c r="A21" s="145"/>
      <c r="B21" s="141" t="s">
        <v>872</v>
      </c>
      <c r="C21" s="142"/>
      <c r="D21" s="142"/>
      <c r="E21" s="142"/>
      <c r="F21" s="142"/>
      <c r="G21" s="143"/>
      <c r="H21" s="23">
        <v>15</v>
      </c>
      <c r="I21" s="24">
        <v>1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1</v>
      </c>
    </row>
    <row r="22" spans="1:28" ht="27" customHeight="1" x14ac:dyDescent="0.2">
      <c r="A22" s="145"/>
      <c r="B22" s="141" t="s">
        <v>873</v>
      </c>
      <c r="C22" s="142"/>
      <c r="D22" s="142"/>
      <c r="E22" s="142"/>
      <c r="F22" s="142"/>
      <c r="G22" s="143"/>
      <c r="H22" s="23">
        <v>16</v>
      </c>
      <c r="I22" s="24">
        <v>157</v>
      </c>
      <c r="J22" s="24">
        <v>84</v>
      </c>
      <c r="K22" s="24">
        <v>0</v>
      </c>
      <c r="L22" s="24">
        <v>0</v>
      </c>
      <c r="M22" s="24">
        <v>0</v>
      </c>
      <c r="N22" s="24">
        <v>0</v>
      </c>
      <c r="O22" s="24">
        <v>32</v>
      </c>
      <c r="P22" s="24">
        <v>32</v>
      </c>
      <c r="Q22" s="24">
        <v>0</v>
      </c>
      <c r="R22" s="24">
        <v>0</v>
      </c>
      <c r="S22" s="24">
        <v>0</v>
      </c>
      <c r="T22" s="24">
        <v>0</v>
      </c>
      <c r="U22" s="24">
        <v>5</v>
      </c>
      <c r="V22" s="24">
        <v>6</v>
      </c>
      <c r="W22" s="24">
        <v>0</v>
      </c>
      <c r="X22" s="80">
        <v>6</v>
      </c>
      <c r="Y22" s="24">
        <v>1</v>
      </c>
      <c r="Z22" s="24">
        <v>1</v>
      </c>
      <c r="AA22" s="24">
        <v>0</v>
      </c>
      <c r="AB22" s="24">
        <v>125</v>
      </c>
    </row>
    <row r="23" spans="1:28" ht="27" customHeight="1" x14ac:dyDescent="0.2">
      <c r="A23" s="145"/>
      <c r="B23" s="141" t="s">
        <v>874</v>
      </c>
      <c r="C23" s="142"/>
      <c r="D23" s="142"/>
      <c r="E23" s="142"/>
      <c r="F23" s="142"/>
      <c r="G23" s="143"/>
      <c r="H23" s="23">
        <v>17</v>
      </c>
      <c r="I23" s="24">
        <v>7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7</v>
      </c>
    </row>
    <row r="24" spans="1:28" ht="27" customHeight="1" x14ac:dyDescent="0.2">
      <c r="A24" s="145"/>
      <c r="B24" s="141" t="s">
        <v>875</v>
      </c>
      <c r="C24" s="142"/>
      <c r="D24" s="142"/>
      <c r="E24" s="142"/>
      <c r="F24" s="142"/>
      <c r="G24" s="143"/>
      <c r="H24" s="23">
        <v>18</v>
      </c>
      <c r="I24" s="24">
        <v>551</v>
      </c>
      <c r="J24" s="24">
        <v>236</v>
      </c>
      <c r="K24" s="24">
        <v>0</v>
      </c>
      <c r="L24" s="24">
        <v>0</v>
      </c>
      <c r="M24" s="24">
        <v>0</v>
      </c>
      <c r="N24" s="24">
        <v>0</v>
      </c>
      <c r="O24" s="24">
        <v>68</v>
      </c>
      <c r="P24" s="24">
        <v>66</v>
      </c>
      <c r="Q24" s="24">
        <v>0</v>
      </c>
      <c r="R24" s="24">
        <v>0</v>
      </c>
      <c r="S24" s="24">
        <v>2</v>
      </c>
      <c r="T24" s="24">
        <v>0</v>
      </c>
      <c r="U24" s="24">
        <v>1</v>
      </c>
      <c r="V24" s="24">
        <v>12</v>
      </c>
      <c r="W24" s="24">
        <v>1</v>
      </c>
      <c r="X24" s="80">
        <v>7</v>
      </c>
      <c r="Y24" s="24">
        <v>2</v>
      </c>
      <c r="Z24" s="24">
        <v>2</v>
      </c>
      <c r="AA24" s="24">
        <v>0</v>
      </c>
      <c r="AB24" s="24">
        <v>483</v>
      </c>
    </row>
    <row r="25" spans="1:28" ht="89.1" customHeight="1" x14ac:dyDescent="0.2">
      <c r="A25" s="145"/>
      <c r="B25" s="141" t="s">
        <v>876</v>
      </c>
      <c r="C25" s="142"/>
      <c r="D25" s="142"/>
      <c r="E25" s="142"/>
      <c r="F25" s="142"/>
      <c r="G25" s="143"/>
      <c r="H25" s="23">
        <v>19</v>
      </c>
      <c r="I25" s="24">
        <v>89</v>
      </c>
      <c r="J25" s="24">
        <v>41</v>
      </c>
      <c r="K25" s="24">
        <v>0</v>
      </c>
      <c r="L25" s="24">
        <v>0</v>
      </c>
      <c r="M25" s="24">
        <v>0</v>
      </c>
      <c r="N25" s="24">
        <v>0</v>
      </c>
      <c r="O25" s="24">
        <v>27</v>
      </c>
      <c r="P25" s="24">
        <v>27</v>
      </c>
      <c r="Q25" s="24">
        <v>0</v>
      </c>
      <c r="R25" s="24">
        <v>0</v>
      </c>
      <c r="S25" s="24">
        <v>0</v>
      </c>
      <c r="T25" s="24">
        <v>0</v>
      </c>
      <c r="U25" s="24">
        <v>1</v>
      </c>
      <c r="V25" s="24">
        <v>0</v>
      </c>
      <c r="W25" s="24">
        <v>1</v>
      </c>
      <c r="X25" s="80">
        <v>0</v>
      </c>
      <c r="Y25" s="24">
        <v>0</v>
      </c>
      <c r="Z25" s="24">
        <v>0</v>
      </c>
      <c r="AA25" s="24">
        <v>0</v>
      </c>
      <c r="AB25" s="24">
        <v>62</v>
      </c>
    </row>
    <row r="26" spans="1:28" ht="29.25" customHeight="1" x14ac:dyDescent="0.2">
      <c r="A26" s="145"/>
      <c r="B26" s="153" t="s">
        <v>840</v>
      </c>
      <c r="C26" s="154"/>
      <c r="D26" s="154"/>
      <c r="E26" s="154"/>
      <c r="F26" s="154"/>
      <c r="G26" s="155"/>
      <c r="H26" s="23">
        <v>20</v>
      </c>
      <c r="I26" s="24">
        <v>92</v>
      </c>
      <c r="J26" s="24">
        <v>18</v>
      </c>
      <c r="K26" s="24">
        <v>0</v>
      </c>
      <c r="L26" s="24">
        <v>0</v>
      </c>
      <c r="M26" s="24">
        <v>0</v>
      </c>
      <c r="N26" s="24">
        <v>0</v>
      </c>
      <c r="O26" s="24">
        <v>12</v>
      </c>
      <c r="P26" s="24">
        <v>12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80">
        <v>0</v>
      </c>
      <c r="Y26" s="24">
        <v>0</v>
      </c>
      <c r="Z26" s="24">
        <v>0</v>
      </c>
      <c r="AA26" s="24">
        <v>0</v>
      </c>
      <c r="AB26" s="24">
        <v>80</v>
      </c>
    </row>
    <row r="27" spans="1:28" ht="27" customHeight="1" x14ac:dyDescent="0.2">
      <c r="A27" s="145"/>
      <c r="B27" s="313" t="s">
        <v>877</v>
      </c>
      <c r="C27" s="314"/>
      <c r="D27" s="314"/>
      <c r="E27" s="314"/>
      <c r="F27" s="314"/>
      <c r="G27" s="315"/>
      <c r="H27" s="23">
        <v>21</v>
      </c>
      <c r="I27" s="24">
        <v>58</v>
      </c>
      <c r="J27" s="24">
        <v>9</v>
      </c>
      <c r="K27" s="24">
        <v>0</v>
      </c>
      <c r="L27" s="24">
        <v>0</v>
      </c>
      <c r="M27" s="24">
        <v>0</v>
      </c>
      <c r="N27" s="24">
        <v>0</v>
      </c>
      <c r="O27" s="24">
        <v>8</v>
      </c>
      <c r="P27" s="24">
        <v>8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0</v>
      </c>
      <c r="Z27" s="24">
        <v>0</v>
      </c>
      <c r="AA27" s="24">
        <v>0</v>
      </c>
      <c r="AB27" s="24">
        <v>50</v>
      </c>
    </row>
    <row r="28" spans="1:28" ht="89.25" customHeight="1" x14ac:dyDescent="0.2">
      <c r="A28" s="145"/>
      <c r="B28" s="138" t="s">
        <v>368</v>
      </c>
      <c r="C28" s="139"/>
      <c r="D28" s="139"/>
      <c r="E28" s="139"/>
      <c r="F28" s="139"/>
      <c r="G28" s="140"/>
      <c r="H28" s="23">
        <v>22</v>
      </c>
      <c r="I28" s="24">
        <v>2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2</v>
      </c>
    </row>
    <row r="29" spans="1:28" ht="63" customHeight="1" x14ac:dyDescent="0.2">
      <c r="A29" s="145"/>
      <c r="B29" s="138" t="s">
        <v>381</v>
      </c>
      <c r="C29" s="139"/>
      <c r="D29" s="139"/>
      <c r="E29" s="139"/>
      <c r="F29" s="139"/>
      <c r="G29" s="140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30" customHeight="1" x14ac:dyDescent="0.2">
      <c r="A30" s="145"/>
      <c r="B30" s="153" t="s">
        <v>103</v>
      </c>
      <c r="C30" s="154"/>
      <c r="D30" s="154"/>
      <c r="E30" s="154"/>
      <c r="F30" s="154"/>
      <c r="G30" s="155"/>
      <c r="H30" s="23">
        <v>24</v>
      </c>
      <c r="I30" s="24">
        <v>306</v>
      </c>
      <c r="J30" s="24">
        <v>167</v>
      </c>
      <c r="K30" s="24">
        <v>7</v>
      </c>
      <c r="L30" s="24">
        <v>0</v>
      </c>
      <c r="M30" s="24">
        <v>6</v>
      </c>
      <c r="N30" s="24">
        <v>1</v>
      </c>
      <c r="O30" s="24">
        <v>79</v>
      </c>
      <c r="P30" s="24">
        <v>77</v>
      </c>
      <c r="Q30" s="24">
        <v>0</v>
      </c>
      <c r="R30" s="24">
        <v>2</v>
      </c>
      <c r="S30" s="24">
        <v>0</v>
      </c>
      <c r="T30" s="24">
        <v>0</v>
      </c>
      <c r="U30" s="24">
        <v>2</v>
      </c>
      <c r="V30" s="24">
        <v>18</v>
      </c>
      <c r="W30" s="24">
        <v>0</v>
      </c>
      <c r="X30" s="80">
        <v>13</v>
      </c>
      <c r="Y30" s="24">
        <v>2</v>
      </c>
      <c r="Z30" s="24">
        <v>2</v>
      </c>
      <c r="AA30" s="24">
        <v>0</v>
      </c>
      <c r="AB30" s="24">
        <v>220</v>
      </c>
    </row>
    <row r="31" spans="1:28" ht="27" customHeight="1" x14ac:dyDescent="0.2">
      <c r="A31" s="145"/>
      <c r="B31" s="141" t="s">
        <v>878</v>
      </c>
      <c r="C31" s="142"/>
      <c r="D31" s="142"/>
      <c r="E31" s="142"/>
      <c r="F31" s="142"/>
      <c r="G31" s="143"/>
      <c r="H31" s="23">
        <v>25</v>
      </c>
      <c r="I31" s="24">
        <v>96</v>
      </c>
      <c r="J31" s="24">
        <v>56</v>
      </c>
      <c r="K31" s="24">
        <v>2</v>
      </c>
      <c r="L31" s="24">
        <v>0</v>
      </c>
      <c r="M31" s="24">
        <v>1</v>
      </c>
      <c r="N31" s="24">
        <v>1</v>
      </c>
      <c r="O31" s="24">
        <v>14</v>
      </c>
      <c r="P31" s="24">
        <v>13</v>
      </c>
      <c r="Q31" s="24">
        <v>0</v>
      </c>
      <c r="R31" s="24">
        <v>1</v>
      </c>
      <c r="S31" s="24">
        <v>0</v>
      </c>
      <c r="T31" s="24">
        <v>0</v>
      </c>
      <c r="U31" s="24">
        <v>1</v>
      </c>
      <c r="V31" s="24">
        <v>6</v>
      </c>
      <c r="W31" s="24">
        <v>0</v>
      </c>
      <c r="X31" s="80">
        <v>4</v>
      </c>
      <c r="Y31" s="24">
        <v>1</v>
      </c>
      <c r="Z31" s="24">
        <v>1</v>
      </c>
      <c r="AA31" s="24">
        <v>0</v>
      </c>
      <c r="AB31" s="24">
        <v>80</v>
      </c>
    </row>
    <row r="32" spans="1:28" ht="27" customHeight="1" x14ac:dyDescent="0.2">
      <c r="A32" s="145"/>
      <c r="B32" s="141" t="s">
        <v>879</v>
      </c>
      <c r="C32" s="142"/>
      <c r="D32" s="142"/>
      <c r="E32" s="142"/>
      <c r="F32" s="142"/>
      <c r="G32" s="143"/>
      <c r="H32" s="23">
        <v>26</v>
      </c>
      <c r="I32" s="24">
        <v>1</v>
      </c>
      <c r="J32" s="24">
        <v>1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1</v>
      </c>
    </row>
    <row r="33" spans="1:28" ht="27" customHeight="1" x14ac:dyDescent="0.2">
      <c r="A33" s="145"/>
      <c r="B33" s="141" t="s">
        <v>880</v>
      </c>
      <c r="C33" s="142"/>
      <c r="D33" s="142"/>
      <c r="E33" s="142"/>
      <c r="F33" s="142"/>
      <c r="G33" s="143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27" customHeight="1" x14ac:dyDescent="0.2">
      <c r="A34" s="145"/>
      <c r="B34" s="141" t="s">
        <v>881</v>
      </c>
      <c r="C34" s="142"/>
      <c r="D34" s="142"/>
      <c r="E34" s="142"/>
      <c r="F34" s="142"/>
      <c r="G34" s="143"/>
      <c r="H34" s="23">
        <v>28</v>
      </c>
      <c r="I34" s="24">
        <v>15</v>
      </c>
      <c r="J34" s="24">
        <v>3</v>
      </c>
      <c r="K34" s="24">
        <v>1</v>
      </c>
      <c r="L34" s="24">
        <v>0</v>
      </c>
      <c r="M34" s="24">
        <v>1</v>
      </c>
      <c r="N34" s="24">
        <v>0</v>
      </c>
      <c r="O34" s="24">
        <v>2</v>
      </c>
      <c r="P34" s="24">
        <v>2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12</v>
      </c>
    </row>
    <row r="35" spans="1:28" ht="27" customHeight="1" x14ac:dyDescent="0.2">
      <c r="A35" s="145"/>
      <c r="B35" s="141" t="s">
        <v>882</v>
      </c>
      <c r="C35" s="142"/>
      <c r="D35" s="142"/>
      <c r="E35" s="142"/>
      <c r="F35" s="142"/>
      <c r="G35" s="143"/>
      <c r="H35" s="23">
        <v>29</v>
      </c>
      <c r="I35" s="24">
        <v>1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1</v>
      </c>
    </row>
    <row r="36" spans="1:28" ht="27" customHeight="1" x14ac:dyDescent="0.2">
      <c r="A36" s="145"/>
      <c r="B36" s="141" t="s">
        <v>883</v>
      </c>
      <c r="C36" s="142"/>
      <c r="D36" s="142"/>
      <c r="E36" s="142"/>
      <c r="F36" s="142"/>
      <c r="G36" s="143"/>
      <c r="H36" s="23">
        <v>30</v>
      </c>
      <c r="I36" s="24">
        <v>4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4</v>
      </c>
    </row>
    <row r="37" spans="1:28" ht="27" customHeight="1" x14ac:dyDescent="0.2">
      <c r="A37" s="145"/>
      <c r="B37" s="141" t="s">
        <v>457</v>
      </c>
      <c r="C37" s="142"/>
      <c r="D37" s="142"/>
      <c r="E37" s="142"/>
      <c r="F37" s="142"/>
      <c r="G37" s="143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45"/>
      <c r="B38" s="141" t="s">
        <v>884</v>
      </c>
      <c r="C38" s="142"/>
      <c r="D38" s="142"/>
      <c r="E38" s="142"/>
      <c r="F38" s="142"/>
      <c r="G38" s="143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27.75" customHeight="1" x14ac:dyDescent="0.2">
      <c r="A39" s="145"/>
      <c r="B39" s="141" t="s">
        <v>885</v>
      </c>
      <c r="C39" s="142"/>
      <c r="D39" s="142"/>
      <c r="E39" s="142"/>
      <c r="F39" s="142"/>
      <c r="G39" s="143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75" customHeight="1" x14ac:dyDescent="0.2">
      <c r="A40" s="145"/>
      <c r="B40" s="310" t="s">
        <v>886</v>
      </c>
      <c r="C40" s="311"/>
      <c r="D40" s="311"/>
      <c r="E40" s="311"/>
      <c r="F40" s="311"/>
      <c r="G40" s="312"/>
      <c r="H40" s="23">
        <v>34</v>
      </c>
      <c r="I40" s="24">
        <v>152</v>
      </c>
      <c r="J40" s="24">
        <v>87</v>
      </c>
      <c r="K40" s="24">
        <v>3</v>
      </c>
      <c r="L40" s="24">
        <v>0</v>
      </c>
      <c r="M40" s="24">
        <v>3</v>
      </c>
      <c r="N40" s="24">
        <v>0</v>
      </c>
      <c r="O40" s="24">
        <v>47</v>
      </c>
      <c r="P40" s="24">
        <v>46</v>
      </c>
      <c r="Q40" s="24">
        <v>0</v>
      </c>
      <c r="R40" s="24">
        <v>1</v>
      </c>
      <c r="S40" s="24">
        <v>0</v>
      </c>
      <c r="T40" s="24">
        <v>0</v>
      </c>
      <c r="U40" s="24">
        <v>1</v>
      </c>
      <c r="V40" s="24">
        <v>16</v>
      </c>
      <c r="W40" s="24">
        <v>0</v>
      </c>
      <c r="X40" s="80">
        <v>0</v>
      </c>
      <c r="Y40" s="24">
        <v>1</v>
      </c>
      <c r="Z40" s="24">
        <v>1</v>
      </c>
      <c r="AA40" s="24">
        <v>0</v>
      </c>
      <c r="AB40" s="24">
        <v>102</v>
      </c>
    </row>
    <row r="41" spans="1:28" ht="27.75" customHeight="1" x14ac:dyDescent="0.2">
      <c r="A41" s="145"/>
      <c r="B41" s="141" t="s">
        <v>887</v>
      </c>
      <c r="C41" s="142"/>
      <c r="D41" s="142"/>
      <c r="E41" s="142"/>
      <c r="F41" s="142"/>
      <c r="G41" s="143"/>
      <c r="H41" s="23">
        <v>35</v>
      </c>
      <c r="I41" s="24">
        <v>71</v>
      </c>
      <c r="J41" s="24">
        <v>30</v>
      </c>
      <c r="K41" s="24">
        <v>2</v>
      </c>
      <c r="L41" s="24">
        <v>0</v>
      </c>
      <c r="M41" s="24">
        <v>2</v>
      </c>
      <c r="N41" s="24">
        <v>0</v>
      </c>
      <c r="O41" s="24">
        <v>15</v>
      </c>
      <c r="P41" s="24">
        <v>15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54</v>
      </c>
    </row>
    <row r="42" spans="1:28" ht="27.75" customHeight="1" x14ac:dyDescent="0.2">
      <c r="A42" s="145"/>
      <c r="B42" s="310" t="s">
        <v>888</v>
      </c>
      <c r="C42" s="311"/>
      <c r="D42" s="311"/>
      <c r="E42" s="311"/>
      <c r="F42" s="311"/>
      <c r="G42" s="312"/>
      <c r="H42" s="23">
        <v>36</v>
      </c>
      <c r="I42" s="24">
        <v>160</v>
      </c>
      <c r="J42" s="24">
        <v>95</v>
      </c>
      <c r="K42" s="24">
        <v>1</v>
      </c>
      <c r="L42" s="24">
        <v>0</v>
      </c>
      <c r="M42" s="24">
        <v>1</v>
      </c>
      <c r="N42" s="24">
        <v>0</v>
      </c>
      <c r="O42" s="24">
        <v>15</v>
      </c>
      <c r="P42" s="24">
        <v>15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1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144</v>
      </c>
    </row>
    <row r="43" spans="1:28" ht="27" customHeight="1" x14ac:dyDescent="0.2">
      <c r="A43" s="145"/>
      <c r="B43" s="141" t="s">
        <v>889</v>
      </c>
      <c r="C43" s="142"/>
      <c r="D43" s="142"/>
      <c r="E43" s="142"/>
      <c r="F43" s="142"/>
      <c r="G43" s="143"/>
      <c r="H43" s="23">
        <v>37</v>
      </c>
      <c r="I43" s="24">
        <v>6</v>
      </c>
      <c r="J43" s="24">
        <v>1</v>
      </c>
      <c r="K43" s="24">
        <v>0</v>
      </c>
      <c r="L43" s="24">
        <v>0</v>
      </c>
      <c r="M43" s="24">
        <v>0</v>
      </c>
      <c r="N43" s="24">
        <v>0</v>
      </c>
      <c r="O43" s="24">
        <v>1</v>
      </c>
      <c r="P43" s="24">
        <v>1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5</v>
      </c>
    </row>
    <row r="44" spans="1:28" ht="27" customHeight="1" x14ac:dyDescent="0.2">
      <c r="A44" s="145"/>
      <c r="B44" s="141" t="s">
        <v>890</v>
      </c>
      <c r="C44" s="142"/>
      <c r="D44" s="142"/>
      <c r="E44" s="142"/>
      <c r="F44" s="142"/>
      <c r="G44" s="143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39.75" customHeight="1" x14ac:dyDescent="0.2">
      <c r="A45" s="145"/>
      <c r="B45" s="141" t="s">
        <v>891</v>
      </c>
      <c r="C45" s="142"/>
      <c r="D45" s="142"/>
      <c r="E45" s="142"/>
      <c r="F45" s="142"/>
      <c r="G45" s="143"/>
      <c r="H45" s="23">
        <v>39</v>
      </c>
      <c r="I45" s="24">
        <v>1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1</v>
      </c>
    </row>
    <row r="46" spans="1:28" ht="27" customHeight="1" x14ac:dyDescent="0.2">
      <c r="A46" s="145"/>
      <c r="B46" s="141" t="s">
        <v>892</v>
      </c>
      <c r="C46" s="142"/>
      <c r="D46" s="142"/>
      <c r="E46" s="142"/>
      <c r="F46" s="142"/>
      <c r="G46" s="143"/>
      <c r="H46" s="23">
        <v>40</v>
      </c>
      <c r="I46" s="24">
        <v>106</v>
      </c>
      <c r="J46" s="24">
        <v>81</v>
      </c>
      <c r="K46" s="24">
        <v>0</v>
      </c>
      <c r="L46" s="24">
        <v>0</v>
      </c>
      <c r="M46" s="24">
        <v>0</v>
      </c>
      <c r="N46" s="24">
        <v>0</v>
      </c>
      <c r="O46" s="24">
        <v>7</v>
      </c>
      <c r="P46" s="24">
        <v>7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1</v>
      </c>
      <c r="W46" s="24">
        <v>0</v>
      </c>
      <c r="X46" s="80">
        <v>0</v>
      </c>
      <c r="Y46" s="24">
        <v>0</v>
      </c>
      <c r="Z46" s="24">
        <v>0</v>
      </c>
      <c r="AA46" s="24">
        <v>0</v>
      </c>
      <c r="AB46" s="24">
        <v>99</v>
      </c>
    </row>
    <row r="47" spans="1:28" ht="28.5" customHeight="1" x14ac:dyDescent="0.2">
      <c r="A47" s="145"/>
      <c r="B47" s="141" t="s">
        <v>893</v>
      </c>
      <c r="C47" s="142"/>
      <c r="D47" s="142"/>
      <c r="E47" s="142"/>
      <c r="F47" s="142"/>
      <c r="G47" s="143"/>
      <c r="H47" s="23">
        <v>41</v>
      </c>
      <c r="I47" s="24">
        <v>3</v>
      </c>
      <c r="J47" s="24">
        <v>2</v>
      </c>
      <c r="K47" s="24">
        <v>1</v>
      </c>
      <c r="L47" s="24">
        <v>0</v>
      </c>
      <c r="M47" s="24">
        <v>1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2</v>
      </c>
    </row>
    <row r="48" spans="1:28" ht="27" customHeight="1" x14ac:dyDescent="0.2">
      <c r="A48" s="145"/>
      <c r="B48" s="138" t="s">
        <v>894</v>
      </c>
      <c r="C48" s="139"/>
      <c r="D48" s="139"/>
      <c r="E48" s="139"/>
      <c r="F48" s="139"/>
      <c r="G48" s="140"/>
      <c r="H48" s="23">
        <v>42</v>
      </c>
      <c r="I48" s="24">
        <v>11</v>
      </c>
      <c r="J48" s="24">
        <v>6</v>
      </c>
      <c r="K48" s="24">
        <v>0</v>
      </c>
      <c r="L48" s="24">
        <v>0</v>
      </c>
      <c r="M48" s="24">
        <v>0</v>
      </c>
      <c r="N48" s="24">
        <v>0</v>
      </c>
      <c r="O48" s="24">
        <v>4</v>
      </c>
      <c r="P48" s="24">
        <v>4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7</v>
      </c>
    </row>
    <row r="49" spans="1:28" ht="34.5" customHeight="1" x14ac:dyDescent="0.2">
      <c r="A49" s="145"/>
      <c r="B49" s="141" t="s">
        <v>895</v>
      </c>
      <c r="C49" s="142"/>
      <c r="D49" s="142"/>
      <c r="E49" s="142"/>
      <c r="F49" s="142"/>
      <c r="G49" s="143"/>
      <c r="H49" s="23">
        <v>43</v>
      </c>
      <c r="I49" s="24">
        <v>32</v>
      </c>
      <c r="J49" s="24">
        <v>5</v>
      </c>
      <c r="K49" s="24">
        <v>0</v>
      </c>
      <c r="L49" s="24">
        <v>0</v>
      </c>
      <c r="M49" s="24">
        <v>0</v>
      </c>
      <c r="N49" s="24">
        <v>0</v>
      </c>
      <c r="O49" s="24">
        <v>3</v>
      </c>
      <c r="P49" s="24">
        <v>3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80">
        <v>0</v>
      </c>
      <c r="Y49" s="24">
        <v>0</v>
      </c>
      <c r="Z49" s="24">
        <v>0</v>
      </c>
      <c r="AA49" s="24">
        <v>0</v>
      </c>
      <c r="AB49" s="24">
        <v>29</v>
      </c>
    </row>
    <row r="50" spans="1:28" ht="27" customHeight="1" x14ac:dyDescent="0.2">
      <c r="A50" s="146"/>
      <c r="B50" s="141" t="s">
        <v>896</v>
      </c>
      <c r="C50" s="142"/>
      <c r="D50" s="142"/>
      <c r="E50" s="142"/>
      <c r="F50" s="142"/>
      <c r="G50" s="143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92" t="s">
        <v>41</v>
      </c>
      <c r="B51" s="193"/>
      <c r="C51" s="193"/>
      <c r="D51" s="193"/>
      <c r="E51" s="193"/>
      <c r="F51" s="193"/>
      <c r="G51" s="194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44" t="s">
        <v>165</v>
      </c>
      <c r="B52" s="310" t="s">
        <v>109</v>
      </c>
      <c r="C52" s="311"/>
      <c r="D52" s="311"/>
      <c r="E52" s="311"/>
      <c r="F52" s="311"/>
      <c r="G52" s="312"/>
      <c r="H52" s="23">
        <v>45</v>
      </c>
      <c r="I52" s="31">
        <v>101</v>
      </c>
      <c r="J52" s="31">
        <v>63</v>
      </c>
      <c r="K52" s="31">
        <v>0</v>
      </c>
      <c r="L52" s="31">
        <v>0</v>
      </c>
      <c r="M52" s="31">
        <v>0</v>
      </c>
      <c r="N52" s="31">
        <v>0</v>
      </c>
      <c r="O52" s="31">
        <v>15</v>
      </c>
      <c r="P52" s="31">
        <v>15</v>
      </c>
      <c r="Q52" s="31">
        <v>0</v>
      </c>
      <c r="R52" s="31">
        <v>0</v>
      </c>
      <c r="S52" s="31">
        <v>0</v>
      </c>
      <c r="T52" s="31">
        <v>0</v>
      </c>
      <c r="U52" s="31">
        <v>1</v>
      </c>
      <c r="V52" s="31">
        <v>1</v>
      </c>
      <c r="W52" s="31">
        <v>0</v>
      </c>
      <c r="X52" s="31">
        <v>1</v>
      </c>
      <c r="Y52" s="31">
        <v>3</v>
      </c>
      <c r="Z52" s="31">
        <v>3</v>
      </c>
      <c r="AA52" s="31">
        <v>0</v>
      </c>
      <c r="AB52" s="31">
        <v>86</v>
      </c>
    </row>
    <row r="53" spans="1:28" ht="28.5" customHeight="1" x14ac:dyDescent="0.2">
      <c r="A53" s="145"/>
      <c r="B53" s="141" t="s">
        <v>897</v>
      </c>
      <c r="C53" s="142"/>
      <c r="D53" s="142"/>
      <c r="E53" s="142"/>
      <c r="F53" s="142"/>
      <c r="G53" s="143"/>
      <c r="H53" s="23">
        <v>46</v>
      </c>
      <c r="I53" s="31">
        <v>24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2</v>
      </c>
      <c r="Z53" s="31">
        <v>2</v>
      </c>
      <c r="AA53" s="31">
        <v>0</v>
      </c>
      <c r="AB53" s="31">
        <v>24</v>
      </c>
    </row>
    <row r="54" spans="1:28" ht="40.5" customHeight="1" x14ac:dyDescent="0.2">
      <c r="A54" s="145"/>
      <c r="B54" s="310" t="s">
        <v>111</v>
      </c>
      <c r="C54" s="311"/>
      <c r="D54" s="311"/>
      <c r="E54" s="311"/>
      <c r="F54" s="311"/>
      <c r="G54" s="312"/>
      <c r="H54" s="23">
        <v>47</v>
      </c>
      <c r="I54" s="31">
        <v>263</v>
      </c>
      <c r="J54" s="31">
        <v>193</v>
      </c>
      <c r="K54" s="31">
        <v>0</v>
      </c>
      <c r="L54" s="31">
        <v>0</v>
      </c>
      <c r="M54" s="31">
        <v>0</v>
      </c>
      <c r="N54" s="31">
        <v>0</v>
      </c>
      <c r="O54" s="31">
        <v>24</v>
      </c>
      <c r="P54" s="31">
        <v>24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3</v>
      </c>
      <c r="W54" s="31">
        <v>0</v>
      </c>
      <c r="X54" s="31">
        <v>0</v>
      </c>
      <c r="Y54" s="31">
        <v>8</v>
      </c>
      <c r="Z54" s="31">
        <v>8</v>
      </c>
      <c r="AA54" s="31">
        <v>0</v>
      </c>
      <c r="AB54" s="31">
        <v>239</v>
      </c>
    </row>
    <row r="55" spans="1:28" ht="27" customHeight="1" x14ac:dyDescent="0.2">
      <c r="A55" s="145"/>
      <c r="B55" s="141" t="s">
        <v>898</v>
      </c>
      <c r="C55" s="142"/>
      <c r="D55" s="142"/>
      <c r="E55" s="142"/>
      <c r="F55" s="142"/>
      <c r="G55" s="143"/>
      <c r="H55" s="23">
        <v>48</v>
      </c>
      <c r="I55" s="31">
        <v>23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1</v>
      </c>
      <c r="Z55" s="31">
        <v>1</v>
      </c>
      <c r="AA55" s="31">
        <v>0</v>
      </c>
      <c r="AB55" s="31">
        <v>23</v>
      </c>
    </row>
    <row r="56" spans="1:28" ht="27" customHeight="1" x14ac:dyDescent="0.2">
      <c r="A56" s="145"/>
      <c r="B56" s="141" t="s">
        <v>899</v>
      </c>
      <c r="C56" s="142"/>
      <c r="D56" s="142"/>
      <c r="E56" s="142"/>
      <c r="F56" s="142"/>
      <c r="G56" s="143"/>
      <c r="H56" s="23">
        <v>49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7" customHeight="1" x14ac:dyDescent="0.2">
      <c r="A57" s="145"/>
      <c r="B57" s="141" t="s">
        <v>860</v>
      </c>
      <c r="C57" s="142"/>
      <c r="D57" s="142"/>
      <c r="E57" s="142"/>
      <c r="F57" s="142"/>
      <c r="G57" s="143"/>
      <c r="H57" s="23">
        <v>50</v>
      </c>
      <c r="I57" s="31">
        <v>167</v>
      </c>
      <c r="J57" s="31">
        <v>162</v>
      </c>
      <c r="K57" s="31">
        <v>0</v>
      </c>
      <c r="L57" s="31">
        <v>0</v>
      </c>
      <c r="M57" s="31">
        <v>0</v>
      </c>
      <c r="N57" s="31">
        <v>0</v>
      </c>
      <c r="O57" s="31">
        <v>9</v>
      </c>
      <c r="P57" s="31">
        <v>9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2</v>
      </c>
      <c r="W57" s="31">
        <v>0</v>
      </c>
      <c r="X57" s="31">
        <v>0</v>
      </c>
      <c r="Y57" s="31">
        <v>6</v>
      </c>
      <c r="Z57" s="31">
        <v>6</v>
      </c>
      <c r="AA57" s="31">
        <v>0</v>
      </c>
      <c r="AB57" s="31">
        <v>158</v>
      </c>
    </row>
    <row r="58" spans="1:28" ht="27" customHeight="1" x14ac:dyDescent="0.2">
      <c r="A58" s="145"/>
      <c r="B58" s="141" t="s">
        <v>861</v>
      </c>
      <c r="C58" s="142"/>
      <c r="D58" s="142"/>
      <c r="E58" s="142"/>
      <c r="F58" s="142"/>
      <c r="G58" s="143"/>
      <c r="H58" s="23">
        <v>51</v>
      </c>
      <c r="I58" s="31">
        <v>3</v>
      </c>
      <c r="J58" s="31">
        <v>1</v>
      </c>
      <c r="K58" s="31">
        <v>0</v>
      </c>
      <c r="L58" s="31">
        <v>0</v>
      </c>
      <c r="M58" s="31">
        <v>0</v>
      </c>
      <c r="N58" s="31">
        <v>0</v>
      </c>
      <c r="O58" s="31">
        <v>1</v>
      </c>
      <c r="P58" s="31">
        <v>1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27" customHeight="1" x14ac:dyDescent="0.2">
      <c r="A59" s="145"/>
      <c r="B59" s="310" t="s">
        <v>112</v>
      </c>
      <c r="C59" s="311"/>
      <c r="D59" s="311"/>
      <c r="E59" s="311"/>
      <c r="F59" s="311"/>
      <c r="G59" s="312"/>
      <c r="H59" s="23">
        <v>52</v>
      </c>
      <c r="I59" s="31">
        <v>6</v>
      </c>
      <c r="J59" s="31">
        <v>2</v>
      </c>
      <c r="K59" s="31">
        <v>0</v>
      </c>
      <c r="L59" s="31">
        <v>0</v>
      </c>
      <c r="M59" s="31">
        <v>0</v>
      </c>
      <c r="N59" s="31">
        <v>0</v>
      </c>
      <c r="O59" s="31">
        <v>1</v>
      </c>
      <c r="P59" s="31">
        <v>1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5</v>
      </c>
    </row>
    <row r="60" spans="1:28" ht="27" customHeight="1" x14ac:dyDescent="0.2">
      <c r="A60" s="145"/>
      <c r="B60" s="195" t="s">
        <v>712</v>
      </c>
      <c r="C60" s="196"/>
      <c r="D60" s="196"/>
      <c r="E60" s="196"/>
      <c r="F60" s="196"/>
      <c r="G60" s="197"/>
      <c r="H60" s="23">
        <v>53</v>
      </c>
      <c r="I60" s="31">
        <v>2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2</v>
      </c>
    </row>
    <row r="61" spans="1:28" ht="27" customHeight="1" x14ac:dyDescent="0.2">
      <c r="A61" s="145"/>
      <c r="B61" s="190" t="s">
        <v>32</v>
      </c>
      <c r="C61" s="138" t="s">
        <v>713</v>
      </c>
      <c r="D61" s="139"/>
      <c r="E61" s="139"/>
      <c r="F61" s="139"/>
      <c r="G61" s="140"/>
      <c r="H61" s="23">
        <v>54</v>
      </c>
      <c r="I61" s="31">
        <v>2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2</v>
      </c>
    </row>
    <row r="62" spans="1:28" ht="27" customHeight="1" x14ac:dyDescent="0.2">
      <c r="A62" s="145"/>
      <c r="B62" s="191"/>
      <c r="C62" s="139" t="s">
        <v>714</v>
      </c>
      <c r="D62" s="139"/>
      <c r="E62" s="139"/>
      <c r="F62" s="139"/>
      <c r="G62" s="140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40.5" customHeight="1" x14ac:dyDescent="0.2">
      <c r="A63" s="145"/>
      <c r="B63" s="141" t="s">
        <v>863</v>
      </c>
      <c r="C63" s="142"/>
      <c r="D63" s="142"/>
      <c r="E63" s="142"/>
      <c r="F63" s="142"/>
      <c r="G63" s="143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45"/>
      <c r="B64" s="190" t="s">
        <v>32</v>
      </c>
      <c r="C64" s="138" t="s">
        <v>716</v>
      </c>
      <c r="D64" s="139"/>
      <c r="E64" s="139"/>
      <c r="F64" s="139"/>
      <c r="G64" s="140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45"/>
      <c r="B65" s="191"/>
      <c r="C65" s="139" t="s">
        <v>717</v>
      </c>
      <c r="D65" s="139"/>
      <c r="E65" s="139"/>
      <c r="F65" s="139"/>
      <c r="G65" s="140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45"/>
      <c r="B66" s="141" t="s">
        <v>900</v>
      </c>
      <c r="C66" s="142"/>
      <c r="D66" s="142"/>
      <c r="E66" s="142"/>
      <c r="F66" s="142"/>
      <c r="G66" s="143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7" customHeight="1" x14ac:dyDescent="0.2">
      <c r="A67" s="145"/>
      <c r="B67" s="141" t="s">
        <v>901</v>
      </c>
      <c r="C67" s="142"/>
      <c r="D67" s="142"/>
      <c r="E67" s="142"/>
      <c r="F67" s="142"/>
      <c r="G67" s="143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45"/>
      <c r="B68" s="141" t="s">
        <v>864</v>
      </c>
      <c r="C68" s="142"/>
      <c r="D68" s="142"/>
      <c r="E68" s="142"/>
      <c r="F68" s="142"/>
      <c r="G68" s="143"/>
      <c r="H68" s="23">
        <v>61</v>
      </c>
      <c r="I68" s="31">
        <v>1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1</v>
      </c>
    </row>
    <row r="69" spans="1:28" ht="27" customHeight="1" x14ac:dyDescent="0.2">
      <c r="A69" s="145"/>
      <c r="B69" s="141" t="s">
        <v>865</v>
      </c>
      <c r="C69" s="142"/>
      <c r="D69" s="142"/>
      <c r="E69" s="142"/>
      <c r="F69" s="142"/>
      <c r="G69" s="143"/>
      <c r="H69" s="23">
        <v>62</v>
      </c>
      <c r="I69" s="31">
        <v>1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1</v>
      </c>
    </row>
    <row r="70" spans="1:28" ht="42" customHeight="1" x14ac:dyDescent="0.2">
      <c r="A70" s="145"/>
      <c r="B70" s="310" t="s">
        <v>113</v>
      </c>
      <c r="C70" s="311"/>
      <c r="D70" s="311"/>
      <c r="E70" s="311"/>
      <c r="F70" s="311"/>
      <c r="G70" s="312"/>
      <c r="H70" s="23">
        <v>63</v>
      </c>
      <c r="I70" s="31">
        <v>45</v>
      </c>
      <c r="J70" s="31">
        <v>23</v>
      </c>
      <c r="K70" s="31">
        <v>0</v>
      </c>
      <c r="L70" s="31">
        <v>0</v>
      </c>
      <c r="M70" s="31">
        <v>0</v>
      </c>
      <c r="N70" s="31">
        <v>0</v>
      </c>
      <c r="O70" s="31">
        <v>22</v>
      </c>
      <c r="P70" s="31">
        <v>22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23</v>
      </c>
    </row>
    <row r="71" spans="1:28" ht="50.25" customHeight="1" x14ac:dyDescent="0.2">
      <c r="A71" s="145"/>
      <c r="B71" s="141" t="s">
        <v>902</v>
      </c>
      <c r="C71" s="142"/>
      <c r="D71" s="142"/>
      <c r="E71" s="142"/>
      <c r="F71" s="142"/>
      <c r="G71" s="143"/>
      <c r="H71" s="23">
        <v>64</v>
      </c>
      <c r="I71" s="31">
        <v>4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4</v>
      </c>
    </row>
    <row r="72" spans="1:28" ht="27" customHeight="1" x14ac:dyDescent="0.2">
      <c r="A72" s="145"/>
      <c r="B72" s="141" t="s">
        <v>903</v>
      </c>
      <c r="C72" s="142"/>
      <c r="D72" s="142"/>
      <c r="E72" s="142"/>
      <c r="F72" s="142"/>
      <c r="G72" s="143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45"/>
      <c r="B73" s="141" t="s">
        <v>904</v>
      </c>
      <c r="C73" s="142"/>
      <c r="D73" s="142"/>
      <c r="E73" s="142"/>
      <c r="F73" s="142"/>
      <c r="G73" s="143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45"/>
      <c r="B74" s="310" t="s">
        <v>114</v>
      </c>
      <c r="C74" s="311"/>
      <c r="D74" s="311"/>
      <c r="E74" s="311"/>
      <c r="F74" s="311"/>
      <c r="G74" s="312"/>
      <c r="H74" s="23">
        <v>67</v>
      </c>
      <c r="I74" s="31">
        <v>19581</v>
      </c>
      <c r="J74" s="31">
        <v>231</v>
      </c>
      <c r="K74" s="31">
        <v>4</v>
      </c>
      <c r="L74" s="31">
        <v>0</v>
      </c>
      <c r="M74" s="31">
        <v>4</v>
      </c>
      <c r="N74" s="31">
        <v>0</v>
      </c>
      <c r="O74" s="31">
        <v>180</v>
      </c>
      <c r="P74" s="31">
        <v>179</v>
      </c>
      <c r="Q74" s="31">
        <v>0</v>
      </c>
      <c r="R74" s="31">
        <v>1</v>
      </c>
      <c r="S74" s="31">
        <v>0</v>
      </c>
      <c r="T74" s="31">
        <v>0</v>
      </c>
      <c r="U74" s="31">
        <v>6</v>
      </c>
      <c r="V74" s="31">
        <v>3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19397</v>
      </c>
    </row>
    <row r="75" spans="1:28" ht="24.75" customHeight="1" x14ac:dyDescent="0.2">
      <c r="A75" s="145"/>
      <c r="B75" s="138" t="s">
        <v>905</v>
      </c>
      <c r="C75" s="139"/>
      <c r="D75" s="139"/>
      <c r="E75" s="139"/>
      <c r="F75" s="139"/>
      <c r="G75" s="140"/>
      <c r="H75" s="23">
        <v>68</v>
      </c>
      <c r="I75" s="31">
        <v>7</v>
      </c>
      <c r="J75" s="31">
        <v>5</v>
      </c>
      <c r="K75" s="31">
        <v>0</v>
      </c>
      <c r="L75" s="31">
        <v>0</v>
      </c>
      <c r="M75" s="31">
        <v>0</v>
      </c>
      <c r="N75" s="31">
        <v>0</v>
      </c>
      <c r="O75" s="31">
        <v>4</v>
      </c>
      <c r="P75" s="31">
        <v>4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3</v>
      </c>
    </row>
    <row r="76" spans="1:28" ht="54" customHeight="1" x14ac:dyDescent="0.2">
      <c r="A76" s="145"/>
      <c r="B76" s="138" t="s">
        <v>906</v>
      </c>
      <c r="C76" s="139"/>
      <c r="D76" s="139"/>
      <c r="E76" s="139"/>
      <c r="F76" s="139"/>
      <c r="G76" s="140"/>
      <c r="H76" s="23">
        <v>69</v>
      </c>
      <c r="I76" s="31">
        <v>2</v>
      </c>
      <c r="J76" s="31">
        <v>2</v>
      </c>
      <c r="K76" s="31">
        <v>0</v>
      </c>
      <c r="L76" s="31">
        <v>0</v>
      </c>
      <c r="M76" s="31">
        <v>0</v>
      </c>
      <c r="N76" s="31">
        <v>0</v>
      </c>
      <c r="O76" s="31">
        <v>2</v>
      </c>
      <c r="P76" s="31">
        <v>2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54" customHeight="1" x14ac:dyDescent="0.2">
      <c r="A77" s="145"/>
      <c r="B77" s="138" t="s">
        <v>907</v>
      </c>
      <c r="C77" s="139"/>
      <c r="D77" s="139"/>
      <c r="E77" s="139"/>
      <c r="F77" s="139"/>
      <c r="G77" s="140"/>
      <c r="H77" s="23">
        <v>70</v>
      </c>
      <c r="I77" s="31">
        <v>421</v>
      </c>
      <c r="J77" s="31">
        <v>214</v>
      </c>
      <c r="K77" s="31">
        <v>4</v>
      </c>
      <c r="L77" s="31">
        <v>0</v>
      </c>
      <c r="M77" s="31">
        <v>4</v>
      </c>
      <c r="N77" s="31">
        <v>0</v>
      </c>
      <c r="O77" s="31">
        <v>172</v>
      </c>
      <c r="P77" s="31">
        <v>171</v>
      </c>
      <c r="Q77" s="31">
        <v>0</v>
      </c>
      <c r="R77" s="31">
        <v>1</v>
      </c>
      <c r="S77" s="31">
        <v>0</v>
      </c>
      <c r="T77" s="31">
        <v>0</v>
      </c>
      <c r="U77" s="31">
        <v>6</v>
      </c>
      <c r="V77" s="31">
        <v>2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245</v>
      </c>
    </row>
    <row r="78" spans="1:28" ht="27" customHeight="1" x14ac:dyDescent="0.2">
      <c r="A78" s="145"/>
      <c r="B78" s="138" t="s">
        <v>1145</v>
      </c>
      <c r="C78" s="139"/>
      <c r="D78" s="139"/>
      <c r="E78" s="139"/>
      <c r="F78" s="139"/>
      <c r="G78" s="140"/>
      <c r="H78" s="23">
        <v>71</v>
      </c>
      <c r="I78" s="31">
        <v>2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</v>
      </c>
    </row>
    <row r="79" spans="1:28" ht="27" customHeight="1" x14ac:dyDescent="0.2">
      <c r="A79" s="145"/>
      <c r="B79" s="147" t="s">
        <v>1146</v>
      </c>
      <c r="C79" s="148"/>
      <c r="D79" s="148"/>
      <c r="E79" s="148"/>
      <c r="F79" s="148"/>
      <c r="G79" s="149"/>
      <c r="H79" s="23">
        <v>72</v>
      </c>
      <c r="I79" s="31">
        <v>19148</v>
      </c>
      <c r="J79" s="31">
        <v>10</v>
      </c>
      <c r="K79" s="31">
        <v>0</v>
      </c>
      <c r="L79" s="31">
        <v>0</v>
      </c>
      <c r="M79" s="31">
        <v>0</v>
      </c>
      <c r="N79" s="31">
        <v>0</v>
      </c>
      <c r="O79" s="31">
        <v>2</v>
      </c>
      <c r="P79" s="31">
        <v>2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19146</v>
      </c>
    </row>
    <row r="80" spans="1:28" ht="27" customHeight="1" x14ac:dyDescent="0.2">
      <c r="A80" s="145"/>
      <c r="B80" s="138" t="s">
        <v>908</v>
      </c>
      <c r="C80" s="139"/>
      <c r="D80" s="139"/>
      <c r="E80" s="139"/>
      <c r="F80" s="139"/>
      <c r="G80" s="140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45"/>
      <c r="B81" s="138" t="s">
        <v>909</v>
      </c>
      <c r="C81" s="139"/>
      <c r="D81" s="139"/>
      <c r="E81" s="139"/>
      <c r="F81" s="139"/>
      <c r="G81" s="140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45"/>
      <c r="B82" s="138" t="s">
        <v>910</v>
      </c>
      <c r="C82" s="139"/>
      <c r="D82" s="139"/>
      <c r="E82" s="139"/>
      <c r="F82" s="139"/>
      <c r="G82" s="140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45"/>
      <c r="B83" s="138" t="s">
        <v>911</v>
      </c>
      <c r="C83" s="139"/>
      <c r="D83" s="139"/>
      <c r="E83" s="139"/>
      <c r="F83" s="139"/>
      <c r="G83" s="140"/>
      <c r="H83" s="23">
        <v>76</v>
      </c>
      <c r="I83" s="31">
        <v>1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1</v>
      </c>
    </row>
    <row r="84" spans="1:28" ht="27" customHeight="1" x14ac:dyDescent="0.2">
      <c r="A84" s="145"/>
      <c r="B84" s="138" t="s">
        <v>912</v>
      </c>
      <c r="C84" s="139"/>
      <c r="D84" s="139"/>
      <c r="E84" s="139"/>
      <c r="F84" s="139"/>
      <c r="G84" s="140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45"/>
      <c r="B85" s="138" t="s">
        <v>913</v>
      </c>
      <c r="C85" s="139"/>
      <c r="D85" s="139"/>
      <c r="E85" s="139"/>
      <c r="F85" s="139"/>
      <c r="G85" s="140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45"/>
      <c r="B86" s="141" t="s">
        <v>914</v>
      </c>
      <c r="C86" s="142"/>
      <c r="D86" s="142"/>
      <c r="E86" s="142"/>
      <c r="F86" s="142"/>
      <c r="G86" s="143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45"/>
      <c r="B87" s="141" t="s">
        <v>915</v>
      </c>
      <c r="C87" s="142"/>
      <c r="D87" s="142"/>
      <c r="E87" s="142"/>
      <c r="F87" s="142"/>
      <c r="G87" s="143"/>
      <c r="H87" s="23">
        <v>80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</row>
    <row r="88" spans="1:28" ht="27" customHeight="1" x14ac:dyDescent="0.2">
      <c r="A88" s="146"/>
      <c r="B88" s="316" t="s">
        <v>179</v>
      </c>
      <c r="C88" s="317"/>
      <c r="D88" s="317"/>
      <c r="E88" s="317"/>
      <c r="F88" s="317"/>
      <c r="G88" s="318"/>
      <c r="H88" s="23">
        <v>81</v>
      </c>
      <c r="I88" s="31">
        <v>361</v>
      </c>
      <c r="J88" s="31">
        <v>238</v>
      </c>
      <c r="K88" s="31">
        <v>17</v>
      </c>
      <c r="L88" s="31">
        <v>0</v>
      </c>
      <c r="M88" s="31">
        <v>17</v>
      </c>
      <c r="N88" s="31">
        <v>0</v>
      </c>
      <c r="O88" s="31">
        <v>89</v>
      </c>
      <c r="P88" s="31">
        <v>88</v>
      </c>
      <c r="Q88" s="31">
        <v>0</v>
      </c>
      <c r="R88" s="31">
        <v>1</v>
      </c>
      <c r="S88" s="31">
        <v>0</v>
      </c>
      <c r="T88" s="31">
        <v>0</v>
      </c>
      <c r="U88" s="31">
        <v>7</v>
      </c>
      <c r="V88" s="31">
        <v>8</v>
      </c>
      <c r="W88" s="31">
        <v>2</v>
      </c>
      <c r="X88" s="31">
        <v>8</v>
      </c>
      <c r="Y88" s="31">
        <v>0</v>
      </c>
      <c r="Z88" s="31">
        <v>0</v>
      </c>
      <c r="AA88" s="31">
        <v>0</v>
      </c>
      <c r="AB88" s="31">
        <v>255</v>
      </c>
    </row>
    <row r="89" spans="1:28" ht="27" customHeight="1" x14ac:dyDescent="0.2">
      <c r="A89" s="319" t="s">
        <v>115</v>
      </c>
      <c r="B89" s="320"/>
      <c r="C89" s="320"/>
      <c r="D89" s="320"/>
      <c r="E89" s="320"/>
      <c r="F89" s="320"/>
      <c r="G89" s="321"/>
      <c r="H89" s="23">
        <v>82</v>
      </c>
      <c r="I89" s="31">
        <f t="shared" ref="I89:AB89" si="0">SUM(I52:I88,I7:I50)</f>
        <v>95526</v>
      </c>
      <c r="J89" s="31">
        <f t="shared" si="0"/>
        <v>7949</v>
      </c>
      <c r="K89" s="31">
        <f t="shared" si="0"/>
        <v>393</v>
      </c>
      <c r="L89" s="31">
        <f t="shared" si="0"/>
        <v>0</v>
      </c>
      <c r="M89" s="31">
        <f t="shared" si="0"/>
        <v>389</v>
      </c>
      <c r="N89" s="31">
        <f t="shared" si="0"/>
        <v>4</v>
      </c>
      <c r="O89" s="31">
        <f t="shared" si="0"/>
        <v>3880</v>
      </c>
      <c r="P89" s="31">
        <f t="shared" si="0"/>
        <v>3851</v>
      </c>
      <c r="Q89" s="31">
        <f t="shared" si="0"/>
        <v>4</v>
      </c>
      <c r="R89" s="31">
        <f t="shared" si="0"/>
        <v>17</v>
      </c>
      <c r="S89" s="31">
        <f t="shared" si="0"/>
        <v>8</v>
      </c>
      <c r="T89" s="31">
        <f t="shared" si="0"/>
        <v>0</v>
      </c>
      <c r="U89" s="31">
        <f t="shared" si="0"/>
        <v>128</v>
      </c>
      <c r="V89" s="31">
        <f t="shared" si="0"/>
        <v>296</v>
      </c>
      <c r="W89" s="31">
        <f t="shared" si="0"/>
        <v>18</v>
      </c>
      <c r="X89" s="31">
        <f t="shared" si="0"/>
        <v>126</v>
      </c>
      <c r="Y89" s="31">
        <f t="shared" si="0"/>
        <v>72</v>
      </c>
      <c r="Z89" s="31">
        <f t="shared" si="0"/>
        <v>72</v>
      </c>
      <c r="AA89" s="31">
        <f t="shared" si="0"/>
        <v>0</v>
      </c>
      <c r="AB89" s="31">
        <f t="shared" si="0"/>
        <v>91253</v>
      </c>
    </row>
    <row r="90" spans="1:28" ht="27" customHeight="1" x14ac:dyDescent="0.2">
      <c r="A90" t="s">
        <v>834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7:I50 I52:I88">
    <cfRule type="expression" dxfId="63" priority="0">
      <formula>I7&lt;&gt;SUM(K7,O7)+T7+(Y7-Z7)+AB7</formula>
    </cfRule>
  </conditionalFormatting>
  <conditionalFormatting sqref="I7:AB7">
    <cfRule type="expression" dxfId="62" priority="1">
      <formula>SUM(I8:I11)&gt;I7</formula>
    </cfRule>
    <cfRule type="expression" dxfId="61" priority="1">
      <formula>SUM(I12,I26,I30,I40,I42,I52,I54,I59,I70,I74,I88)&lt;&gt;I7</formula>
    </cfRule>
  </conditionalFormatting>
  <conditionalFormatting sqref="I12:AB12">
    <cfRule type="expression" dxfId="60" priority="2">
      <formula>SUM(I13:I17,I20:I25)&gt;I12</formula>
    </cfRule>
  </conditionalFormatting>
  <conditionalFormatting sqref="I17:AB17">
    <cfRule type="expression" dxfId="59" priority="3">
      <formula>SUM(I18:I19)&lt;&gt;I17</formula>
    </cfRule>
  </conditionalFormatting>
  <conditionalFormatting sqref="I26:AB26 I70:AB70">
    <cfRule type="expression" dxfId="58" priority="4">
      <formula>SUM(I27:I29)&gt;I26</formula>
    </cfRule>
  </conditionalFormatting>
  <conditionalFormatting sqref="I30:AB30">
    <cfRule type="expression" dxfId="57" priority="5">
      <formula>SUM(I31:I39)&gt;I30</formula>
    </cfRule>
  </conditionalFormatting>
  <conditionalFormatting sqref="I40:AB40 I52:AB52">
    <cfRule type="expression" dxfId="56" priority="6">
      <formula>I41&gt;I40</formula>
    </cfRule>
  </conditionalFormatting>
  <conditionalFormatting sqref="I42:AB42">
    <cfRule type="expression" dxfId="55" priority="7">
      <formula>SUM(I43:I50)&gt;I42</formula>
    </cfRule>
  </conditionalFormatting>
  <conditionalFormatting sqref="I54:AB54">
    <cfRule type="expression" dxfId="54" priority="8">
      <formula>SUM(I55:I58)&gt;I54</formula>
    </cfRule>
  </conditionalFormatting>
  <conditionalFormatting sqref="I59:AB59">
    <cfRule type="expression" dxfId="53" priority="9">
      <formula>SUM(I60,I63,I66:I69)&gt;I59</formula>
    </cfRule>
  </conditionalFormatting>
  <conditionalFormatting sqref="I60:AB60 I63:AB63">
    <cfRule type="expression" dxfId="52" priority="10">
      <formula>SUM(I61:I62)&lt;&gt;I60</formula>
    </cfRule>
  </conditionalFormatting>
  <conditionalFormatting sqref="I74:AB74">
    <cfRule type="expression" dxfId="51" priority="11">
      <formula>SUM(I75:I87)&gt;I74</formula>
    </cfRule>
  </conditionalFormatting>
  <conditionalFormatting sqref="K7:K50 K52:K88">
    <cfRule type="expression" dxfId="50" priority="12">
      <formula>SUM(L7:N7)&gt;K7</formula>
    </cfRule>
  </conditionalFormatting>
  <conditionalFormatting sqref="O7:O50 O52:O88">
    <cfRule type="expression" dxfId="49" priority="13">
      <formula>SUM(P7:S7)&lt;&gt;O7</formula>
    </cfRule>
  </conditionalFormatting>
  <conditionalFormatting sqref="Y7:Y50 Y52:Y88">
    <cfRule type="expression" dxfId="48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916</v>
      </c>
    </row>
    <row r="2" spans="1:28" ht="15.75" customHeight="1" x14ac:dyDescent="0.25">
      <c r="A2" s="84" t="s">
        <v>917</v>
      </c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8" t="s">
        <v>1148</v>
      </c>
      <c r="J3" s="168" t="s">
        <v>16</v>
      </c>
      <c r="K3" s="168" t="s">
        <v>17</v>
      </c>
      <c r="L3" s="171" t="s">
        <v>18</v>
      </c>
      <c r="M3" s="172"/>
      <c r="N3" s="173"/>
      <c r="O3" s="168" t="s">
        <v>19</v>
      </c>
      <c r="P3" s="171" t="s">
        <v>20</v>
      </c>
      <c r="Q3" s="172"/>
      <c r="R3" s="172"/>
      <c r="S3" s="173"/>
      <c r="T3" s="168" t="s">
        <v>21</v>
      </c>
      <c r="U3" s="171" t="s">
        <v>22</v>
      </c>
      <c r="V3" s="172"/>
      <c r="W3" s="172"/>
      <c r="X3" s="173"/>
      <c r="Y3" s="171" t="s">
        <v>23</v>
      </c>
      <c r="Z3" s="172"/>
      <c r="AA3" s="173"/>
      <c r="AB3" s="168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0"/>
      <c r="J4" s="170"/>
      <c r="K4" s="170"/>
      <c r="L4" s="168" t="s">
        <v>25</v>
      </c>
      <c r="M4" s="168" t="s">
        <v>26</v>
      </c>
      <c r="N4" s="168" t="s">
        <v>27</v>
      </c>
      <c r="O4" s="170"/>
      <c r="P4" s="168" t="s">
        <v>28</v>
      </c>
      <c r="Q4" s="168" t="s">
        <v>29</v>
      </c>
      <c r="R4" s="168" t="s">
        <v>30</v>
      </c>
      <c r="S4" s="168" t="s">
        <v>31</v>
      </c>
      <c r="T4" s="170"/>
      <c r="U4" s="171" t="s">
        <v>32</v>
      </c>
      <c r="V4" s="172"/>
      <c r="W4" s="172"/>
      <c r="X4" s="173"/>
      <c r="Y4" s="168" t="s">
        <v>33</v>
      </c>
      <c r="Z4" s="171" t="s">
        <v>34</v>
      </c>
      <c r="AA4" s="173"/>
      <c r="AB4" s="170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9" t="s">
        <v>35</v>
      </c>
      <c r="V5" s="16" t="s">
        <v>36</v>
      </c>
      <c r="W5" s="16" t="s">
        <v>37</v>
      </c>
      <c r="X5" s="16" t="s">
        <v>38</v>
      </c>
      <c r="Y5" s="169"/>
      <c r="Z5" s="18" t="s">
        <v>39</v>
      </c>
      <c r="AA5" s="17" t="s">
        <v>40</v>
      </c>
      <c r="AB5" s="169"/>
    </row>
    <row r="6" spans="1:28" ht="15.75" customHeight="1" x14ac:dyDescent="0.2">
      <c r="A6" s="150" t="s">
        <v>41</v>
      </c>
      <c r="B6" s="151"/>
      <c r="C6" s="151"/>
      <c r="D6" s="151"/>
      <c r="E6" s="151"/>
      <c r="F6" s="151"/>
      <c r="G6" s="15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3" t="s">
        <v>43</v>
      </c>
      <c r="B7" s="154"/>
      <c r="C7" s="154"/>
      <c r="D7" s="154"/>
      <c r="E7" s="154"/>
      <c r="F7" s="154"/>
      <c r="G7" s="155"/>
      <c r="H7" s="22">
        <v>1</v>
      </c>
      <c r="I7" s="37">
        <v>298</v>
      </c>
      <c r="J7" s="37">
        <v>41</v>
      </c>
      <c r="K7" s="37">
        <v>0</v>
      </c>
      <c r="L7" s="37">
        <v>0</v>
      </c>
      <c r="M7" s="37">
        <v>0</v>
      </c>
      <c r="N7" s="37">
        <v>0</v>
      </c>
      <c r="O7" s="37">
        <v>1</v>
      </c>
      <c r="P7" s="37">
        <v>1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10</v>
      </c>
      <c r="Z7" s="37">
        <v>10</v>
      </c>
      <c r="AA7" s="37">
        <v>0</v>
      </c>
      <c r="AB7" s="37">
        <v>297</v>
      </c>
    </row>
    <row r="8" spans="1:28" ht="19.5" customHeight="1" x14ac:dyDescent="0.2">
      <c r="A8" s="328" t="s">
        <v>20</v>
      </c>
      <c r="B8" s="329"/>
      <c r="C8" s="330"/>
      <c r="D8" s="165" t="s">
        <v>51</v>
      </c>
      <c r="E8" s="166"/>
      <c r="F8" s="166"/>
      <c r="G8" s="167"/>
      <c r="H8" s="22">
        <v>2</v>
      </c>
      <c r="I8" s="37">
        <v>93</v>
      </c>
      <c r="J8" s="37">
        <v>15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93</v>
      </c>
    </row>
    <row r="9" spans="1:28" ht="19.5" customHeight="1" x14ac:dyDescent="0.2">
      <c r="A9" s="331"/>
      <c r="B9" s="332"/>
      <c r="C9" s="333"/>
      <c r="D9" s="165" t="s">
        <v>52</v>
      </c>
      <c r="E9" s="166"/>
      <c r="F9" s="166"/>
      <c r="G9" s="167"/>
      <c r="H9" s="22">
        <v>3</v>
      </c>
      <c r="I9" s="37">
        <v>119</v>
      </c>
      <c r="J9" s="37">
        <v>18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3</v>
      </c>
      <c r="Z9" s="37">
        <v>3</v>
      </c>
      <c r="AA9" s="37">
        <v>0</v>
      </c>
      <c r="AB9" s="37">
        <v>119</v>
      </c>
    </row>
    <row r="10" spans="1:28" ht="19.5" customHeight="1" x14ac:dyDescent="0.2">
      <c r="A10" s="331"/>
      <c r="B10" s="332"/>
      <c r="C10" s="333"/>
      <c r="D10" s="165" t="s">
        <v>182</v>
      </c>
      <c r="E10" s="166"/>
      <c r="F10" s="166"/>
      <c r="G10" s="167"/>
      <c r="H10" s="22">
        <v>4</v>
      </c>
      <c r="I10" s="37">
        <v>75</v>
      </c>
      <c r="J10" s="37">
        <v>6</v>
      </c>
      <c r="K10" s="37">
        <v>0</v>
      </c>
      <c r="L10" s="37">
        <v>0</v>
      </c>
      <c r="M10" s="37">
        <v>0</v>
      </c>
      <c r="N10" s="37">
        <v>0</v>
      </c>
      <c r="O10" s="37">
        <v>1</v>
      </c>
      <c r="P10" s="37">
        <v>1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6</v>
      </c>
      <c r="Z10" s="37">
        <v>6</v>
      </c>
      <c r="AA10" s="37">
        <v>0</v>
      </c>
      <c r="AB10" s="37">
        <v>74</v>
      </c>
    </row>
    <row r="11" spans="1:28" ht="19.5" customHeight="1" x14ac:dyDescent="0.2">
      <c r="A11" s="334"/>
      <c r="B11" s="335"/>
      <c r="C11" s="336"/>
      <c r="D11" s="165" t="s">
        <v>49</v>
      </c>
      <c r="E11" s="166"/>
      <c r="F11" s="166"/>
      <c r="G11" s="167"/>
      <c r="H11" s="22">
        <v>5</v>
      </c>
      <c r="I11" s="37">
        <v>10</v>
      </c>
      <c r="J11" s="37">
        <v>1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1</v>
      </c>
      <c r="Z11" s="37">
        <v>1</v>
      </c>
      <c r="AA11" s="37">
        <v>0</v>
      </c>
      <c r="AB11" s="37">
        <v>10</v>
      </c>
    </row>
    <row r="12" spans="1:28" ht="27" customHeight="1" x14ac:dyDescent="0.2">
      <c r="A12" s="325" t="s">
        <v>165</v>
      </c>
      <c r="B12" s="310" t="s">
        <v>837</v>
      </c>
      <c r="C12" s="311"/>
      <c r="D12" s="311"/>
      <c r="E12" s="311"/>
      <c r="F12" s="311"/>
      <c r="G12" s="312"/>
      <c r="H12" s="22">
        <v>6</v>
      </c>
      <c r="I12" s="37">
        <v>43</v>
      </c>
      <c r="J12" s="37">
        <v>5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1</v>
      </c>
      <c r="Z12" s="37">
        <v>1</v>
      </c>
      <c r="AA12" s="37">
        <v>0</v>
      </c>
      <c r="AB12" s="37">
        <v>43</v>
      </c>
    </row>
    <row r="13" spans="1:28" ht="32.25" customHeight="1" x14ac:dyDescent="0.2">
      <c r="A13" s="326"/>
      <c r="B13" s="141" t="s">
        <v>918</v>
      </c>
      <c r="C13" s="142"/>
      <c r="D13" s="142"/>
      <c r="E13" s="142"/>
      <c r="F13" s="142"/>
      <c r="G13" s="143"/>
      <c r="H13" s="22">
        <v>7</v>
      </c>
      <c r="I13" s="37">
        <v>39</v>
      </c>
      <c r="J13" s="37">
        <v>2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1</v>
      </c>
      <c r="Z13" s="37">
        <v>1</v>
      </c>
      <c r="AA13" s="37">
        <v>0</v>
      </c>
      <c r="AB13" s="37">
        <v>39</v>
      </c>
    </row>
    <row r="14" spans="1:28" ht="27" customHeight="1" x14ac:dyDescent="0.2">
      <c r="A14" s="326"/>
      <c r="B14" s="310" t="s">
        <v>840</v>
      </c>
      <c r="C14" s="311"/>
      <c r="D14" s="311"/>
      <c r="E14" s="311"/>
      <c r="F14" s="311"/>
      <c r="G14" s="312"/>
      <c r="H14" s="22">
        <v>8</v>
      </c>
      <c r="I14" s="37">
        <v>34</v>
      </c>
      <c r="J14" s="37">
        <v>9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1</v>
      </c>
      <c r="Z14" s="37">
        <v>1</v>
      </c>
      <c r="AA14" s="37">
        <v>0</v>
      </c>
      <c r="AB14" s="37">
        <v>34</v>
      </c>
    </row>
    <row r="15" spans="1:28" ht="27" customHeight="1" x14ac:dyDescent="0.2">
      <c r="A15" s="326"/>
      <c r="B15" s="141" t="s">
        <v>846</v>
      </c>
      <c r="C15" s="142"/>
      <c r="D15" s="142"/>
      <c r="E15" s="142"/>
      <c r="F15" s="142"/>
      <c r="G15" s="143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6"/>
      <c r="B16" s="141" t="s">
        <v>847</v>
      </c>
      <c r="C16" s="142"/>
      <c r="D16" s="142"/>
      <c r="E16" s="142"/>
      <c r="F16" s="142"/>
      <c r="G16" s="143"/>
      <c r="H16" s="22">
        <v>10</v>
      </c>
      <c r="I16" s="37">
        <v>33</v>
      </c>
      <c r="J16" s="37">
        <v>9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1</v>
      </c>
      <c r="Z16" s="37">
        <v>1</v>
      </c>
      <c r="AA16" s="37">
        <v>0</v>
      </c>
      <c r="AB16" s="37">
        <v>33</v>
      </c>
    </row>
    <row r="17" spans="1:28" ht="54" customHeight="1" x14ac:dyDescent="0.2">
      <c r="A17" s="326"/>
      <c r="B17" s="141" t="s">
        <v>919</v>
      </c>
      <c r="C17" s="142"/>
      <c r="D17" s="142"/>
      <c r="E17" s="142"/>
      <c r="F17" s="142"/>
      <c r="G17" s="143"/>
      <c r="H17" s="22">
        <v>11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</row>
    <row r="18" spans="1:28" ht="40.5" customHeight="1" x14ac:dyDescent="0.2">
      <c r="A18" s="326"/>
      <c r="B18" s="141" t="s">
        <v>920</v>
      </c>
      <c r="C18" s="142"/>
      <c r="D18" s="142"/>
      <c r="E18" s="142"/>
      <c r="F18" s="142"/>
      <c r="G18" s="143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6"/>
      <c r="B19" s="310" t="s">
        <v>921</v>
      </c>
      <c r="C19" s="311"/>
      <c r="D19" s="311"/>
      <c r="E19" s="311"/>
      <c r="F19" s="311"/>
      <c r="G19" s="312"/>
      <c r="H19" s="22">
        <v>13</v>
      </c>
      <c r="I19" s="37">
        <v>4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1</v>
      </c>
      <c r="Z19" s="37">
        <v>1</v>
      </c>
      <c r="AA19" s="37">
        <v>0</v>
      </c>
      <c r="AB19" s="37">
        <v>4</v>
      </c>
    </row>
    <row r="20" spans="1:28" ht="27" customHeight="1" x14ac:dyDescent="0.2">
      <c r="A20" s="326"/>
      <c r="B20" s="141" t="s">
        <v>922</v>
      </c>
      <c r="C20" s="142"/>
      <c r="D20" s="142"/>
      <c r="E20" s="142"/>
      <c r="F20" s="142"/>
      <c r="G20" s="143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6"/>
      <c r="B21" s="310" t="s">
        <v>923</v>
      </c>
      <c r="C21" s="311"/>
      <c r="D21" s="311"/>
      <c r="E21" s="311"/>
      <c r="F21" s="311"/>
      <c r="G21" s="312"/>
      <c r="H21" s="22">
        <v>15</v>
      </c>
      <c r="I21" s="37">
        <v>184</v>
      </c>
      <c r="J21" s="37">
        <v>19</v>
      </c>
      <c r="K21" s="37">
        <v>0</v>
      </c>
      <c r="L21" s="37">
        <v>0</v>
      </c>
      <c r="M21" s="37">
        <v>0</v>
      </c>
      <c r="N21" s="37">
        <v>0</v>
      </c>
      <c r="O21" s="37">
        <v>1</v>
      </c>
      <c r="P21" s="37">
        <v>1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7</v>
      </c>
      <c r="Z21" s="37">
        <v>7</v>
      </c>
      <c r="AA21" s="37">
        <v>0</v>
      </c>
      <c r="AB21" s="37">
        <v>183</v>
      </c>
    </row>
    <row r="22" spans="1:28" ht="27" customHeight="1" x14ac:dyDescent="0.2">
      <c r="A22" s="326"/>
      <c r="B22" s="141" t="s">
        <v>898</v>
      </c>
      <c r="C22" s="142"/>
      <c r="D22" s="142"/>
      <c r="E22" s="142"/>
      <c r="F22" s="142"/>
      <c r="G22" s="143"/>
      <c r="H22" s="22">
        <v>16</v>
      </c>
      <c r="I22" s="37">
        <v>36</v>
      </c>
      <c r="J22" s="37">
        <v>1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2</v>
      </c>
      <c r="Z22" s="37">
        <v>2</v>
      </c>
      <c r="AA22" s="37">
        <v>0</v>
      </c>
      <c r="AB22" s="37">
        <v>36</v>
      </c>
    </row>
    <row r="23" spans="1:28" ht="27" customHeight="1" x14ac:dyDescent="0.2">
      <c r="A23" s="326"/>
      <c r="B23" s="141" t="s">
        <v>924</v>
      </c>
      <c r="C23" s="142"/>
      <c r="D23" s="142"/>
      <c r="E23" s="142"/>
      <c r="F23" s="142"/>
      <c r="G23" s="143"/>
      <c r="H23" s="22">
        <v>17</v>
      </c>
      <c r="I23" s="37">
        <v>40</v>
      </c>
      <c r="J23" s="37">
        <v>1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3</v>
      </c>
      <c r="Z23" s="37">
        <v>3</v>
      </c>
      <c r="AA23" s="37">
        <v>0</v>
      </c>
      <c r="AB23" s="37">
        <v>40</v>
      </c>
    </row>
    <row r="24" spans="1:28" ht="27" customHeight="1" x14ac:dyDescent="0.2">
      <c r="A24" s="326"/>
      <c r="B24" s="141" t="s">
        <v>925</v>
      </c>
      <c r="C24" s="142"/>
      <c r="D24" s="142"/>
      <c r="E24" s="142"/>
      <c r="F24" s="142"/>
      <c r="G24" s="143"/>
      <c r="H24" s="22">
        <v>18</v>
      </c>
      <c r="I24" s="37">
        <v>54</v>
      </c>
      <c r="J24" s="37">
        <v>5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1</v>
      </c>
      <c r="Z24" s="37">
        <v>1</v>
      </c>
      <c r="AA24" s="37">
        <v>0</v>
      </c>
      <c r="AB24" s="37">
        <v>54</v>
      </c>
    </row>
    <row r="25" spans="1:28" ht="27" customHeight="1" x14ac:dyDescent="0.2">
      <c r="A25" s="326"/>
      <c r="B25" s="141" t="s">
        <v>926</v>
      </c>
      <c r="C25" s="142"/>
      <c r="D25" s="142"/>
      <c r="E25" s="142"/>
      <c r="F25" s="142"/>
      <c r="G25" s="143"/>
      <c r="H25" s="22">
        <v>19</v>
      </c>
      <c r="I25" s="37">
        <v>17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17</v>
      </c>
    </row>
    <row r="26" spans="1:28" ht="29.25" customHeight="1" x14ac:dyDescent="0.2">
      <c r="A26" s="326"/>
      <c r="B26" s="141" t="s">
        <v>927</v>
      </c>
      <c r="C26" s="142"/>
      <c r="D26" s="142"/>
      <c r="E26" s="142"/>
      <c r="F26" s="142"/>
      <c r="G26" s="143"/>
      <c r="H26" s="22">
        <v>20</v>
      </c>
      <c r="I26" s="37">
        <v>17</v>
      </c>
      <c r="J26" s="37">
        <v>8</v>
      </c>
      <c r="K26" s="37">
        <v>0</v>
      </c>
      <c r="L26" s="37">
        <v>0</v>
      </c>
      <c r="M26" s="37">
        <v>0</v>
      </c>
      <c r="N26" s="37">
        <v>0</v>
      </c>
      <c r="O26" s="37">
        <v>1</v>
      </c>
      <c r="P26" s="37">
        <v>1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16</v>
      </c>
    </row>
    <row r="27" spans="1:28" ht="27" customHeight="1" x14ac:dyDescent="0.2">
      <c r="A27" s="326"/>
      <c r="B27" s="141" t="s">
        <v>928</v>
      </c>
      <c r="C27" s="142"/>
      <c r="D27" s="142"/>
      <c r="E27" s="142"/>
      <c r="F27" s="142"/>
      <c r="G27" s="143"/>
      <c r="H27" s="22">
        <v>21</v>
      </c>
      <c r="I27" s="37">
        <v>5</v>
      </c>
      <c r="J27" s="37">
        <v>2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5</v>
      </c>
    </row>
    <row r="28" spans="1:28" ht="39.75" customHeight="1" x14ac:dyDescent="0.2">
      <c r="A28" s="326"/>
      <c r="B28" s="310" t="s">
        <v>113</v>
      </c>
      <c r="C28" s="311"/>
      <c r="D28" s="311"/>
      <c r="E28" s="311"/>
      <c r="F28" s="311"/>
      <c r="G28" s="312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6"/>
      <c r="B29" s="141" t="s">
        <v>929</v>
      </c>
      <c r="C29" s="142"/>
      <c r="D29" s="142"/>
      <c r="E29" s="142"/>
      <c r="F29" s="142"/>
      <c r="G29" s="143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7"/>
      <c r="B30" s="310" t="s">
        <v>179</v>
      </c>
      <c r="C30" s="311"/>
      <c r="D30" s="311"/>
      <c r="E30" s="311"/>
      <c r="F30" s="311"/>
      <c r="G30" s="312"/>
      <c r="H30" s="22">
        <v>24</v>
      </c>
      <c r="I30" s="37">
        <v>33</v>
      </c>
      <c r="J30" s="37">
        <v>8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33</v>
      </c>
    </row>
    <row r="31" spans="1:28" ht="27" customHeight="1" x14ac:dyDescent="0.2">
      <c r="A31" s="322" t="s">
        <v>115</v>
      </c>
      <c r="B31" s="323"/>
      <c r="C31" s="323"/>
      <c r="D31" s="323"/>
      <c r="E31" s="323"/>
      <c r="F31" s="323"/>
      <c r="G31" s="324"/>
      <c r="H31" s="22">
        <v>25</v>
      </c>
      <c r="I31" s="37">
        <f t="shared" ref="I31:AB31" si="0">SUM(I7:I30)</f>
        <v>1134</v>
      </c>
      <c r="J31" s="37">
        <f t="shared" si="0"/>
        <v>150</v>
      </c>
      <c r="K31" s="37">
        <f t="shared" si="0"/>
        <v>0</v>
      </c>
      <c r="L31" s="37">
        <f t="shared" si="0"/>
        <v>0</v>
      </c>
      <c r="M31" s="37">
        <f t="shared" si="0"/>
        <v>0</v>
      </c>
      <c r="N31" s="37">
        <f t="shared" si="0"/>
        <v>0</v>
      </c>
      <c r="O31" s="37">
        <f t="shared" si="0"/>
        <v>4</v>
      </c>
      <c r="P31" s="37">
        <f t="shared" si="0"/>
        <v>4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38</v>
      </c>
      <c r="Z31" s="37">
        <f t="shared" si="0"/>
        <v>38</v>
      </c>
      <c r="AA31" s="37">
        <f t="shared" si="0"/>
        <v>0</v>
      </c>
      <c r="AB31" s="37">
        <f t="shared" si="0"/>
        <v>1130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I7&lt;&gt;SUM(K7,O7)+T7+(Y7-Z7)+AB7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K7:K30">
    <cfRule type="expression" dxfId="41" priority="5">
      <formula>SUM(L7:N7)&gt;K7</formula>
    </cfRule>
  </conditionalFormatting>
  <conditionalFormatting sqref="O7:O30">
    <cfRule type="expression" dxfId="40" priority="6">
      <formula>SUM(P7:S7)&lt;&gt;O7</formula>
    </cfRule>
  </conditionalFormatting>
  <conditionalFormatting sqref="Y7:Y30">
    <cfRule type="expression" dxfId="39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5.3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930</v>
      </c>
    </row>
    <row r="2" spans="1:28" ht="19.5" customHeight="1" x14ac:dyDescent="0.25">
      <c r="A2" s="177" t="s">
        <v>931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</row>
    <row r="3" spans="1:28" ht="29.25" customHeight="1" x14ac:dyDescent="0.2">
      <c r="A3" s="178"/>
      <c r="B3" s="179"/>
      <c r="C3" s="179"/>
      <c r="D3" s="179"/>
      <c r="E3" s="179"/>
      <c r="F3" s="179"/>
      <c r="G3" s="180"/>
      <c r="H3" s="187" t="s">
        <v>15</v>
      </c>
      <c r="I3" s="168" t="s">
        <v>1148</v>
      </c>
      <c r="J3" s="168" t="s">
        <v>16</v>
      </c>
      <c r="K3" s="168" t="s">
        <v>17</v>
      </c>
      <c r="L3" s="171" t="s">
        <v>18</v>
      </c>
      <c r="M3" s="172"/>
      <c r="N3" s="173"/>
      <c r="O3" s="168" t="s">
        <v>19</v>
      </c>
      <c r="P3" s="171" t="s">
        <v>20</v>
      </c>
      <c r="Q3" s="172"/>
      <c r="R3" s="172"/>
      <c r="S3" s="173"/>
      <c r="T3" s="168" t="s">
        <v>21</v>
      </c>
      <c r="U3" s="171" t="s">
        <v>22</v>
      </c>
      <c r="V3" s="172"/>
      <c r="W3" s="172"/>
      <c r="X3" s="173"/>
      <c r="Y3" s="171" t="s">
        <v>23</v>
      </c>
      <c r="Z3" s="172"/>
      <c r="AA3" s="173"/>
      <c r="AB3" s="168" t="s">
        <v>24</v>
      </c>
    </row>
    <row r="4" spans="1:28" ht="19.5" customHeight="1" x14ac:dyDescent="0.2">
      <c r="A4" s="181"/>
      <c r="B4" s="182"/>
      <c r="C4" s="182"/>
      <c r="D4" s="182"/>
      <c r="E4" s="182"/>
      <c r="F4" s="182"/>
      <c r="G4" s="183"/>
      <c r="H4" s="188"/>
      <c r="I4" s="170"/>
      <c r="J4" s="170"/>
      <c r="K4" s="170"/>
      <c r="L4" s="168" t="s">
        <v>25</v>
      </c>
      <c r="M4" s="168" t="s">
        <v>26</v>
      </c>
      <c r="N4" s="168" t="s">
        <v>27</v>
      </c>
      <c r="O4" s="170"/>
      <c r="P4" s="168" t="s">
        <v>28</v>
      </c>
      <c r="Q4" s="168" t="s">
        <v>29</v>
      </c>
      <c r="R4" s="168" t="s">
        <v>30</v>
      </c>
      <c r="S4" s="168" t="s">
        <v>31</v>
      </c>
      <c r="T4" s="170"/>
      <c r="U4" s="171" t="s">
        <v>32</v>
      </c>
      <c r="V4" s="172"/>
      <c r="W4" s="172"/>
      <c r="X4" s="173"/>
      <c r="Y4" s="168" t="s">
        <v>33</v>
      </c>
      <c r="Z4" s="171" t="s">
        <v>34</v>
      </c>
      <c r="AA4" s="173"/>
      <c r="AB4" s="170"/>
    </row>
    <row r="5" spans="1:28" ht="87.75" customHeight="1" x14ac:dyDescent="0.2">
      <c r="A5" s="184"/>
      <c r="B5" s="185"/>
      <c r="C5" s="185"/>
      <c r="D5" s="185"/>
      <c r="E5" s="185"/>
      <c r="F5" s="185"/>
      <c r="G5" s="186"/>
      <c r="H5" s="18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9" t="s">
        <v>35</v>
      </c>
      <c r="V5" s="16" t="s">
        <v>36</v>
      </c>
      <c r="W5" s="16" t="s">
        <v>37</v>
      </c>
      <c r="X5" s="16" t="s">
        <v>38</v>
      </c>
      <c r="Y5" s="169"/>
      <c r="Z5" s="18" t="s">
        <v>39</v>
      </c>
      <c r="AA5" s="17" t="s">
        <v>40</v>
      </c>
      <c r="AB5" s="169"/>
    </row>
    <row r="6" spans="1:28" ht="12.95" customHeight="1" x14ac:dyDescent="0.2">
      <c r="A6" s="171" t="s">
        <v>41</v>
      </c>
      <c r="B6" s="172"/>
      <c r="C6" s="172"/>
      <c r="D6" s="172"/>
      <c r="E6" s="172"/>
      <c r="F6" s="172"/>
      <c r="G6" s="173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3" t="s">
        <v>43</v>
      </c>
      <c r="B7" s="154"/>
      <c r="C7" s="154"/>
      <c r="D7" s="154"/>
      <c r="E7" s="154"/>
      <c r="F7" s="154"/>
      <c r="G7" s="155"/>
      <c r="H7" s="23">
        <v>1</v>
      </c>
      <c r="I7" s="24">
        <v>113031</v>
      </c>
      <c r="J7" s="24">
        <v>4482</v>
      </c>
      <c r="K7" s="24">
        <v>181</v>
      </c>
      <c r="L7" s="24">
        <v>1</v>
      </c>
      <c r="M7" s="24">
        <v>179</v>
      </c>
      <c r="N7" s="24">
        <v>1</v>
      </c>
      <c r="O7" s="24">
        <v>3541</v>
      </c>
      <c r="P7" s="24">
        <v>1932</v>
      </c>
      <c r="Q7" s="24">
        <v>1608</v>
      </c>
      <c r="R7" s="24">
        <v>1</v>
      </c>
      <c r="S7" s="24">
        <v>0</v>
      </c>
      <c r="T7" s="24">
        <v>0</v>
      </c>
      <c r="U7" s="24">
        <v>54</v>
      </c>
      <c r="V7" s="24">
        <v>144</v>
      </c>
      <c r="W7" s="24">
        <v>13</v>
      </c>
      <c r="X7" s="24">
        <v>2</v>
      </c>
      <c r="Y7" s="24">
        <v>886</v>
      </c>
      <c r="Z7" s="24">
        <v>884</v>
      </c>
      <c r="AA7" s="24">
        <v>0</v>
      </c>
      <c r="AB7" s="24">
        <v>109307</v>
      </c>
    </row>
    <row r="8" spans="1:28" ht="19.5" customHeight="1" x14ac:dyDescent="0.2">
      <c r="A8" s="156" t="s">
        <v>20</v>
      </c>
      <c r="B8" s="157"/>
      <c r="C8" s="158"/>
      <c r="D8" s="165" t="s">
        <v>51</v>
      </c>
      <c r="E8" s="166"/>
      <c r="F8" s="166"/>
      <c r="G8" s="167"/>
      <c r="H8" s="23">
        <v>2</v>
      </c>
      <c r="I8" s="24">
        <v>14176</v>
      </c>
      <c r="J8" s="24">
        <v>344</v>
      </c>
      <c r="K8" s="24">
        <v>27</v>
      </c>
      <c r="L8" s="24">
        <v>0</v>
      </c>
      <c r="M8" s="24">
        <v>27</v>
      </c>
      <c r="N8" s="24">
        <v>0</v>
      </c>
      <c r="O8" s="24">
        <v>140</v>
      </c>
      <c r="P8" s="24">
        <v>126</v>
      </c>
      <c r="Q8" s="24">
        <v>13</v>
      </c>
      <c r="R8" s="24">
        <v>1</v>
      </c>
      <c r="S8" s="24">
        <v>0</v>
      </c>
      <c r="T8" s="24">
        <v>0</v>
      </c>
      <c r="U8" s="24">
        <v>7</v>
      </c>
      <c r="V8" s="24">
        <v>39</v>
      </c>
      <c r="W8" s="24">
        <v>2</v>
      </c>
      <c r="X8" s="24">
        <v>0</v>
      </c>
      <c r="Y8" s="24">
        <v>29</v>
      </c>
      <c r="Z8" s="24">
        <v>29</v>
      </c>
      <c r="AA8" s="24">
        <v>0</v>
      </c>
      <c r="AB8" s="24">
        <v>14009</v>
      </c>
    </row>
    <row r="9" spans="1:28" ht="19.5" customHeight="1" x14ac:dyDescent="0.2">
      <c r="A9" s="159"/>
      <c r="B9" s="160"/>
      <c r="C9" s="161"/>
      <c r="D9" s="165" t="s">
        <v>52</v>
      </c>
      <c r="E9" s="166"/>
      <c r="F9" s="166"/>
      <c r="G9" s="167"/>
      <c r="H9" s="23">
        <v>3</v>
      </c>
      <c r="I9" s="24">
        <v>96222</v>
      </c>
      <c r="J9" s="24">
        <v>3648</v>
      </c>
      <c r="K9" s="24">
        <v>149</v>
      </c>
      <c r="L9" s="24">
        <v>1</v>
      </c>
      <c r="M9" s="24">
        <v>147</v>
      </c>
      <c r="N9" s="24">
        <v>1</v>
      </c>
      <c r="O9" s="24">
        <v>2975</v>
      </c>
      <c r="P9" s="24">
        <v>1380</v>
      </c>
      <c r="Q9" s="24">
        <v>1595</v>
      </c>
      <c r="R9" s="24">
        <v>0</v>
      </c>
      <c r="S9" s="24">
        <v>0</v>
      </c>
      <c r="T9" s="24">
        <v>0</v>
      </c>
      <c r="U9" s="24">
        <v>45</v>
      </c>
      <c r="V9" s="24">
        <v>71</v>
      </c>
      <c r="W9" s="24">
        <v>1</v>
      </c>
      <c r="X9" s="24">
        <v>2</v>
      </c>
      <c r="Y9" s="24">
        <v>679</v>
      </c>
      <c r="Z9" s="24">
        <v>677</v>
      </c>
      <c r="AA9" s="24">
        <v>0</v>
      </c>
      <c r="AB9" s="24">
        <v>93096</v>
      </c>
    </row>
    <row r="10" spans="1:28" ht="19.5" customHeight="1" x14ac:dyDescent="0.2">
      <c r="A10" s="159"/>
      <c r="B10" s="160"/>
      <c r="C10" s="161"/>
      <c r="D10" s="165" t="s">
        <v>182</v>
      </c>
      <c r="E10" s="166"/>
      <c r="F10" s="166"/>
      <c r="G10" s="167"/>
      <c r="H10" s="23">
        <v>4</v>
      </c>
      <c r="I10" s="24">
        <v>2138</v>
      </c>
      <c r="J10" s="24">
        <v>381</v>
      </c>
      <c r="K10" s="24">
        <v>5</v>
      </c>
      <c r="L10" s="24">
        <v>0</v>
      </c>
      <c r="M10" s="24">
        <v>5</v>
      </c>
      <c r="N10" s="24">
        <v>0</v>
      </c>
      <c r="O10" s="24">
        <v>329</v>
      </c>
      <c r="P10" s="24">
        <v>329</v>
      </c>
      <c r="Q10" s="24">
        <v>0</v>
      </c>
      <c r="R10" s="24">
        <v>0</v>
      </c>
      <c r="S10" s="24">
        <v>0</v>
      </c>
      <c r="T10" s="24">
        <v>0</v>
      </c>
      <c r="U10" s="24">
        <v>1</v>
      </c>
      <c r="V10" s="24">
        <v>33</v>
      </c>
      <c r="W10" s="24">
        <v>8</v>
      </c>
      <c r="X10" s="24">
        <v>0</v>
      </c>
      <c r="Y10" s="24">
        <v>141</v>
      </c>
      <c r="Z10" s="24">
        <v>141</v>
      </c>
      <c r="AA10" s="24">
        <v>0</v>
      </c>
      <c r="AB10" s="24">
        <v>1804</v>
      </c>
    </row>
    <row r="11" spans="1:28" ht="19.5" customHeight="1" x14ac:dyDescent="0.2">
      <c r="A11" s="162"/>
      <c r="B11" s="163"/>
      <c r="C11" s="164"/>
      <c r="D11" s="165" t="s">
        <v>49</v>
      </c>
      <c r="E11" s="166"/>
      <c r="F11" s="166"/>
      <c r="G11" s="167"/>
      <c r="H11" s="23">
        <v>5</v>
      </c>
      <c r="I11" s="24">
        <v>474</v>
      </c>
      <c r="J11" s="24">
        <v>106</v>
      </c>
      <c r="K11" s="24">
        <v>0</v>
      </c>
      <c r="L11" s="24">
        <v>0</v>
      </c>
      <c r="M11" s="24">
        <v>0</v>
      </c>
      <c r="N11" s="24">
        <v>0</v>
      </c>
      <c r="O11" s="24">
        <v>97</v>
      </c>
      <c r="P11" s="24">
        <v>97</v>
      </c>
      <c r="Q11" s="24">
        <v>0</v>
      </c>
      <c r="R11" s="24">
        <v>0</v>
      </c>
      <c r="S11" s="24">
        <v>0</v>
      </c>
      <c r="T11" s="24">
        <v>0</v>
      </c>
      <c r="U11" s="24">
        <v>1</v>
      </c>
      <c r="V11" s="24">
        <v>1</v>
      </c>
      <c r="W11" s="24">
        <v>2</v>
      </c>
      <c r="X11" s="24">
        <v>0</v>
      </c>
      <c r="Y11" s="24">
        <v>33</v>
      </c>
      <c r="Z11" s="24">
        <v>33</v>
      </c>
      <c r="AA11" s="24">
        <v>0</v>
      </c>
      <c r="AB11" s="24">
        <v>377</v>
      </c>
    </row>
    <row r="12" spans="1:28" ht="30" customHeight="1" x14ac:dyDescent="0.2">
      <c r="A12" s="304" t="s">
        <v>95</v>
      </c>
      <c r="B12" s="305"/>
      <c r="C12" s="305"/>
      <c r="D12" s="305"/>
      <c r="E12" s="305"/>
      <c r="F12" s="305"/>
      <c r="G12" s="306"/>
      <c r="H12" s="23">
        <v>6</v>
      </c>
      <c r="I12" s="31">
        <v>201</v>
      </c>
      <c r="J12" s="31">
        <v>77</v>
      </c>
      <c r="K12" s="31">
        <v>10</v>
      </c>
      <c r="L12" s="31">
        <v>0</v>
      </c>
      <c r="M12" s="31">
        <v>10</v>
      </c>
      <c r="N12" s="31">
        <v>0</v>
      </c>
      <c r="O12" s="31">
        <v>39</v>
      </c>
      <c r="P12" s="31">
        <v>39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2</v>
      </c>
      <c r="Z12" s="31">
        <v>2</v>
      </c>
      <c r="AA12" s="31">
        <v>0</v>
      </c>
      <c r="AB12" s="31">
        <v>152</v>
      </c>
    </row>
    <row r="13" spans="1:28" ht="29.25" customHeight="1" x14ac:dyDescent="0.2">
      <c r="A13" s="304" t="s">
        <v>96</v>
      </c>
      <c r="B13" s="305"/>
      <c r="C13" s="305"/>
      <c r="D13" s="305"/>
      <c r="E13" s="305"/>
      <c r="F13" s="305"/>
      <c r="G13" s="306"/>
      <c r="H13" s="23">
        <v>7</v>
      </c>
      <c r="I13" s="31">
        <v>151</v>
      </c>
      <c r="J13" s="31">
        <v>39</v>
      </c>
      <c r="K13" s="31">
        <v>1</v>
      </c>
      <c r="L13" s="31">
        <v>0</v>
      </c>
      <c r="M13" s="31">
        <v>1</v>
      </c>
      <c r="N13" s="31">
        <v>0</v>
      </c>
      <c r="O13" s="31">
        <v>24</v>
      </c>
      <c r="P13" s="31">
        <v>23</v>
      </c>
      <c r="Q13" s="31">
        <v>0</v>
      </c>
      <c r="R13" s="31">
        <v>1</v>
      </c>
      <c r="S13" s="31">
        <v>0</v>
      </c>
      <c r="T13" s="31">
        <v>0</v>
      </c>
      <c r="U13" s="31">
        <v>0</v>
      </c>
      <c r="V13" s="31">
        <v>3</v>
      </c>
      <c r="W13" s="31">
        <v>6</v>
      </c>
      <c r="X13" s="31">
        <v>0</v>
      </c>
      <c r="Y13" s="31">
        <v>5</v>
      </c>
      <c r="Z13" s="31">
        <v>5</v>
      </c>
      <c r="AA13" s="31">
        <v>0</v>
      </c>
      <c r="AB13" s="31">
        <v>126</v>
      </c>
    </row>
    <row r="14" spans="1:28" ht="24" customHeight="1" x14ac:dyDescent="0.2">
      <c r="A14" s="342" t="s">
        <v>34</v>
      </c>
      <c r="B14" s="138" t="s">
        <v>932</v>
      </c>
      <c r="C14" s="139"/>
      <c r="D14" s="139"/>
      <c r="E14" s="139"/>
      <c r="F14" s="139"/>
      <c r="G14" s="140"/>
      <c r="H14" s="23">
        <v>8</v>
      </c>
      <c r="I14" s="31">
        <v>19</v>
      </c>
      <c r="J14" s="31">
        <v>14</v>
      </c>
      <c r="K14" s="31">
        <v>1</v>
      </c>
      <c r="L14" s="31">
        <v>0</v>
      </c>
      <c r="M14" s="31">
        <v>1</v>
      </c>
      <c r="N14" s="31">
        <v>0</v>
      </c>
      <c r="O14" s="31">
        <v>7</v>
      </c>
      <c r="P14" s="31">
        <v>6</v>
      </c>
      <c r="Q14" s="31">
        <v>0</v>
      </c>
      <c r="R14" s="31">
        <v>1</v>
      </c>
      <c r="S14" s="31">
        <v>0</v>
      </c>
      <c r="T14" s="31">
        <v>0</v>
      </c>
      <c r="U14" s="31">
        <v>0</v>
      </c>
      <c r="V14" s="31">
        <v>0</v>
      </c>
      <c r="W14" s="31">
        <v>2</v>
      </c>
      <c r="X14" s="31">
        <v>0</v>
      </c>
      <c r="Y14" s="31">
        <v>1</v>
      </c>
      <c r="Z14" s="31">
        <v>1</v>
      </c>
      <c r="AA14" s="31">
        <v>0</v>
      </c>
      <c r="AB14" s="31">
        <v>11</v>
      </c>
    </row>
    <row r="15" spans="1:28" ht="24" customHeight="1" x14ac:dyDescent="0.2">
      <c r="A15" s="343"/>
      <c r="B15" s="138" t="s">
        <v>205</v>
      </c>
      <c r="C15" s="139"/>
      <c r="D15" s="139"/>
      <c r="E15" s="139"/>
      <c r="F15" s="139"/>
      <c r="G15" s="140"/>
      <c r="H15" s="23">
        <v>9</v>
      </c>
      <c r="I15" s="31">
        <v>8</v>
      </c>
      <c r="J15" s="31">
        <v>4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7</v>
      </c>
    </row>
    <row r="16" spans="1:28" ht="24" customHeight="1" x14ac:dyDescent="0.2">
      <c r="A16" s="343"/>
      <c r="B16" s="32" t="s">
        <v>34</v>
      </c>
      <c r="C16" s="138" t="s">
        <v>207</v>
      </c>
      <c r="D16" s="139"/>
      <c r="E16" s="139"/>
      <c r="F16" s="139"/>
      <c r="G16" s="140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43"/>
      <c r="B17" s="138" t="s">
        <v>933</v>
      </c>
      <c r="C17" s="139"/>
      <c r="D17" s="139"/>
      <c r="E17" s="139"/>
      <c r="F17" s="139"/>
      <c r="G17" s="140"/>
      <c r="H17" s="23">
        <v>11</v>
      </c>
      <c r="I17" s="31">
        <v>52</v>
      </c>
      <c r="J17" s="31">
        <v>7</v>
      </c>
      <c r="K17" s="31">
        <v>0</v>
      </c>
      <c r="L17" s="31">
        <v>0</v>
      </c>
      <c r="M17" s="31">
        <v>0</v>
      </c>
      <c r="N17" s="31">
        <v>0</v>
      </c>
      <c r="O17" s="31">
        <v>7</v>
      </c>
      <c r="P17" s="31">
        <v>7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1</v>
      </c>
      <c r="X17" s="31">
        <v>0</v>
      </c>
      <c r="Y17" s="31">
        <v>2</v>
      </c>
      <c r="Z17" s="31">
        <v>2</v>
      </c>
      <c r="AA17" s="31">
        <v>0</v>
      </c>
      <c r="AB17" s="31">
        <v>45</v>
      </c>
    </row>
    <row r="18" spans="1:28" ht="24" customHeight="1" x14ac:dyDescent="0.2">
      <c r="A18" s="343"/>
      <c r="B18" s="138" t="s">
        <v>934</v>
      </c>
      <c r="C18" s="139"/>
      <c r="D18" s="139"/>
      <c r="E18" s="139"/>
      <c r="F18" s="139"/>
      <c r="G18" s="140"/>
      <c r="H18" s="23">
        <v>12</v>
      </c>
      <c r="I18" s="31">
        <v>16</v>
      </c>
      <c r="J18" s="31">
        <v>4</v>
      </c>
      <c r="K18" s="31">
        <v>0</v>
      </c>
      <c r="L18" s="31">
        <v>0</v>
      </c>
      <c r="M18" s="31">
        <v>0</v>
      </c>
      <c r="N18" s="31">
        <v>0</v>
      </c>
      <c r="O18" s="31">
        <v>1</v>
      </c>
      <c r="P18" s="31">
        <v>1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1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15</v>
      </c>
    </row>
    <row r="19" spans="1:28" ht="24" customHeight="1" x14ac:dyDescent="0.2">
      <c r="A19" s="344"/>
      <c r="B19" s="138" t="s">
        <v>179</v>
      </c>
      <c r="C19" s="139"/>
      <c r="D19" s="139"/>
      <c r="E19" s="139"/>
      <c r="F19" s="139"/>
      <c r="G19" s="140"/>
      <c r="H19" s="23">
        <v>13</v>
      </c>
      <c r="I19" s="31">
        <v>45</v>
      </c>
      <c r="J19" s="31">
        <v>10</v>
      </c>
      <c r="K19" s="31">
        <v>0</v>
      </c>
      <c r="L19" s="31">
        <v>0</v>
      </c>
      <c r="M19" s="31">
        <v>0</v>
      </c>
      <c r="N19" s="31">
        <v>0</v>
      </c>
      <c r="O19" s="31">
        <v>8</v>
      </c>
      <c r="P19" s="31">
        <v>8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2</v>
      </c>
      <c r="W19" s="31">
        <v>3</v>
      </c>
      <c r="X19" s="31">
        <v>0</v>
      </c>
      <c r="Y19" s="31">
        <v>1</v>
      </c>
      <c r="Z19" s="31">
        <v>1</v>
      </c>
      <c r="AA19" s="31">
        <v>0</v>
      </c>
      <c r="AB19" s="31">
        <v>37</v>
      </c>
    </row>
    <row r="20" spans="1:28" ht="27" customHeight="1" x14ac:dyDescent="0.2">
      <c r="A20" s="304" t="s">
        <v>97</v>
      </c>
      <c r="B20" s="305"/>
      <c r="C20" s="305"/>
      <c r="D20" s="305"/>
      <c r="E20" s="305"/>
      <c r="F20" s="305"/>
      <c r="G20" s="306"/>
      <c r="H20" s="23">
        <v>14</v>
      </c>
      <c r="I20" s="31">
        <v>51</v>
      </c>
      <c r="J20" s="31">
        <v>6</v>
      </c>
      <c r="K20" s="31">
        <v>1</v>
      </c>
      <c r="L20" s="31">
        <v>0</v>
      </c>
      <c r="M20" s="31">
        <v>1</v>
      </c>
      <c r="N20" s="31">
        <v>0</v>
      </c>
      <c r="O20" s="31">
        <v>2</v>
      </c>
      <c r="P20" s="31">
        <v>2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2</v>
      </c>
      <c r="W20" s="31">
        <v>0</v>
      </c>
      <c r="X20" s="31">
        <v>0</v>
      </c>
      <c r="Y20" s="31">
        <v>2</v>
      </c>
      <c r="Z20" s="31">
        <v>2</v>
      </c>
      <c r="AA20" s="31">
        <v>0</v>
      </c>
      <c r="AB20" s="31">
        <v>48</v>
      </c>
    </row>
    <row r="21" spans="1:28" ht="24" customHeight="1" x14ac:dyDescent="0.2">
      <c r="A21" s="216" t="s">
        <v>34</v>
      </c>
      <c r="B21" s="138" t="s">
        <v>935</v>
      </c>
      <c r="C21" s="139"/>
      <c r="D21" s="139"/>
      <c r="E21" s="139"/>
      <c r="F21" s="139"/>
      <c r="G21" s="140"/>
      <c r="H21" s="23">
        <v>15</v>
      </c>
      <c r="I21" s="31">
        <v>41</v>
      </c>
      <c r="J21" s="31">
        <v>5</v>
      </c>
      <c r="K21" s="31">
        <v>0</v>
      </c>
      <c r="L21" s="31">
        <v>0</v>
      </c>
      <c r="M21" s="31">
        <v>0</v>
      </c>
      <c r="N21" s="31">
        <v>0</v>
      </c>
      <c r="O21" s="31">
        <v>2</v>
      </c>
      <c r="P21" s="31">
        <v>2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2</v>
      </c>
      <c r="W21" s="31">
        <v>0</v>
      </c>
      <c r="X21" s="31">
        <v>0</v>
      </c>
      <c r="Y21" s="31">
        <v>2</v>
      </c>
      <c r="Z21" s="31">
        <v>2</v>
      </c>
      <c r="AA21" s="31">
        <v>0</v>
      </c>
      <c r="AB21" s="31">
        <v>39</v>
      </c>
    </row>
    <row r="22" spans="1:28" ht="24" customHeight="1" x14ac:dyDescent="0.2">
      <c r="A22" s="233"/>
      <c r="B22" s="138" t="s">
        <v>251</v>
      </c>
      <c r="C22" s="139"/>
      <c r="D22" s="139"/>
      <c r="E22" s="139"/>
      <c r="F22" s="139"/>
      <c r="G22" s="140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4" customHeight="1" x14ac:dyDescent="0.2">
      <c r="A23" s="233"/>
      <c r="B23" s="216" t="s">
        <v>32</v>
      </c>
      <c r="C23" s="138" t="s">
        <v>252</v>
      </c>
      <c r="D23" s="139"/>
      <c r="E23" s="139"/>
      <c r="F23" s="139"/>
      <c r="G23" s="140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33"/>
      <c r="B24" s="217"/>
      <c r="C24" s="138" t="s">
        <v>253</v>
      </c>
      <c r="D24" s="139"/>
      <c r="E24" s="139"/>
      <c r="F24" s="139"/>
      <c r="G24" s="140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17"/>
      <c r="B25" s="138" t="s">
        <v>179</v>
      </c>
      <c r="C25" s="139"/>
      <c r="D25" s="139"/>
      <c r="E25" s="139"/>
      <c r="F25" s="139"/>
      <c r="G25" s="140"/>
      <c r="H25" s="23">
        <v>19</v>
      </c>
      <c r="I25" s="31">
        <v>9</v>
      </c>
      <c r="J25" s="31">
        <v>1</v>
      </c>
      <c r="K25" s="31">
        <v>1</v>
      </c>
      <c r="L25" s="31">
        <v>0</v>
      </c>
      <c r="M25" s="31">
        <v>1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8</v>
      </c>
    </row>
    <row r="26" spans="1:28" ht="32.25" customHeight="1" x14ac:dyDescent="0.2">
      <c r="A26" s="304" t="s">
        <v>98</v>
      </c>
      <c r="B26" s="305"/>
      <c r="C26" s="305"/>
      <c r="D26" s="305"/>
      <c r="E26" s="305"/>
      <c r="F26" s="305"/>
      <c r="G26" s="306"/>
      <c r="H26" s="23">
        <v>20</v>
      </c>
      <c r="I26" s="31">
        <v>5</v>
      </c>
      <c r="J26" s="31">
        <v>3</v>
      </c>
      <c r="K26" s="31">
        <v>0</v>
      </c>
      <c r="L26" s="31">
        <v>0</v>
      </c>
      <c r="M26" s="31">
        <v>0</v>
      </c>
      <c r="N26" s="31">
        <v>0</v>
      </c>
      <c r="O26" s="31">
        <v>1</v>
      </c>
      <c r="P26" s="31">
        <v>1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4</v>
      </c>
    </row>
    <row r="27" spans="1:28" ht="33" customHeight="1" x14ac:dyDescent="0.2">
      <c r="A27" s="304" t="s">
        <v>99</v>
      </c>
      <c r="B27" s="305"/>
      <c r="C27" s="305"/>
      <c r="D27" s="305"/>
      <c r="E27" s="305"/>
      <c r="F27" s="305"/>
      <c r="G27" s="306"/>
      <c r="H27" s="23">
        <v>21</v>
      </c>
      <c r="I27" s="31">
        <v>62</v>
      </c>
      <c r="J27" s="31">
        <v>2</v>
      </c>
      <c r="K27" s="31">
        <v>0</v>
      </c>
      <c r="L27" s="31">
        <v>0</v>
      </c>
      <c r="M27" s="31">
        <v>0</v>
      </c>
      <c r="N27" s="31">
        <v>0</v>
      </c>
      <c r="O27" s="31">
        <v>1</v>
      </c>
      <c r="P27" s="31">
        <v>1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2</v>
      </c>
      <c r="Z27" s="31">
        <v>2</v>
      </c>
      <c r="AA27" s="31">
        <v>0</v>
      </c>
      <c r="AB27" s="31">
        <v>61</v>
      </c>
    </row>
    <row r="28" spans="1:28" ht="51" customHeight="1" x14ac:dyDescent="0.2">
      <c r="A28" s="216" t="s">
        <v>34</v>
      </c>
      <c r="B28" s="138" t="s">
        <v>936</v>
      </c>
      <c r="C28" s="139"/>
      <c r="D28" s="139"/>
      <c r="E28" s="139"/>
      <c r="F28" s="139"/>
      <c r="G28" s="140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63" customHeight="1" x14ac:dyDescent="0.2">
      <c r="A29" s="233"/>
      <c r="B29" s="138" t="s">
        <v>937</v>
      </c>
      <c r="C29" s="139"/>
      <c r="D29" s="139"/>
      <c r="E29" s="139"/>
      <c r="F29" s="139"/>
      <c r="G29" s="140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33"/>
      <c r="B30" s="138" t="s">
        <v>938</v>
      </c>
      <c r="C30" s="139"/>
      <c r="D30" s="139"/>
      <c r="E30" s="139"/>
      <c r="F30" s="139"/>
      <c r="G30" s="140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33"/>
      <c r="B31" s="138" t="s">
        <v>939</v>
      </c>
      <c r="C31" s="139"/>
      <c r="D31" s="139"/>
      <c r="E31" s="139"/>
      <c r="F31" s="139"/>
      <c r="G31" s="140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33"/>
      <c r="B32" s="138" t="s">
        <v>275</v>
      </c>
      <c r="C32" s="139"/>
      <c r="D32" s="139"/>
      <c r="E32" s="139"/>
      <c r="F32" s="139"/>
      <c r="G32" s="140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33"/>
      <c r="B33" s="216" t="s">
        <v>32</v>
      </c>
      <c r="C33" s="139" t="s">
        <v>276</v>
      </c>
      <c r="D33" s="139"/>
      <c r="E33" s="139"/>
      <c r="F33" s="139"/>
      <c r="G33" s="140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33"/>
      <c r="B34" s="217"/>
      <c r="C34" s="139" t="s">
        <v>277</v>
      </c>
      <c r="D34" s="139"/>
      <c r="E34" s="139"/>
      <c r="F34" s="139"/>
      <c r="G34" s="140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33"/>
      <c r="B35" s="138" t="s">
        <v>940</v>
      </c>
      <c r="C35" s="139"/>
      <c r="D35" s="139"/>
      <c r="E35" s="139"/>
      <c r="F35" s="139"/>
      <c r="G35" s="140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33"/>
      <c r="B36" s="138" t="s">
        <v>941</v>
      </c>
      <c r="C36" s="139"/>
      <c r="D36" s="139"/>
      <c r="E36" s="139"/>
      <c r="F36" s="139"/>
      <c r="G36" s="140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33"/>
      <c r="B37" s="216" t="s">
        <v>32</v>
      </c>
      <c r="C37" s="138" t="s">
        <v>280</v>
      </c>
      <c r="D37" s="139"/>
      <c r="E37" s="139"/>
      <c r="F37" s="139"/>
      <c r="G37" s="140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33"/>
      <c r="B38" s="217"/>
      <c r="C38" s="139" t="s">
        <v>281</v>
      </c>
      <c r="D38" s="139"/>
      <c r="E38" s="139"/>
      <c r="F38" s="139"/>
      <c r="G38" s="140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33"/>
      <c r="B39" s="138" t="s">
        <v>942</v>
      </c>
      <c r="C39" s="139"/>
      <c r="D39" s="139"/>
      <c r="E39" s="139"/>
      <c r="F39" s="139"/>
      <c r="G39" s="140"/>
      <c r="H39" s="23">
        <v>33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4" customHeight="1" x14ac:dyDescent="0.2">
      <c r="A40" s="217"/>
      <c r="B40" s="138" t="s">
        <v>179</v>
      </c>
      <c r="C40" s="139"/>
      <c r="D40" s="139"/>
      <c r="E40" s="139"/>
      <c r="F40" s="139"/>
      <c r="G40" s="140"/>
      <c r="H40" s="23">
        <v>34</v>
      </c>
      <c r="I40" s="31">
        <v>62</v>
      </c>
      <c r="J40" s="31">
        <v>2</v>
      </c>
      <c r="K40" s="31">
        <v>0</v>
      </c>
      <c r="L40" s="31">
        <v>0</v>
      </c>
      <c r="M40" s="31">
        <v>0</v>
      </c>
      <c r="N40" s="31">
        <v>0</v>
      </c>
      <c r="O40" s="31">
        <v>1</v>
      </c>
      <c r="P40" s="31">
        <v>1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2</v>
      </c>
      <c r="Z40" s="31">
        <v>2</v>
      </c>
      <c r="AA40" s="31">
        <v>0</v>
      </c>
      <c r="AB40" s="31">
        <v>61</v>
      </c>
    </row>
    <row r="41" spans="1:28" ht="23.25" customHeight="1" x14ac:dyDescent="0.2">
      <c r="A41" s="304" t="s">
        <v>100</v>
      </c>
      <c r="B41" s="305"/>
      <c r="C41" s="305"/>
      <c r="D41" s="305"/>
      <c r="E41" s="305"/>
      <c r="F41" s="305"/>
      <c r="G41" s="306"/>
      <c r="H41" s="23">
        <v>35</v>
      </c>
      <c r="I41" s="31">
        <v>350</v>
      </c>
      <c r="J41" s="31">
        <v>107</v>
      </c>
      <c r="K41" s="31">
        <v>1</v>
      </c>
      <c r="L41" s="31">
        <v>0</v>
      </c>
      <c r="M41" s="31">
        <v>1</v>
      </c>
      <c r="N41" s="31">
        <v>0</v>
      </c>
      <c r="O41" s="31">
        <v>48</v>
      </c>
      <c r="P41" s="31">
        <v>48</v>
      </c>
      <c r="Q41" s="31">
        <v>0</v>
      </c>
      <c r="R41" s="31">
        <v>0</v>
      </c>
      <c r="S41" s="31">
        <v>0</v>
      </c>
      <c r="T41" s="31">
        <v>0</v>
      </c>
      <c r="U41" s="31">
        <v>1</v>
      </c>
      <c r="V41" s="31">
        <v>19</v>
      </c>
      <c r="W41" s="31">
        <v>0</v>
      </c>
      <c r="X41" s="31">
        <v>0</v>
      </c>
      <c r="Y41" s="31">
        <v>5</v>
      </c>
      <c r="Z41" s="31">
        <v>5</v>
      </c>
      <c r="AA41" s="31">
        <v>0</v>
      </c>
      <c r="AB41" s="31">
        <v>301</v>
      </c>
    </row>
    <row r="42" spans="1:28" ht="31.5" customHeight="1" x14ac:dyDescent="0.2">
      <c r="A42" s="216" t="s">
        <v>34</v>
      </c>
      <c r="B42" s="138" t="s">
        <v>943</v>
      </c>
      <c r="C42" s="139"/>
      <c r="D42" s="139"/>
      <c r="E42" s="139"/>
      <c r="F42" s="139"/>
      <c r="G42" s="140"/>
      <c r="H42" s="23">
        <v>36</v>
      </c>
      <c r="I42" s="31">
        <v>185</v>
      </c>
      <c r="J42" s="31">
        <v>63</v>
      </c>
      <c r="K42" s="31">
        <v>0</v>
      </c>
      <c r="L42" s="31">
        <v>0</v>
      </c>
      <c r="M42" s="31">
        <v>0</v>
      </c>
      <c r="N42" s="31">
        <v>0</v>
      </c>
      <c r="O42" s="31">
        <v>23</v>
      </c>
      <c r="P42" s="31">
        <v>23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13</v>
      </c>
      <c r="W42" s="31">
        <v>0</v>
      </c>
      <c r="X42" s="31">
        <v>0</v>
      </c>
      <c r="Y42" s="31">
        <v>3</v>
      </c>
      <c r="Z42" s="31">
        <v>3</v>
      </c>
      <c r="AA42" s="31">
        <v>0</v>
      </c>
      <c r="AB42" s="31">
        <v>162</v>
      </c>
    </row>
    <row r="43" spans="1:28" ht="24" customHeight="1" x14ac:dyDescent="0.2">
      <c r="A43" s="217"/>
      <c r="B43" s="138" t="s">
        <v>179</v>
      </c>
      <c r="C43" s="139"/>
      <c r="D43" s="139"/>
      <c r="E43" s="139"/>
      <c r="F43" s="139"/>
      <c r="G43" s="140"/>
      <c r="H43" s="23">
        <v>37</v>
      </c>
      <c r="I43" s="31">
        <v>165</v>
      </c>
      <c r="J43" s="31">
        <v>44</v>
      </c>
      <c r="K43" s="31">
        <v>1</v>
      </c>
      <c r="L43" s="31">
        <v>0</v>
      </c>
      <c r="M43" s="31">
        <v>1</v>
      </c>
      <c r="N43" s="31">
        <v>0</v>
      </c>
      <c r="O43" s="31">
        <v>25</v>
      </c>
      <c r="P43" s="31">
        <v>25</v>
      </c>
      <c r="Q43" s="31">
        <v>0</v>
      </c>
      <c r="R43" s="31">
        <v>0</v>
      </c>
      <c r="S43" s="31">
        <v>0</v>
      </c>
      <c r="T43" s="31">
        <v>0</v>
      </c>
      <c r="U43" s="31">
        <v>1</v>
      </c>
      <c r="V43" s="31">
        <v>6</v>
      </c>
      <c r="W43" s="31">
        <v>0</v>
      </c>
      <c r="X43" s="31">
        <v>0</v>
      </c>
      <c r="Y43" s="31">
        <v>2</v>
      </c>
      <c r="Z43" s="31">
        <v>2</v>
      </c>
      <c r="AA43" s="31">
        <v>0</v>
      </c>
      <c r="AB43" s="31">
        <v>139</v>
      </c>
    </row>
    <row r="44" spans="1:28" ht="28.5" customHeight="1" x14ac:dyDescent="0.2">
      <c r="A44" s="304" t="s">
        <v>101</v>
      </c>
      <c r="B44" s="305"/>
      <c r="C44" s="305"/>
      <c r="D44" s="305"/>
      <c r="E44" s="305"/>
      <c r="F44" s="305"/>
      <c r="G44" s="306"/>
      <c r="H44" s="23">
        <v>38</v>
      </c>
      <c r="I44" s="31">
        <v>139</v>
      </c>
      <c r="J44" s="31">
        <v>77</v>
      </c>
      <c r="K44" s="31">
        <v>0</v>
      </c>
      <c r="L44" s="31">
        <v>0</v>
      </c>
      <c r="M44" s="31">
        <v>0</v>
      </c>
      <c r="N44" s="31">
        <v>0</v>
      </c>
      <c r="O44" s="31">
        <v>10</v>
      </c>
      <c r="P44" s="31">
        <v>10</v>
      </c>
      <c r="Q44" s="31">
        <v>0</v>
      </c>
      <c r="R44" s="31">
        <v>0</v>
      </c>
      <c r="S44" s="31">
        <v>0</v>
      </c>
      <c r="T44" s="31">
        <v>0</v>
      </c>
      <c r="U44" s="31">
        <v>1</v>
      </c>
      <c r="V44" s="31">
        <v>1</v>
      </c>
      <c r="W44" s="31">
        <v>0</v>
      </c>
      <c r="X44" s="31">
        <v>0</v>
      </c>
      <c r="Y44" s="31">
        <v>2</v>
      </c>
      <c r="Z44" s="31">
        <v>2</v>
      </c>
      <c r="AA44" s="31">
        <v>0</v>
      </c>
      <c r="AB44" s="31">
        <v>129</v>
      </c>
    </row>
    <row r="45" spans="1:28" ht="24" customHeight="1" x14ac:dyDescent="0.2">
      <c r="A45" s="216" t="s">
        <v>34</v>
      </c>
      <c r="B45" s="138" t="s">
        <v>367</v>
      </c>
      <c r="C45" s="139"/>
      <c r="D45" s="139"/>
      <c r="E45" s="139"/>
      <c r="F45" s="139"/>
      <c r="G45" s="140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75.75" customHeight="1" x14ac:dyDescent="0.2">
      <c r="A46" s="233"/>
      <c r="B46" s="138" t="s">
        <v>368</v>
      </c>
      <c r="C46" s="139"/>
      <c r="D46" s="139"/>
      <c r="E46" s="139"/>
      <c r="F46" s="139"/>
      <c r="G46" s="140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33"/>
      <c r="B47" s="174" t="s">
        <v>944</v>
      </c>
      <c r="C47" s="175"/>
      <c r="D47" s="175"/>
      <c r="E47" s="175"/>
      <c r="F47" s="175"/>
      <c r="G47" s="176"/>
      <c r="H47" s="23">
        <v>41</v>
      </c>
      <c r="I47" s="31">
        <v>8</v>
      </c>
      <c r="J47" s="31">
        <v>6</v>
      </c>
      <c r="K47" s="31">
        <v>0</v>
      </c>
      <c r="L47" s="31">
        <v>0</v>
      </c>
      <c r="M47" s="31">
        <v>0</v>
      </c>
      <c r="N47" s="31">
        <v>0</v>
      </c>
      <c r="O47" s="31">
        <v>6</v>
      </c>
      <c r="P47" s="31">
        <v>6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2</v>
      </c>
      <c r="Z47" s="31">
        <v>2</v>
      </c>
      <c r="AA47" s="31">
        <v>0</v>
      </c>
      <c r="AB47" s="31">
        <v>2</v>
      </c>
    </row>
    <row r="48" spans="1:28" ht="26.25" customHeight="1" x14ac:dyDescent="0.2">
      <c r="A48" s="233"/>
      <c r="B48" s="174" t="s">
        <v>379</v>
      </c>
      <c r="C48" s="175"/>
      <c r="D48" s="175"/>
      <c r="E48" s="175"/>
      <c r="F48" s="175"/>
      <c r="G48" s="176"/>
      <c r="H48" s="23">
        <v>42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6.25" customHeight="1" x14ac:dyDescent="0.2">
      <c r="A49" s="233"/>
      <c r="B49" s="174" t="s">
        <v>380</v>
      </c>
      <c r="C49" s="175"/>
      <c r="D49" s="175"/>
      <c r="E49" s="175"/>
      <c r="F49" s="175"/>
      <c r="G49" s="176"/>
      <c r="H49" s="23">
        <v>43</v>
      </c>
      <c r="I49" s="31">
        <v>95</v>
      </c>
      <c r="J49" s="31">
        <v>63</v>
      </c>
      <c r="K49" s="31">
        <v>0</v>
      </c>
      <c r="L49" s="31">
        <v>0</v>
      </c>
      <c r="M49" s="31">
        <v>0</v>
      </c>
      <c r="N49" s="31">
        <v>0</v>
      </c>
      <c r="O49" s="31">
        <v>4</v>
      </c>
      <c r="P49" s="31">
        <v>4</v>
      </c>
      <c r="Q49" s="31">
        <v>0</v>
      </c>
      <c r="R49" s="31">
        <v>0</v>
      </c>
      <c r="S49" s="31">
        <v>0</v>
      </c>
      <c r="T49" s="31">
        <v>0</v>
      </c>
      <c r="U49" s="31">
        <v>1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91</v>
      </c>
    </row>
    <row r="50" spans="1:28" ht="63.75" customHeight="1" x14ac:dyDescent="0.2">
      <c r="A50" s="233"/>
      <c r="B50" s="138" t="s">
        <v>381</v>
      </c>
      <c r="C50" s="139"/>
      <c r="D50" s="139"/>
      <c r="E50" s="139"/>
      <c r="F50" s="139"/>
      <c r="G50" s="140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7"/>
      <c r="B51" s="174" t="s">
        <v>382</v>
      </c>
      <c r="C51" s="175"/>
      <c r="D51" s="175"/>
      <c r="E51" s="175"/>
      <c r="F51" s="175"/>
      <c r="G51" s="176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71" t="s">
        <v>41</v>
      </c>
      <c r="B52" s="172"/>
      <c r="C52" s="172"/>
      <c r="D52" s="172"/>
      <c r="E52" s="172"/>
      <c r="F52" s="172"/>
      <c r="G52" s="173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6" t="s">
        <v>34</v>
      </c>
      <c r="B53" s="174" t="s">
        <v>383</v>
      </c>
      <c r="C53" s="175"/>
      <c r="D53" s="175"/>
      <c r="E53" s="175"/>
      <c r="F53" s="175"/>
      <c r="G53" s="176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33"/>
      <c r="B54" s="174" t="s">
        <v>945</v>
      </c>
      <c r="C54" s="175"/>
      <c r="D54" s="175"/>
      <c r="E54" s="175"/>
      <c r="F54" s="175"/>
      <c r="G54" s="176"/>
      <c r="H54" s="23">
        <v>47</v>
      </c>
      <c r="I54" s="31">
        <v>11</v>
      </c>
      <c r="J54" s="31">
        <v>1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11</v>
      </c>
    </row>
    <row r="55" spans="1:28" ht="24" customHeight="1" x14ac:dyDescent="0.2">
      <c r="A55" s="217"/>
      <c r="B55" s="174" t="s">
        <v>179</v>
      </c>
      <c r="C55" s="175"/>
      <c r="D55" s="175"/>
      <c r="E55" s="175"/>
      <c r="F55" s="175"/>
      <c r="G55" s="176"/>
      <c r="H55" s="23">
        <v>48</v>
      </c>
      <c r="I55" s="31">
        <v>25</v>
      </c>
      <c r="J55" s="31">
        <v>7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25</v>
      </c>
    </row>
    <row r="56" spans="1:28" ht="23.25" customHeight="1" x14ac:dyDescent="0.2">
      <c r="A56" s="304" t="s">
        <v>102</v>
      </c>
      <c r="B56" s="305"/>
      <c r="C56" s="305"/>
      <c r="D56" s="305"/>
      <c r="E56" s="305"/>
      <c r="F56" s="305"/>
      <c r="G56" s="306"/>
      <c r="H56" s="23">
        <v>49</v>
      </c>
      <c r="I56" s="31">
        <v>42</v>
      </c>
      <c r="J56" s="31">
        <v>11</v>
      </c>
      <c r="K56" s="31">
        <v>0</v>
      </c>
      <c r="L56" s="31">
        <v>0</v>
      </c>
      <c r="M56" s="31">
        <v>0</v>
      </c>
      <c r="N56" s="31">
        <v>0</v>
      </c>
      <c r="O56" s="31">
        <v>9</v>
      </c>
      <c r="P56" s="31">
        <v>9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7</v>
      </c>
      <c r="W56" s="31">
        <v>0</v>
      </c>
      <c r="X56" s="31">
        <v>0</v>
      </c>
      <c r="Y56" s="31">
        <v>1</v>
      </c>
      <c r="Z56" s="31">
        <v>1</v>
      </c>
      <c r="AA56" s="31">
        <v>0</v>
      </c>
      <c r="AB56" s="31">
        <v>33</v>
      </c>
    </row>
    <row r="57" spans="1:28" ht="34.5" customHeight="1" x14ac:dyDescent="0.2">
      <c r="A57" s="216" t="s">
        <v>34</v>
      </c>
      <c r="B57" s="138" t="s">
        <v>946</v>
      </c>
      <c r="C57" s="139"/>
      <c r="D57" s="139"/>
      <c r="E57" s="139"/>
      <c r="F57" s="139"/>
      <c r="G57" s="140"/>
      <c r="H57" s="23">
        <v>50</v>
      </c>
      <c r="I57" s="31">
        <v>2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1</v>
      </c>
      <c r="Z57" s="31">
        <v>1</v>
      </c>
      <c r="AA57" s="31">
        <v>0</v>
      </c>
      <c r="AB57" s="31">
        <v>2</v>
      </c>
    </row>
    <row r="58" spans="1:28" ht="35.85" customHeight="1" x14ac:dyDescent="0.2">
      <c r="A58" s="233"/>
      <c r="B58" s="195" t="s">
        <v>817</v>
      </c>
      <c r="C58" s="196"/>
      <c r="D58" s="196"/>
      <c r="E58" s="196"/>
      <c r="F58" s="196"/>
      <c r="G58" s="197"/>
      <c r="H58" s="23">
        <v>51</v>
      </c>
      <c r="I58" s="31">
        <v>3</v>
      </c>
      <c r="J58" s="31">
        <v>1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3</v>
      </c>
    </row>
    <row r="59" spans="1:28" ht="24.75" customHeight="1" x14ac:dyDescent="0.2">
      <c r="A59" s="233"/>
      <c r="B59" s="138" t="s">
        <v>426</v>
      </c>
      <c r="C59" s="139"/>
      <c r="D59" s="139"/>
      <c r="E59" s="139"/>
      <c r="F59" s="139"/>
      <c r="G59" s="140"/>
      <c r="H59" s="23">
        <v>52</v>
      </c>
      <c r="I59" s="31">
        <v>33</v>
      </c>
      <c r="J59" s="31">
        <v>9</v>
      </c>
      <c r="K59" s="31">
        <v>0</v>
      </c>
      <c r="L59" s="31">
        <v>0</v>
      </c>
      <c r="M59" s="31">
        <v>0</v>
      </c>
      <c r="N59" s="31">
        <v>0</v>
      </c>
      <c r="O59" s="31">
        <v>8</v>
      </c>
      <c r="P59" s="31">
        <v>8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7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25</v>
      </c>
    </row>
    <row r="60" spans="1:28" ht="24.75" customHeight="1" x14ac:dyDescent="0.2">
      <c r="A60" s="217"/>
      <c r="B60" s="138" t="s">
        <v>179</v>
      </c>
      <c r="C60" s="139"/>
      <c r="D60" s="139"/>
      <c r="E60" s="139"/>
      <c r="F60" s="139"/>
      <c r="G60" s="140"/>
      <c r="H60" s="23">
        <v>53</v>
      </c>
      <c r="I60" s="31">
        <v>4</v>
      </c>
      <c r="J60" s="31">
        <v>1</v>
      </c>
      <c r="K60" s="31">
        <v>0</v>
      </c>
      <c r="L60" s="31">
        <v>0</v>
      </c>
      <c r="M60" s="31">
        <v>0</v>
      </c>
      <c r="N60" s="31">
        <v>0</v>
      </c>
      <c r="O60" s="31">
        <v>1</v>
      </c>
      <c r="P60" s="31">
        <v>1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3</v>
      </c>
    </row>
    <row r="61" spans="1:28" ht="23.25" customHeight="1" x14ac:dyDescent="0.2">
      <c r="A61" s="304" t="s">
        <v>103</v>
      </c>
      <c r="B61" s="305"/>
      <c r="C61" s="305"/>
      <c r="D61" s="305"/>
      <c r="E61" s="305"/>
      <c r="F61" s="305"/>
      <c r="G61" s="306"/>
      <c r="H61" s="23">
        <v>54</v>
      </c>
      <c r="I61" s="31">
        <v>166</v>
      </c>
      <c r="J61" s="31">
        <v>59</v>
      </c>
      <c r="K61" s="31">
        <v>1</v>
      </c>
      <c r="L61" s="31">
        <v>0</v>
      </c>
      <c r="M61" s="31">
        <v>0</v>
      </c>
      <c r="N61" s="31">
        <v>1</v>
      </c>
      <c r="O61" s="31">
        <v>36</v>
      </c>
      <c r="P61" s="31">
        <v>36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4</v>
      </c>
      <c r="W61" s="31">
        <v>0</v>
      </c>
      <c r="X61" s="31">
        <v>0</v>
      </c>
      <c r="Y61" s="31">
        <v>4</v>
      </c>
      <c r="Z61" s="31">
        <v>4</v>
      </c>
      <c r="AA61" s="31">
        <v>0</v>
      </c>
      <c r="AB61" s="31">
        <v>129</v>
      </c>
    </row>
    <row r="62" spans="1:28" ht="27.6" customHeight="1" x14ac:dyDescent="0.2">
      <c r="A62" s="216" t="s">
        <v>34</v>
      </c>
      <c r="B62" s="174" t="s">
        <v>445</v>
      </c>
      <c r="C62" s="175"/>
      <c r="D62" s="175"/>
      <c r="E62" s="175"/>
      <c r="F62" s="175"/>
      <c r="G62" s="176"/>
      <c r="H62" s="23">
        <v>55</v>
      </c>
      <c r="I62" s="31">
        <v>31</v>
      </c>
      <c r="J62" s="31">
        <v>18</v>
      </c>
      <c r="K62" s="31">
        <v>0</v>
      </c>
      <c r="L62" s="31">
        <v>0</v>
      </c>
      <c r="M62" s="31">
        <v>0</v>
      </c>
      <c r="N62" s="31">
        <v>0</v>
      </c>
      <c r="O62" s="31">
        <v>4</v>
      </c>
      <c r="P62" s="31">
        <v>4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4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27</v>
      </c>
    </row>
    <row r="63" spans="1:28" ht="27.75" customHeight="1" x14ac:dyDescent="0.2">
      <c r="A63" s="233"/>
      <c r="B63" s="174" t="s">
        <v>947</v>
      </c>
      <c r="C63" s="175"/>
      <c r="D63" s="175"/>
      <c r="E63" s="175"/>
      <c r="F63" s="175"/>
      <c r="G63" s="176"/>
      <c r="H63" s="23">
        <v>56</v>
      </c>
      <c r="I63" s="31">
        <v>7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7</v>
      </c>
    </row>
    <row r="64" spans="1:28" ht="27.75" customHeight="1" x14ac:dyDescent="0.2">
      <c r="A64" s="233"/>
      <c r="B64" s="174" t="s">
        <v>948</v>
      </c>
      <c r="C64" s="175"/>
      <c r="D64" s="175"/>
      <c r="E64" s="175"/>
      <c r="F64" s="175"/>
      <c r="G64" s="176"/>
      <c r="H64" s="23">
        <v>57</v>
      </c>
      <c r="I64" s="31">
        <v>117</v>
      </c>
      <c r="J64" s="31">
        <v>37</v>
      </c>
      <c r="K64" s="31">
        <v>1</v>
      </c>
      <c r="L64" s="31">
        <v>0</v>
      </c>
      <c r="M64" s="31">
        <v>0</v>
      </c>
      <c r="N64" s="31">
        <v>1</v>
      </c>
      <c r="O64" s="31">
        <v>28</v>
      </c>
      <c r="P64" s="31">
        <v>28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3</v>
      </c>
      <c r="Z64" s="31">
        <v>3</v>
      </c>
      <c r="AA64" s="31">
        <v>0</v>
      </c>
      <c r="AB64" s="31">
        <v>88</v>
      </c>
    </row>
    <row r="65" spans="1:28" ht="23.25" customHeight="1" x14ac:dyDescent="0.2">
      <c r="A65" s="217"/>
      <c r="B65" s="174" t="s">
        <v>179</v>
      </c>
      <c r="C65" s="175"/>
      <c r="D65" s="175"/>
      <c r="E65" s="175"/>
      <c r="F65" s="175"/>
      <c r="G65" s="176"/>
      <c r="H65" s="23">
        <v>58</v>
      </c>
      <c r="I65" s="31">
        <v>11</v>
      </c>
      <c r="J65" s="31">
        <v>4</v>
      </c>
      <c r="K65" s="31">
        <v>0</v>
      </c>
      <c r="L65" s="31">
        <v>0</v>
      </c>
      <c r="M65" s="31">
        <v>0</v>
      </c>
      <c r="N65" s="31">
        <v>0</v>
      </c>
      <c r="O65" s="31">
        <v>4</v>
      </c>
      <c r="P65" s="31">
        <v>4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</v>
      </c>
      <c r="Z65" s="31">
        <v>1</v>
      </c>
      <c r="AA65" s="31">
        <v>0</v>
      </c>
      <c r="AB65" s="31">
        <v>7</v>
      </c>
    </row>
    <row r="66" spans="1:28" ht="23.25" customHeight="1" x14ac:dyDescent="0.2">
      <c r="A66" s="304" t="s">
        <v>104</v>
      </c>
      <c r="B66" s="305"/>
      <c r="C66" s="305"/>
      <c r="D66" s="305"/>
      <c r="E66" s="305"/>
      <c r="F66" s="305"/>
      <c r="G66" s="306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5.5" customHeight="1" x14ac:dyDescent="0.2">
      <c r="A67" s="304" t="s">
        <v>105</v>
      </c>
      <c r="B67" s="305"/>
      <c r="C67" s="305"/>
      <c r="D67" s="305"/>
      <c r="E67" s="305"/>
      <c r="F67" s="305"/>
      <c r="G67" s="306"/>
      <c r="H67" s="23">
        <v>60</v>
      </c>
      <c r="I67" s="31">
        <v>202</v>
      </c>
      <c r="J67" s="31">
        <v>29</v>
      </c>
      <c r="K67" s="31">
        <v>0</v>
      </c>
      <c r="L67" s="31">
        <v>0</v>
      </c>
      <c r="M67" s="31">
        <v>0</v>
      </c>
      <c r="N67" s="31">
        <v>0</v>
      </c>
      <c r="O67" s="31">
        <v>21</v>
      </c>
      <c r="P67" s="31">
        <v>21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1</v>
      </c>
      <c r="W67" s="31">
        <v>3</v>
      </c>
      <c r="X67" s="31">
        <v>0</v>
      </c>
      <c r="Y67" s="31">
        <v>21</v>
      </c>
      <c r="Z67" s="31">
        <v>21</v>
      </c>
      <c r="AA67" s="31">
        <v>0</v>
      </c>
      <c r="AB67" s="31">
        <v>181</v>
      </c>
    </row>
    <row r="68" spans="1:28" ht="44.25" customHeight="1" x14ac:dyDescent="0.2">
      <c r="A68" s="216" t="s">
        <v>34</v>
      </c>
      <c r="B68" s="138" t="s">
        <v>949</v>
      </c>
      <c r="C68" s="139"/>
      <c r="D68" s="139"/>
      <c r="E68" s="139"/>
      <c r="F68" s="139"/>
      <c r="G68" s="140"/>
      <c r="H68" s="23">
        <v>61</v>
      </c>
      <c r="I68" s="31">
        <v>178</v>
      </c>
      <c r="J68" s="31">
        <v>17</v>
      </c>
      <c r="K68" s="31">
        <v>0</v>
      </c>
      <c r="L68" s="31">
        <v>0</v>
      </c>
      <c r="M68" s="31">
        <v>0</v>
      </c>
      <c r="N68" s="31">
        <v>0</v>
      </c>
      <c r="O68" s="31">
        <v>13</v>
      </c>
      <c r="P68" s="31">
        <v>13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20</v>
      </c>
      <c r="Z68" s="31">
        <v>20</v>
      </c>
      <c r="AA68" s="31">
        <v>0</v>
      </c>
      <c r="AB68" s="31">
        <v>165</v>
      </c>
    </row>
    <row r="69" spans="1:28" ht="23.25" customHeight="1" x14ac:dyDescent="0.2">
      <c r="A69" s="233"/>
      <c r="B69" s="49" t="s">
        <v>32</v>
      </c>
      <c r="C69" s="138" t="s">
        <v>513</v>
      </c>
      <c r="D69" s="139"/>
      <c r="E69" s="139"/>
      <c r="F69" s="139"/>
      <c r="G69" s="140"/>
      <c r="H69" s="23">
        <v>62</v>
      </c>
      <c r="I69" s="31">
        <v>18</v>
      </c>
      <c r="J69" s="31">
        <v>2</v>
      </c>
      <c r="K69" s="31">
        <v>0</v>
      </c>
      <c r="L69" s="31">
        <v>0</v>
      </c>
      <c r="M69" s="31">
        <v>0</v>
      </c>
      <c r="N69" s="31">
        <v>0</v>
      </c>
      <c r="O69" s="31">
        <v>2</v>
      </c>
      <c r="P69" s="31">
        <v>2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1</v>
      </c>
      <c r="Z69" s="31">
        <v>1</v>
      </c>
      <c r="AA69" s="31">
        <v>0</v>
      </c>
      <c r="AB69" s="31">
        <v>16</v>
      </c>
    </row>
    <row r="70" spans="1:28" ht="23.25" customHeight="1" x14ac:dyDescent="0.2">
      <c r="A70" s="217"/>
      <c r="B70" s="138" t="s">
        <v>179</v>
      </c>
      <c r="C70" s="139"/>
      <c r="D70" s="139"/>
      <c r="E70" s="139"/>
      <c r="F70" s="139"/>
      <c r="G70" s="140"/>
      <c r="H70" s="23">
        <v>63</v>
      </c>
      <c r="I70" s="31">
        <v>24</v>
      </c>
      <c r="J70" s="31">
        <v>12</v>
      </c>
      <c r="K70" s="31">
        <v>0</v>
      </c>
      <c r="L70" s="31">
        <v>0</v>
      </c>
      <c r="M70" s="31">
        <v>0</v>
      </c>
      <c r="N70" s="31">
        <v>0</v>
      </c>
      <c r="O70" s="31">
        <v>8</v>
      </c>
      <c r="P70" s="31">
        <v>8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1</v>
      </c>
      <c r="W70" s="31">
        <v>3</v>
      </c>
      <c r="X70" s="31">
        <v>0</v>
      </c>
      <c r="Y70" s="31">
        <v>1</v>
      </c>
      <c r="Z70" s="31">
        <v>1</v>
      </c>
      <c r="AA70" s="31">
        <v>0</v>
      </c>
      <c r="AB70" s="31">
        <v>16</v>
      </c>
    </row>
    <row r="71" spans="1:28" ht="30.75" customHeight="1" x14ac:dyDescent="0.2">
      <c r="A71" s="304" t="s">
        <v>106</v>
      </c>
      <c r="B71" s="305"/>
      <c r="C71" s="305"/>
      <c r="D71" s="305"/>
      <c r="E71" s="305"/>
      <c r="F71" s="305"/>
      <c r="G71" s="306"/>
      <c r="H71" s="23">
        <v>64</v>
      </c>
      <c r="I71" s="31">
        <v>31</v>
      </c>
      <c r="J71" s="31">
        <v>10</v>
      </c>
      <c r="K71" s="31">
        <v>0</v>
      </c>
      <c r="L71" s="31">
        <v>0</v>
      </c>
      <c r="M71" s="31">
        <v>0</v>
      </c>
      <c r="N71" s="31">
        <v>0</v>
      </c>
      <c r="O71" s="31">
        <v>7</v>
      </c>
      <c r="P71" s="31">
        <v>7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5</v>
      </c>
      <c r="W71" s="31">
        <v>0</v>
      </c>
      <c r="X71" s="31">
        <v>0</v>
      </c>
      <c r="Y71" s="31">
        <v>1</v>
      </c>
      <c r="Z71" s="31">
        <v>1</v>
      </c>
      <c r="AA71" s="31">
        <v>0</v>
      </c>
      <c r="AB71" s="31">
        <v>24</v>
      </c>
    </row>
    <row r="72" spans="1:28" ht="48.75" customHeight="1" x14ac:dyDescent="0.2">
      <c r="A72" s="304" t="s">
        <v>107</v>
      </c>
      <c r="B72" s="305"/>
      <c r="C72" s="305"/>
      <c r="D72" s="305"/>
      <c r="E72" s="305"/>
      <c r="F72" s="305"/>
      <c r="G72" s="306"/>
      <c r="H72" s="23">
        <v>65</v>
      </c>
      <c r="I72" s="31">
        <v>280</v>
      </c>
      <c r="J72" s="31">
        <v>83</v>
      </c>
      <c r="K72" s="31">
        <v>0</v>
      </c>
      <c r="L72" s="31">
        <v>0</v>
      </c>
      <c r="M72" s="31">
        <v>0</v>
      </c>
      <c r="N72" s="31">
        <v>0</v>
      </c>
      <c r="O72" s="31">
        <v>47</v>
      </c>
      <c r="P72" s="31">
        <v>47</v>
      </c>
      <c r="Q72" s="31">
        <v>0</v>
      </c>
      <c r="R72" s="31">
        <v>0</v>
      </c>
      <c r="S72" s="31">
        <v>0</v>
      </c>
      <c r="T72" s="31">
        <v>0</v>
      </c>
      <c r="U72" s="31">
        <v>5</v>
      </c>
      <c r="V72" s="31">
        <v>16</v>
      </c>
      <c r="W72" s="31">
        <v>0</v>
      </c>
      <c r="X72" s="31">
        <v>0</v>
      </c>
      <c r="Y72" s="31">
        <v>17</v>
      </c>
      <c r="Z72" s="31">
        <v>17</v>
      </c>
      <c r="AA72" s="31">
        <v>0</v>
      </c>
      <c r="AB72" s="31">
        <v>233</v>
      </c>
    </row>
    <row r="73" spans="1:28" ht="39.75" customHeight="1" x14ac:dyDescent="0.2">
      <c r="A73" s="216" t="s">
        <v>34</v>
      </c>
      <c r="B73" s="138" t="s">
        <v>564</v>
      </c>
      <c r="C73" s="139"/>
      <c r="D73" s="139"/>
      <c r="E73" s="139"/>
      <c r="F73" s="139"/>
      <c r="G73" s="140"/>
      <c r="H73" s="23">
        <v>66</v>
      </c>
      <c r="I73" s="31">
        <v>2</v>
      </c>
      <c r="J73" s="31">
        <v>1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2</v>
      </c>
    </row>
    <row r="74" spans="1:28" ht="52.5" customHeight="1" x14ac:dyDescent="0.2">
      <c r="A74" s="233"/>
      <c r="B74" s="138" t="s">
        <v>565</v>
      </c>
      <c r="C74" s="139"/>
      <c r="D74" s="139"/>
      <c r="E74" s="139"/>
      <c r="F74" s="139"/>
      <c r="G74" s="140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33"/>
      <c r="B75" s="138" t="s">
        <v>950</v>
      </c>
      <c r="C75" s="139"/>
      <c r="D75" s="139"/>
      <c r="E75" s="139"/>
      <c r="F75" s="139"/>
      <c r="G75" s="140"/>
      <c r="H75" s="23">
        <v>68</v>
      </c>
      <c r="I75" s="31">
        <v>122</v>
      </c>
      <c r="J75" s="31">
        <v>51</v>
      </c>
      <c r="K75" s="31">
        <v>0</v>
      </c>
      <c r="L75" s="31">
        <v>0</v>
      </c>
      <c r="M75" s="31">
        <v>0</v>
      </c>
      <c r="N75" s="31">
        <v>0</v>
      </c>
      <c r="O75" s="31">
        <v>23</v>
      </c>
      <c r="P75" s="31">
        <v>23</v>
      </c>
      <c r="Q75" s="31">
        <v>0</v>
      </c>
      <c r="R75" s="31">
        <v>0</v>
      </c>
      <c r="S75" s="31">
        <v>0</v>
      </c>
      <c r="T75" s="31">
        <v>0</v>
      </c>
      <c r="U75" s="31">
        <v>4</v>
      </c>
      <c r="V75" s="31">
        <v>15</v>
      </c>
      <c r="W75" s="31">
        <v>0</v>
      </c>
      <c r="X75" s="31">
        <v>0</v>
      </c>
      <c r="Y75" s="31">
        <v>2</v>
      </c>
      <c r="Z75" s="31">
        <v>2</v>
      </c>
      <c r="AA75" s="31">
        <v>0</v>
      </c>
      <c r="AB75" s="31">
        <v>99</v>
      </c>
    </row>
    <row r="76" spans="1:28" ht="24" customHeight="1" x14ac:dyDescent="0.2">
      <c r="A76" s="233"/>
      <c r="B76" s="32" t="s">
        <v>32</v>
      </c>
      <c r="C76" s="138" t="s">
        <v>568</v>
      </c>
      <c r="D76" s="139"/>
      <c r="E76" s="139"/>
      <c r="F76" s="139"/>
      <c r="G76" s="140"/>
      <c r="H76" s="23">
        <v>69</v>
      </c>
      <c r="I76" s="31">
        <v>77</v>
      </c>
      <c r="J76" s="31">
        <v>40</v>
      </c>
      <c r="K76" s="31">
        <v>0</v>
      </c>
      <c r="L76" s="31">
        <v>0</v>
      </c>
      <c r="M76" s="31">
        <v>0</v>
      </c>
      <c r="N76" s="31">
        <v>0</v>
      </c>
      <c r="O76" s="31">
        <v>20</v>
      </c>
      <c r="P76" s="31">
        <v>20</v>
      </c>
      <c r="Q76" s="31">
        <v>0</v>
      </c>
      <c r="R76" s="31">
        <v>0</v>
      </c>
      <c r="S76" s="31">
        <v>0</v>
      </c>
      <c r="T76" s="31">
        <v>0</v>
      </c>
      <c r="U76" s="31">
        <v>4</v>
      </c>
      <c r="V76" s="31">
        <v>15</v>
      </c>
      <c r="W76" s="31">
        <v>0</v>
      </c>
      <c r="X76" s="31">
        <v>0</v>
      </c>
      <c r="Y76" s="31">
        <v>2</v>
      </c>
      <c r="Z76" s="31">
        <v>2</v>
      </c>
      <c r="AA76" s="31">
        <v>0</v>
      </c>
      <c r="AB76" s="31">
        <v>57</v>
      </c>
    </row>
    <row r="77" spans="1:28" ht="24" customHeight="1" x14ac:dyDescent="0.2">
      <c r="A77" s="217"/>
      <c r="B77" s="138" t="s">
        <v>179</v>
      </c>
      <c r="C77" s="139"/>
      <c r="D77" s="139"/>
      <c r="E77" s="139"/>
      <c r="F77" s="139"/>
      <c r="G77" s="140"/>
      <c r="H77" s="23">
        <v>70</v>
      </c>
      <c r="I77" s="31">
        <v>156</v>
      </c>
      <c r="J77" s="31">
        <v>31</v>
      </c>
      <c r="K77" s="31">
        <v>0</v>
      </c>
      <c r="L77" s="31">
        <v>0</v>
      </c>
      <c r="M77" s="31">
        <v>0</v>
      </c>
      <c r="N77" s="31">
        <v>0</v>
      </c>
      <c r="O77" s="31">
        <v>24</v>
      </c>
      <c r="P77" s="31">
        <v>24</v>
      </c>
      <c r="Q77" s="31">
        <v>0</v>
      </c>
      <c r="R77" s="31">
        <v>0</v>
      </c>
      <c r="S77" s="31">
        <v>0</v>
      </c>
      <c r="T77" s="31">
        <v>0</v>
      </c>
      <c r="U77" s="31">
        <v>1</v>
      </c>
      <c r="V77" s="31">
        <v>1</v>
      </c>
      <c r="W77" s="31">
        <v>0</v>
      </c>
      <c r="X77" s="31">
        <v>0</v>
      </c>
      <c r="Y77" s="31">
        <v>15</v>
      </c>
      <c r="Z77" s="31">
        <v>15</v>
      </c>
      <c r="AA77" s="31">
        <v>0</v>
      </c>
      <c r="AB77" s="31">
        <v>132</v>
      </c>
    </row>
    <row r="78" spans="1:28" ht="44.25" customHeight="1" x14ac:dyDescent="0.2">
      <c r="A78" s="304" t="s">
        <v>108</v>
      </c>
      <c r="B78" s="305"/>
      <c r="C78" s="305"/>
      <c r="D78" s="305"/>
      <c r="E78" s="305"/>
      <c r="F78" s="305"/>
      <c r="G78" s="306"/>
      <c r="H78" s="23">
        <v>71</v>
      </c>
      <c r="I78" s="31">
        <v>121</v>
      </c>
      <c r="J78" s="31">
        <v>43</v>
      </c>
      <c r="K78" s="31">
        <v>1</v>
      </c>
      <c r="L78" s="31">
        <v>0</v>
      </c>
      <c r="M78" s="31">
        <v>1</v>
      </c>
      <c r="N78" s="31">
        <v>0</v>
      </c>
      <c r="O78" s="31">
        <v>20</v>
      </c>
      <c r="P78" s="31">
        <v>20</v>
      </c>
      <c r="Q78" s="31">
        <v>0</v>
      </c>
      <c r="R78" s="31">
        <v>0</v>
      </c>
      <c r="S78" s="31">
        <v>0</v>
      </c>
      <c r="T78" s="31">
        <v>0</v>
      </c>
      <c r="U78" s="31">
        <v>3</v>
      </c>
      <c r="V78" s="31">
        <v>4</v>
      </c>
      <c r="W78" s="31">
        <v>0</v>
      </c>
      <c r="X78" s="31">
        <v>0</v>
      </c>
      <c r="Y78" s="31">
        <v>5</v>
      </c>
      <c r="Z78" s="31">
        <v>5</v>
      </c>
      <c r="AA78" s="31">
        <v>0</v>
      </c>
      <c r="AB78" s="31">
        <v>100</v>
      </c>
    </row>
    <row r="79" spans="1:28" ht="45" customHeight="1" x14ac:dyDescent="0.2">
      <c r="A79" s="304" t="s">
        <v>109</v>
      </c>
      <c r="B79" s="305"/>
      <c r="C79" s="305"/>
      <c r="D79" s="305"/>
      <c r="E79" s="305"/>
      <c r="F79" s="305"/>
      <c r="G79" s="306"/>
      <c r="H79" s="23">
        <v>72</v>
      </c>
      <c r="I79" s="31">
        <v>197</v>
      </c>
      <c r="J79" s="31">
        <v>91</v>
      </c>
      <c r="K79" s="31">
        <v>0</v>
      </c>
      <c r="L79" s="31">
        <v>0</v>
      </c>
      <c r="M79" s="31">
        <v>0</v>
      </c>
      <c r="N79" s="31">
        <v>0</v>
      </c>
      <c r="O79" s="31">
        <v>77</v>
      </c>
      <c r="P79" s="31">
        <v>77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9</v>
      </c>
      <c r="W79" s="31">
        <v>1</v>
      </c>
      <c r="X79" s="31">
        <v>0</v>
      </c>
      <c r="Y79" s="31">
        <v>8</v>
      </c>
      <c r="Z79" s="31">
        <v>8</v>
      </c>
      <c r="AA79" s="31">
        <v>0</v>
      </c>
      <c r="AB79" s="31">
        <v>120</v>
      </c>
    </row>
    <row r="80" spans="1:28" ht="40.5" customHeight="1" x14ac:dyDescent="0.2">
      <c r="A80" s="304" t="s">
        <v>110</v>
      </c>
      <c r="B80" s="305"/>
      <c r="C80" s="305"/>
      <c r="D80" s="305"/>
      <c r="E80" s="305"/>
      <c r="F80" s="305"/>
      <c r="G80" s="306"/>
      <c r="H80" s="23">
        <v>73</v>
      </c>
      <c r="I80" s="31">
        <v>112</v>
      </c>
      <c r="J80" s="31">
        <v>51</v>
      </c>
      <c r="K80" s="31">
        <v>0</v>
      </c>
      <c r="L80" s="31">
        <v>0</v>
      </c>
      <c r="M80" s="31">
        <v>0</v>
      </c>
      <c r="N80" s="31">
        <v>0</v>
      </c>
      <c r="O80" s="31">
        <v>50</v>
      </c>
      <c r="P80" s="31">
        <v>50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1</v>
      </c>
      <c r="Z80" s="31">
        <v>1</v>
      </c>
      <c r="AA80" s="31">
        <v>0</v>
      </c>
      <c r="AB80" s="31">
        <v>62</v>
      </c>
    </row>
    <row r="81" spans="1:28" ht="29.25" customHeight="1" x14ac:dyDescent="0.2">
      <c r="A81" s="304" t="s">
        <v>951</v>
      </c>
      <c r="B81" s="305"/>
      <c r="C81" s="305"/>
      <c r="D81" s="305"/>
      <c r="E81" s="305"/>
      <c r="F81" s="305"/>
      <c r="G81" s="306"/>
      <c r="H81" s="23">
        <v>74</v>
      </c>
      <c r="I81" s="31">
        <v>2222</v>
      </c>
      <c r="J81" s="31">
        <v>531</v>
      </c>
      <c r="K81" s="31">
        <v>1</v>
      </c>
      <c r="L81" s="31">
        <v>0</v>
      </c>
      <c r="M81" s="31">
        <v>1</v>
      </c>
      <c r="N81" s="31">
        <v>0</v>
      </c>
      <c r="O81" s="31">
        <v>414</v>
      </c>
      <c r="P81" s="31">
        <v>414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52</v>
      </c>
      <c r="W81" s="31">
        <v>3</v>
      </c>
      <c r="X81" s="31">
        <v>0</v>
      </c>
      <c r="Y81" s="31">
        <v>171</v>
      </c>
      <c r="Z81" s="31">
        <v>171</v>
      </c>
      <c r="AA81" s="31">
        <v>0</v>
      </c>
      <c r="AB81" s="31">
        <v>1807</v>
      </c>
    </row>
    <row r="82" spans="1:28" ht="24" customHeight="1" x14ac:dyDescent="0.2">
      <c r="A82" s="190" t="s">
        <v>34</v>
      </c>
      <c r="B82" s="175" t="s">
        <v>898</v>
      </c>
      <c r="C82" s="175"/>
      <c r="D82" s="175"/>
      <c r="E82" s="175"/>
      <c r="F82" s="175"/>
      <c r="G82" s="175"/>
      <c r="H82" s="23">
        <v>75</v>
      </c>
      <c r="I82" s="31">
        <v>255</v>
      </c>
      <c r="J82" s="31">
        <v>19</v>
      </c>
      <c r="K82" s="31">
        <v>0</v>
      </c>
      <c r="L82" s="31">
        <v>0</v>
      </c>
      <c r="M82" s="31">
        <v>0</v>
      </c>
      <c r="N82" s="31">
        <v>0</v>
      </c>
      <c r="O82" s="31">
        <v>15</v>
      </c>
      <c r="P82" s="31">
        <v>15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1</v>
      </c>
      <c r="W82" s="31">
        <v>0</v>
      </c>
      <c r="X82" s="31">
        <v>0</v>
      </c>
      <c r="Y82" s="31">
        <v>16</v>
      </c>
      <c r="Z82" s="31">
        <v>16</v>
      </c>
      <c r="AA82" s="31">
        <v>0</v>
      </c>
      <c r="AB82" s="31">
        <v>240</v>
      </c>
    </row>
    <row r="83" spans="1:28" ht="24" customHeight="1" x14ac:dyDescent="0.2">
      <c r="A83" s="339"/>
      <c r="B83" s="340" t="s">
        <v>32</v>
      </c>
      <c r="C83" s="341"/>
      <c r="D83" s="174" t="s">
        <v>952</v>
      </c>
      <c r="E83" s="175"/>
      <c r="F83" s="175"/>
      <c r="G83" s="176"/>
      <c r="H83" s="23">
        <v>76</v>
      </c>
      <c r="I83" s="31">
        <v>160</v>
      </c>
      <c r="J83" s="31">
        <v>17</v>
      </c>
      <c r="K83" s="31">
        <v>0</v>
      </c>
      <c r="L83" s="31">
        <v>0</v>
      </c>
      <c r="M83" s="31">
        <v>0</v>
      </c>
      <c r="N83" s="31">
        <v>0</v>
      </c>
      <c r="O83" s="31">
        <v>13</v>
      </c>
      <c r="P83" s="31">
        <v>13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1</v>
      </c>
      <c r="W83" s="31">
        <v>0</v>
      </c>
      <c r="X83" s="31">
        <v>0</v>
      </c>
      <c r="Y83" s="31">
        <v>4</v>
      </c>
      <c r="Z83" s="31">
        <v>4</v>
      </c>
      <c r="AA83" s="31">
        <v>0</v>
      </c>
      <c r="AB83" s="31">
        <v>147</v>
      </c>
    </row>
    <row r="84" spans="1:28" ht="40.5" customHeight="1" x14ac:dyDescent="0.2">
      <c r="A84" s="339"/>
      <c r="B84" s="174" t="s">
        <v>953</v>
      </c>
      <c r="C84" s="175"/>
      <c r="D84" s="175"/>
      <c r="E84" s="175"/>
      <c r="F84" s="175"/>
      <c r="G84" s="176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9"/>
      <c r="B85" s="175" t="s">
        <v>899</v>
      </c>
      <c r="C85" s="175"/>
      <c r="D85" s="175"/>
      <c r="E85" s="175"/>
      <c r="F85" s="175"/>
      <c r="G85" s="175"/>
      <c r="H85" s="23">
        <v>78</v>
      </c>
      <c r="I85" s="31">
        <v>496</v>
      </c>
      <c r="J85" s="31">
        <v>23</v>
      </c>
      <c r="K85" s="31">
        <v>0</v>
      </c>
      <c r="L85" s="31">
        <v>0</v>
      </c>
      <c r="M85" s="31">
        <v>0</v>
      </c>
      <c r="N85" s="31">
        <v>0</v>
      </c>
      <c r="O85" s="31">
        <v>12</v>
      </c>
      <c r="P85" s="31">
        <v>12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5</v>
      </c>
      <c r="W85" s="31">
        <v>0</v>
      </c>
      <c r="X85" s="31">
        <v>0</v>
      </c>
      <c r="Y85" s="31">
        <v>85</v>
      </c>
      <c r="Z85" s="31">
        <v>85</v>
      </c>
      <c r="AA85" s="31">
        <v>0</v>
      </c>
      <c r="AB85" s="31">
        <v>484</v>
      </c>
    </row>
    <row r="86" spans="1:28" ht="24" customHeight="1" x14ac:dyDescent="0.2">
      <c r="A86" s="339"/>
      <c r="B86" s="213" t="s">
        <v>32</v>
      </c>
      <c r="C86" s="337"/>
      <c r="D86" s="174" t="s">
        <v>954</v>
      </c>
      <c r="E86" s="175"/>
      <c r="F86" s="175"/>
      <c r="G86" s="176"/>
      <c r="H86" s="23">
        <v>79</v>
      </c>
      <c r="I86" s="31">
        <v>275</v>
      </c>
      <c r="J86" s="31">
        <v>12</v>
      </c>
      <c r="K86" s="31">
        <v>0</v>
      </c>
      <c r="L86" s="31">
        <v>0</v>
      </c>
      <c r="M86" s="31">
        <v>0</v>
      </c>
      <c r="N86" s="31">
        <v>0</v>
      </c>
      <c r="O86" s="31">
        <v>7</v>
      </c>
      <c r="P86" s="31">
        <v>7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50</v>
      </c>
      <c r="Z86" s="31">
        <v>50</v>
      </c>
      <c r="AA86" s="31">
        <v>0</v>
      </c>
      <c r="AB86" s="31">
        <v>268</v>
      </c>
    </row>
    <row r="87" spans="1:28" ht="24" customHeight="1" x14ac:dyDescent="0.2">
      <c r="A87" s="339"/>
      <c r="B87" s="214"/>
      <c r="C87" s="338"/>
      <c r="D87" s="174" t="s">
        <v>955</v>
      </c>
      <c r="E87" s="175"/>
      <c r="F87" s="175"/>
      <c r="G87" s="176"/>
      <c r="H87" s="23">
        <v>80</v>
      </c>
      <c r="I87" s="31">
        <v>43</v>
      </c>
      <c r="J87" s="31">
        <v>11</v>
      </c>
      <c r="K87" s="31">
        <v>0</v>
      </c>
      <c r="L87" s="31">
        <v>0</v>
      </c>
      <c r="M87" s="31">
        <v>0</v>
      </c>
      <c r="N87" s="31">
        <v>0</v>
      </c>
      <c r="O87" s="31">
        <v>5</v>
      </c>
      <c r="P87" s="31">
        <v>5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5</v>
      </c>
      <c r="W87" s="31">
        <v>0</v>
      </c>
      <c r="X87" s="31">
        <v>0</v>
      </c>
      <c r="Y87" s="31">
        <v>2</v>
      </c>
      <c r="Z87" s="31">
        <v>2</v>
      </c>
      <c r="AA87" s="31">
        <v>0</v>
      </c>
      <c r="AB87" s="31">
        <v>38</v>
      </c>
    </row>
    <row r="88" spans="1:28" ht="27.2" customHeight="1" x14ac:dyDescent="0.2">
      <c r="A88" s="339"/>
      <c r="B88" s="174" t="s">
        <v>956</v>
      </c>
      <c r="C88" s="175"/>
      <c r="D88" s="175"/>
      <c r="E88" s="175"/>
      <c r="F88" s="175"/>
      <c r="G88" s="176"/>
      <c r="H88" s="23">
        <v>81</v>
      </c>
      <c r="I88" s="31">
        <v>2</v>
      </c>
      <c r="J88" s="31">
        <v>1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2</v>
      </c>
    </row>
    <row r="89" spans="1:28" ht="24" customHeight="1" x14ac:dyDescent="0.2">
      <c r="A89" s="339"/>
      <c r="B89" s="175" t="s">
        <v>860</v>
      </c>
      <c r="C89" s="175"/>
      <c r="D89" s="175"/>
      <c r="E89" s="175"/>
      <c r="F89" s="175"/>
      <c r="G89" s="176"/>
      <c r="H89" s="23">
        <v>82</v>
      </c>
      <c r="I89" s="31">
        <v>407</v>
      </c>
      <c r="J89" s="31">
        <v>160</v>
      </c>
      <c r="K89" s="31">
        <v>0</v>
      </c>
      <c r="L89" s="31">
        <v>0</v>
      </c>
      <c r="M89" s="31">
        <v>0</v>
      </c>
      <c r="N89" s="31">
        <v>0</v>
      </c>
      <c r="O89" s="31">
        <v>149</v>
      </c>
      <c r="P89" s="31">
        <v>149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16</v>
      </c>
      <c r="W89" s="31">
        <v>0</v>
      </c>
      <c r="X89" s="31">
        <v>0</v>
      </c>
      <c r="Y89" s="31">
        <v>17</v>
      </c>
      <c r="Z89" s="31">
        <v>17</v>
      </c>
      <c r="AA89" s="31">
        <v>0</v>
      </c>
      <c r="AB89" s="31">
        <v>258</v>
      </c>
    </row>
    <row r="90" spans="1:28" ht="24" customHeight="1" x14ac:dyDescent="0.2">
      <c r="A90" s="339"/>
      <c r="B90" s="175" t="s">
        <v>924</v>
      </c>
      <c r="C90" s="175"/>
      <c r="D90" s="175"/>
      <c r="E90" s="175"/>
      <c r="F90" s="175"/>
      <c r="G90" s="176"/>
      <c r="H90" s="23">
        <v>83</v>
      </c>
      <c r="I90" s="31">
        <v>52</v>
      </c>
      <c r="J90" s="31">
        <v>4</v>
      </c>
      <c r="K90" s="31">
        <v>0</v>
      </c>
      <c r="L90" s="31">
        <v>0</v>
      </c>
      <c r="M90" s="31">
        <v>0</v>
      </c>
      <c r="N90" s="31">
        <v>0</v>
      </c>
      <c r="O90" s="31">
        <v>1</v>
      </c>
      <c r="P90" s="31">
        <v>1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2</v>
      </c>
      <c r="Z90" s="31">
        <v>2</v>
      </c>
      <c r="AA90" s="31">
        <v>0</v>
      </c>
      <c r="AB90" s="31">
        <v>51</v>
      </c>
    </row>
    <row r="91" spans="1:28" ht="24" customHeight="1" x14ac:dyDescent="0.2">
      <c r="A91" s="339"/>
      <c r="B91" s="175" t="s">
        <v>861</v>
      </c>
      <c r="C91" s="175"/>
      <c r="D91" s="175"/>
      <c r="E91" s="175"/>
      <c r="F91" s="175"/>
      <c r="G91" s="176"/>
      <c r="H91" s="23">
        <v>84</v>
      </c>
      <c r="I91" s="31">
        <v>327</v>
      </c>
      <c r="J91" s="31">
        <v>16</v>
      </c>
      <c r="K91" s="31">
        <v>0</v>
      </c>
      <c r="L91" s="31">
        <v>0</v>
      </c>
      <c r="M91" s="31">
        <v>0</v>
      </c>
      <c r="N91" s="31">
        <v>0</v>
      </c>
      <c r="O91" s="31">
        <v>11</v>
      </c>
      <c r="P91" s="31">
        <v>11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35</v>
      </c>
      <c r="Z91" s="31">
        <v>35</v>
      </c>
      <c r="AA91" s="31">
        <v>0</v>
      </c>
      <c r="AB91" s="31">
        <v>316</v>
      </c>
    </row>
    <row r="92" spans="1:28" ht="27.2" customHeight="1" x14ac:dyDescent="0.2">
      <c r="A92" s="339"/>
      <c r="B92" s="175" t="s">
        <v>925</v>
      </c>
      <c r="C92" s="175"/>
      <c r="D92" s="175"/>
      <c r="E92" s="175"/>
      <c r="F92" s="175"/>
      <c r="G92" s="176"/>
      <c r="H92" s="23">
        <v>85</v>
      </c>
      <c r="I92" s="31">
        <v>346</v>
      </c>
      <c r="J92" s="31">
        <v>113</v>
      </c>
      <c r="K92" s="31">
        <v>1</v>
      </c>
      <c r="L92" s="31">
        <v>0</v>
      </c>
      <c r="M92" s="31">
        <v>1</v>
      </c>
      <c r="N92" s="31">
        <v>0</v>
      </c>
      <c r="O92" s="31">
        <v>51</v>
      </c>
      <c r="P92" s="31">
        <v>51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26</v>
      </c>
      <c r="W92" s="31">
        <v>0</v>
      </c>
      <c r="X92" s="31">
        <v>0</v>
      </c>
      <c r="Y92" s="31">
        <v>11</v>
      </c>
      <c r="Z92" s="31">
        <v>11</v>
      </c>
      <c r="AA92" s="31">
        <v>0</v>
      </c>
      <c r="AB92" s="31">
        <v>294</v>
      </c>
    </row>
    <row r="93" spans="1:28" ht="24" customHeight="1" x14ac:dyDescent="0.2">
      <c r="A93" s="339"/>
      <c r="B93" s="174" t="s">
        <v>926</v>
      </c>
      <c r="C93" s="175"/>
      <c r="D93" s="175"/>
      <c r="E93" s="175"/>
      <c r="F93" s="175"/>
      <c r="G93" s="176"/>
      <c r="H93" s="23">
        <v>86</v>
      </c>
      <c r="I93" s="31">
        <v>15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15</v>
      </c>
    </row>
    <row r="94" spans="1:28" ht="27.2" customHeight="1" x14ac:dyDescent="0.2">
      <c r="A94" s="339"/>
      <c r="B94" s="174" t="s">
        <v>927</v>
      </c>
      <c r="C94" s="175"/>
      <c r="D94" s="175"/>
      <c r="E94" s="175"/>
      <c r="F94" s="175"/>
      <c r="G94" s="176"/>
      <c r="H94" s="23">
        <v>87</v>
      </c>
      <c r="I94" s="31">
        <v>96</v>
      </c>
      <c r="J94" s="31">
        <v>39</v>
      </c>
      <c r="K94" s="31">
        <v>0</v>
      </c>
      <c r="L94" s="31">
        <v>0</v>
      </c>
      <c r="M94" s="31">
        <v>0</v>
      </c>
      <c r="N94" s="31">
        <v>0</v>
      </c>
      <c r="O94" s="31">
        <v>31</v>
      </c>
      <c r="P94" s="31">
        <v>31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1</v>
      </c>
      <c r="W94" s="31">
        <v>3</v>
      </c>
      <c r="X94" s="31">
        <v>0</v>
      </c>
      <c r="Y94" s="31">
        <v>1</v>
      </c>
      <c r="Z94" s="31">
        <v>1</v>
      </c>
      <c r="AA94" s="31">
        <v>0</v>
      </c>
      <c r="AB94" s="31">
        <v>65</v>
      </c>
    </row>
    <row r="95" spans="1:28" ht="24" customHeight="1" x14ac:dyDescent="0.2">
      <c r="A95" s="339"/>
      <c r="B95" s="174" t="s">
        <v>928</v>
      </c>
      <c r="C95" s="175"/>
      <c r="D95" s="175"/>
      <c r="E95" s="175"/>
      <c r="F95" s="175"/>
      <c r="G95" s="176"/>
      <c r="H95" s="23">
        <v>88</v>
      </c>
      <c r="I95" s="31">
        <v>90</v>
      </c>
      <c r="J95" s="31">
        <v>45</v>
      </c>
      <c r="K95" s="31">
        <v>0</v>
      </c>
      <c r="L95" s="31">
        <v>0</v>
      </c>
      <c r="M95" s="31">
        <v>0</v>
      </c>
      <c r="N95" s="31">
        <v>0</v>
      </c>
      <c r="O95" s="31">
        <v>33</v>
      </c>
      <c r="P95" s="31">
        <v>33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3</v>
      </c>
      <c r="W95" s="31">
        <v>0</v>
      </c>
      <c r="X95" s="31">
        <v>0</v>
      </c>
      <c r="Y95" s="31">
        <v>4</v>
      </c>
      <c r="Z95" s="31">
        <v>4</v>
      </c>
      <c r="AA95" s="31">
        <v>0</v>
      </c>
      <c r="AB95" s="31">
        <v>57</v>
      </c>
    </row>
    <row r="96" spans="1:28" ht="24" customHeight="1" x14ac:dyDescent="0.2">
      <c r="A96" s="339"/>
      <c r="B96" s="174" t="s">
        <v>957</v>
      </c>
      <c r="C96" s="175"/>
      <c r="D96" s="175"/>
      <c r="E96" s="175"/>
      <c r="F96" s="175"/>
      <c r="G96" s="176"/>
      <c r="H96" s="23">
        <v>89</v>
      </c>
      <c r="I96" s="31">
        <v>13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13</v>
      </c>
    </row>
    <row r="97" spans="1:28" ht="18.75" customHeight="1" x14ac:dyDescent="0.2">
      <c r="A97" s="191"/>
      <c r="B97" s="174" t="s">
        <v>179</v>
      </c>
      <c r="C97" s="175"/>
      <c r="D97" s="175"/>
      <c r="E97" s="175"/>
      <c r="F97" s="175"/>
      <c r="G97" s="175"/>
      <c r="H97" s="23">
        <v>90</v>
      </c>
      <c r="I97" s="31">
        <v>123</v>
      </c>
      <c r="J97" s="31">
        <v>111</v>
      </c>
      <c r="K97" s="31">
        <v>0</v>
      </c>
      <c r="L97" s="31">
        <v>0</v>
      </c>
      <c r="M97" s="31">
        <v>0</v>
      </c>
      <c r="N97" s="31">
        <v>0</v>
      </c>
      <c r="O97" s="31">
        <v>111</v>
      </c>
      <c r="P97" s="31">
        <v>111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12</v>
      </c>
    </row>
    <row r="98" spans="1:28" ht="25.5" customHeight="1" x14ac:dyDescent="0.2">
      <c r="A98" s="304" t="s">
        <v>112</v>
      </c>
      <c r="B98" s="305"/>
      <c r="C98" s="305"/>
      <c r="D98" s="305"/>
      <c r="E98" s="305"/>
      <c r="F98" s="305"/>
      <c r="G98" s="306"/>
      <c r="H98" s="23">
        <v>91</v>
      </c>
      <c r="I98" s="31">
        <v>410</v>
      </c>
      <c r="J98" s="31">
        <v>10</v>
      </c>
      <c r="K98" s="31">
        <v>0</v>
      </c>
      <c r="L98" s="31">
        <v>0</v>
      </c>
      <c r="M98" s="31">
        <v>0</v>
      </c>
      <c r="N98" s="31">
        <v>0</v>
      </c>
      <c r="O98" s="31">
        <v>8</v>
      </c>
      <c r="P98" s="31">
        <v>8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2</v>
      </c>
      <c r="W98" s="31">
        <v>0</v>
      </c>
      <c r="X98" s="31">
        <v>0</v>
      </c>
      <c r="Y98" s="31">
        <v>51</v>
      </c>
      <c r="Z98" s="31">
        <v>51</v>
      </c>
      <c r="AA98" s="31">
        <v>0</v>
      </c>
      <c r="AB98" s="31">
        <v>402</v>
      </c>
    </row>
    <row r="99" spans="1:28" ht="29.25" customHeight="1" x14ac:dyDescent="0.2">
      <c r="A99" s="216" t="s">
        <v>34</v>
      </c>
      <c r="B99" s="138" t="s">
        <v>958</v>
      </c>
      <c r="C99" s="139"/>
      <c r="D99" s="139"/>
      <c r="E99" s="139"/>
      <c r="F99" s="139"/>
      <c r="G99" s="140"/>
      <c r="H99" s="23">
        <v>92</v>
      </c>
      <c r="I99" s="31">
        <v>26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2</v>
      </c>
      <c r="Z99" s="31">
        <v>2</v>
      </c>
      <c r="AA99" s="31">
        <v>0</v>
      </c>
      <c r="AB99" s="31">
        <v>26</v>
      </c>
    </row>
    <row r="100" spans="1:28" ht="24.75" customHeight="1" x14ac:dyDescent="0.2">
      <c r="A100" s="233"/>
      <c r="B100" s="190" t="s">
        <v>32</v>
      </c>
      <c r="C100" s="138" t="s">
        <v>695</v>
      </c>
      <c r="D100" s="139"/>
      <c r="E100" s="139"/>
      <c r="F100" s="139"/>
      <c r="G100" s="140"/>
      <c r="H100" s="23">
        <v>93</v>
      </c>
      <c r="I100" s="31">
        <v>20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2</v>
      </c>
      <c r="Z100" s="31">
        <v>2</v>
      </c>
      <c r="AA100" s="31">
        <v>0</v>
      </c>
      <c r="AB100" s="31">
        <v>20</v>
      </c>
    </row>
    <row r="101" spans="1:28" ht="27" customHeight="1" x14ac:dyDescent="0.2">
      <c r="A101" s="233"/>
      <c r="B101" s="191"/>
      <c r="C101" s="139" t="s">
        <v>696</v>
      </c>
      <c r="D101" s="139"/>
      <c r="E101" s="139"/>
      <c r="F101" s="139"/>
      <c r="G101" s="140"/>
      <c r="H101" s="23">
        <v>94</v>
      </c>
      <c r="I101" s="31">
        <v>6</v>
      </c>
      <c r="J101" s="31">
        <v>1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6</v>
      </c>
    </row>
    <row r="102" spans="1:28" ht="26.25" customHeight="1" x14ac:dyDescent="0.2">
      <c r="A102" s="233"/>
      <c r="B102" s="138" t="s">
        <v>959</v>
      </c>
      <c r="C102" s="139"/>
      <c r="D102" s="139"/>
      <c r="E102" s="139"/>
      <c r="F102" s="139"/>
      <c r="G102" s="140"/>
      <c r="H102" s="23">
        <v>95</v>
      </c>
      <c r="I102" s="31">
        <v>39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8</v>
      </c>
      <c r="Z102" s="31">
        <v>8</v>
      </c>
      <c r="AA102" s="31">
        <v>0</v>
      </c>
      <c r="AB102" s="31">
        <v>39</v>
      </c>
    </row>
    <row r="103" spans="1:28" ht="21.75" customHeight="1" x14ac:dyDescent="0.2">
      <c r="A103" s="217"/>
      <c r="B103" s="138" t="s">
        <v>698</v>
      </c>
      <c r="C103" s="139"/>
      <c r="D103" s="139"/>
      <c r="E103" s="139"/>
      <c r="F103" s="139"/>
      <c r="G103" s="140"/>
      <c r="H103" s="23">
        <v>96</v>
      </c>
      <c r="I103" s="31">
        <v>24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24</v>
      </c>
    </row>
    <row r="104" spans="1:28" ht="12.95" customHeight="1" x14ac:dyDescent="0.2">
      <c r="A104" s="171" t="s">
        <v>41</v>
      </c>
      <c r="B104" s="172"/>
      <c r="C104" s="172"/>
      <c r="D104" s="172"/>
      <c r="E104" s="172"/>
      <c r="F104" s="172"/>
      <c r="G104" s="173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6" t="s">
        <v>34</v>
      </c>
      <c r="B105" s="138" t="s">
        <v>960</v>
      </c>
      <c r="C105" s="139"/>
      <c r="D105" s="139"/>
      <c r="E105" s="139"/>
      <c r="F105" s="139"/>
      <c r="G105" s="140"/>
      <c r="H105" s="23">
        <v>97</v>
      </c>
      <c r="I105" s="31">
        <v>13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1</v>
      </c>
      <c r="Z105" s="31">
        <v>1</v>
      </c>
      <c r="AA105" s="31">
        <v>0</v>
      </c>
      <c r="AB105" s="31">
        <v>13</v>
      </c>
    </row>
    <row r="106" spans="1:28" ht="40.5" customHeight="1" x14ac:dyDescent="0.2">
      <c r="A106" s="233"/>
      <c r="B106" s="138" t="s">
        <v>961</v>
      </c>
      <c r="C106" s="139"/>
      <c r="D106" s="139"/>
      <c r="E106" s="139"/>
      <c r="F106" s="139"/>
      <c r="G106" s="140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33"/>
      <c r="B107" s="138" t="s">
        <v>962</v>
      </c>
      <c r="C107" s="139"/>
      <c r="D107" s="139"/>
      <c r="E107" s="139"/>
      <c r="F107" s="139"/>
      <c r="G107" s="140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33"/>
      <c r="B108" s="138" t="s">
        <v>707</v>
      </c>
      <c r="C108" s="139"/>
      <c r="D108" s="139"/>
      <c r="E108" s="139"/>
      <c r="F108" s="139"/>
      <c r="G108" s="140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33"/>
      <c r="B109" s="190" t="s">
        <v>32</v>
      </c>
      <c r="C109" s="138" t="s">
        <v>708</v>
      </c>
      <c r="D109" s="139"/>
      <c r="E109" s="139"/>
      <c r="F109" s="139"/>
      <c r="G109" s="140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33"/>
      <c r="B110" s="191"/>
      <c r="C110" s="139" t="s">
        <v>709</v>
      </c>
      <c r="D110" s="139"/>
      <c r="E110" s="139"/>
      <c r="F110" s="139"/>
      <c r="G110" s="140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33"/>
      <c r="B111" s="138" t="s">
        <v>963</v>
      </c>
      <c r="C111" s="139"/>
      <c r="D111" s="139"/>
      <c r="E111" s="139"/>
      <c r="F111" s="139"/>
      <c r="G111" s="140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33"/>
      <c r="B112" s="138" t="s">
        <v>719</v>
      </c>
      <c r="C112" s="139"/>
      <c r="D112" s="139"/>
      <c r="E112" s="139"/>
      <c r="F112" s="139"/>
      <c r="G112" s="140"/>
      <c r="H112" s="23">
        <v>104</v>
      </c>
      <c r="I112" s="31">
        <v>14</v>
      </c>
      <c r="J112" s="31">
        <v>1</v>
      </c>
      <c r="K112" s="31">
        <v>0</v>
      </c>
      <c r="L112" s="31">
        <v>0</v>
      </c>
      <c r="M112" s="31">
        <v>0</v>
      </c>
      <c r="N112" s="31">
        <v>0</v>
      </c>
      <c r="O112" s="31">
        <v>1</v>
      </c>
      <c r="P112" s="31">
        <v>1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13</v>
      </c>
    </row>
    <row r="113" spans="1:28" ht="19.5" customHeight="1" x14ac:dyDescent="0.2">
      <c r="A113" s="217"/>
      <c r="B113" s="138" t="s">
        <v>179</v>
      </c>
      <c r="C113" s="139"/>
      <c r="D113" s="139"/>
      <c r="E113" s="139"/>
      <c r="F113" s="139"/>
      <c r="G113" s="140"/>
      <c r="H113" s="23">
        <v>105</v>
      </c>
      <c r="I113" s="31">
        <v>111</v>
      </c>
      <c r="J113" s="31">
        <v>7</v>
      </c>
      <c r="K113" s="31">
        <v>0</v>
      </c>
      <c r="L113" s="31">
        <v>0</v>
      </c>
      <c r="M113" s="31">
        <v>0</v>
      </c>
      <c r="N113" s="31">
        <v>0</v>
      </c>
      <c r="O113" s="31">
        <v>6</v>
      </c>
      <c r="P113" s="31">
        <v>6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2</v>
      </c>
      <c r="W113" s="31">
        <v>0</v>
      </c>
      <c r="X113" s="31">
        <v>0</v>
      </c>
      <c r="Y113" s="31">
        <v>7</v>
      </c>
      <c r="Z113" s="31">
        <v>7</v>
      </c>
      <c r="AA113" s="31">
        <v>0</v>
      </c>
      <c r="AB113" s="31">
        <v>105</v>
      </c>
    </row>
    <row r="114" spans="1:28" ht="39.75" customHeight="1" x14ac:dyDescent="0.2">
      <c r="A114" s="153" t="s">
        <v>113</v>
      </c>
      <c r="B114" s="154"/>
      <c r="C114" s="154"/>
      <c r="D114" s="154"/>
      <c r="E114" s="154"/>
      <c r="F114" s="154"/>
      <c r="G114" s="155"/>
      <c r="H114" s="68">
        <v>106</v>
      </c>
      <c r="I114" s="24">
        <v>108280</v>
      </c>
      <c r="J114" s="24">
        <v>3252</v>
      </c>
      <c r="K114" s="24">
        <v>165</v>
      </c>
      <c r="L114" s="24">
        <v>1</v>
      </c>
      <c r="M114" s="24">
        <v>164</v>
      </c>
      <c r="N114" s="24">
        <v>0</v>
      </c>
      <c r="O114" s="24">
        <v>2726</v>
      </c>
      <c r="P114" s="24">
        <v>1118</v>
      </c>
      <c r="Q114" s="24">
        <v>1608</v>
      </c>
      <c r="R114" s="24">
        <v>0</v>
      </c>
      <c r="S114" s="24">
        <v>0</v>
      </c>
      <c r="T114" s="24">
        <v>0</v>
      </c>
      <c r="U114" s="24">
        <v>44</v>
      </c>
      <c r="V114" s="24">
        <v>19</v>
      </c>
      <c r="W114" s="24">
        <v>0</v>
      </c>
      <c r="X114" s="24">
        <v>2</v>
      </c>
      <c r="Y114" s="24">
        <v>588</v>
      </c>
      <c r="Z114" s="24">
        <v>586</v>
      </c>
      <c r="AA114" s="24">
        <v>0</v>
      </c>
      <c r="AB114" s="24">
        <v>105387</v>
      </c>
    </row>
    <row r="115" spans="1:28" ht="27.2" customHeight="1" x14ac:dyDescent="0.2">
      <c r="A115" s="216" t="s">
        <v>34</v>
      </c>
      <c r="B115" s="141" t="s">
        <v>964</v>
      </c>
      <c r="C115" s="142"/>
      <c r="D115" s="142"/>
      <c r="E115" s="142"/>
      <c r="F115" s="142"/>
      <c r="G115" s="143"/>
      <c r="H115" s="68">
        <v>107</v>
      </c>
      <c r="I115" s="24">
        <v>92606</v>
      </c>
      <c r="J115" s="24">
        <v>2754</v>
      </c>
      <c r="K115" s="24">
        <v>124</v>
      </c>
      <c r="L115" s="24">
        <v>1</v>
      </c>
      <c r="M115" s="24">
        <v>123</v>
      </c>
      <c r="N115" s="24">
        <v>0</v>
      </c>
      <c r="O115" s="24">
        <v>2361</v>
      </c>
      <c r="P115" s="24">
        <v>766</v>
      </c>
      <c r="Q115" s="24">
        <v>1595</v>
      </c>
      <c r="R115" s="24">
        <v>0</v>
      </c>
      <c r="S115" s="24">
        <v>0</v>
      </c>
      <c r="T115" s="24">
        <v>0</v>
      </c>
      <c r="U115" s="24">
        <v>36</v>
      </c>
      <c r="V115" s="24">
        <v>0</v>
      </c>
      <c r="W115" s="24">
        <v>0</v>
      </c>
      <c r="X115" s="24">
        <v>2</v>
      </c>
      <c r="Y115" s="24">
        <v>455</v>
      </c>
      <c r="Z115" s="24">
        <v>453</v>
      </c>
      <c r="AA115" s="24">
        <v>0</v>
      </c>
      <c r="AB115" s="24">
        <v>90119</v>
      </c>
    </row>
    <row r="116" spans="1:28" ht="23.25" customHeight="1" x14ac:dyDescent="0.2">
      <c r="A116" s="233"/>
      <c r="B116" s="141" t="s">
        <v>965</v>
      </c>
      <c r="C116" s="142"/>
      <c r="D116" s="142"/>
      <c r="E116" s="142"/>
      <c r="F116" s="142"/>
      <c r="G116" s="143"/>
      <c r="H116" s="68">
        <v>108</v>
      </c>
      <c r="I116" s="24">
        <v>13237</v>
      </c>
      <c r="J116" s="24">
        <v>61</v>
      </c>
      <c r="K116" s="24">
        <v>15</v>
      </c>
      <c r="L116" s="24">
        <v>0</v>
      </c>
      <c r="M116" s="24">
        <v>15</v>
      </c>
      <c r="N116" s="24">
        <v>0</v>
      </c>
      <c r="O116" s="24">
        <v>42</v>
      </c>
      <c r="P116" s="24">
        <v>29</v>
      </c>
      <c r="Q116" s="24">
        <v>13</v>
      </c>
      <c r="R116" s="24">
        <v>0</v>
      </c>
      <c r="S116" s="24">
        <v>0</v>
      </c>
      <c r="T116" s="24">
        <v>0</v>
      </c>
      <c r="U116" s="24">
        <v>2</v>
      </c>
      <c r="V116" s="24">
        <v>0</v>
      </c>
      <c r="W116" s="24">
        <v>0</v>
      </c>
      <c r="X116" s="24">
        <v>0</v>
      </c>
      <c r="Y116" s="24">
        <v>13</v>
      </c>
      <c r="Z116" s="24">
        <v>13</v>
      </c>
      <c r="AA116" s="24">
        <v>0</v>
      </c>
      <c r="AB116" s="24">
        <v>13180</v>
      </c>
    </row>
    <row r="117" spans="1:28" ht="82.5" customHeight="1" x14ac:dyDescent="0.2">
      <c r="A117" s="233"/>
      <c r="B117" s="141" t="s">
        <v>929</v>
      </c>
      <c r="C117" s="142"/>
      <c r="D117" s="142"/>
      <c r="E117" s="142"/>
      <c r="F117" s="142"/>
      <c r="G117" s="143"/>
      <c r="H117" s="68">
        <v>109</v>
      </c>
      <c r="I117" s="24">
        <v>146</v>
      </c>
      <c r="J117" s="24">
        <v>33</v>
      </c>
      <c r="K117" s="24">
        <v>0</v>
      </c>
      <c r="L117" s="24">
        <v>0</v>
      </c>
      <c r="M117" s="24">
        <v>0</v>
      </c>
      <c r="N117" s="24">
        <v>0</v>
      </c>
      <c r="O117" s="24">
        <v>19</v>
      </c>
      <c r="P117" s="24">
        <v>19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10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127</v>
      </c>
    </row>
    <row r="118" spans="1:28" ht="24.75" customHeight="1" x14ac:dyDescent="0.2">
      <c r="A118" s="233"/>
      <c r="B118" s="141" t="s">
        <v>903</v>
      </c>
      <c r="C118" s="142"/>
      <c r="D118" s="142"/>
      <c r="E118" s="142"/>
      <c r="F118" s="142"/>
      <c r="G118" s="143"/>
      <c r="H118" s="68">
        <v>110</v>
      </c>
      <c r="I118" s="24">
        <v>248</v>
      </c>
      <c r="J118" s="24">
        <v>24</v>
      </c>
      <c r="K118" s="24">
        <v>0</v>
      </c>
      <c r="L118" s="24">
        <v>0</v>
      </c>
      <c r="M118" s="24">
        <v>0</v>
      </c>
      <c r="N118" s="24">
        <v>0</v>
      </c>
      <c r="O118" s="24">
        <v>10</v>
      </c>
      <c r="P118" s="24">
        <v>10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24</v>
      </c>
      <c r="Z118" s="24">
        <v>24</v>
      </c>
      <c r="AA118" s="24">
        <v>0</v>
      </c>
      <c r="AB118" s="24">
        <v>238</v>
      </c>
    </row>
    <row r="119" spans="1:28" ht="23.25" customHeight="1" x14ac:dyDescent="0.2">
      <c r="A119" s="233"/>
      <c r="B119" s="141" t="s">
        <v>904</v>
      </c>
      <c r="C119" s="142"/>
      <c r="D119" s="142"/>
      <c r="E119" s="142"/>
      <c r="F119" s="142"/>
      <c r="G119" s="143"/>
      <c r="H119" s="68">
        <v>111</v>
      </c>
      <c r="I119" s="24">
        <v>27</v>
      </c>
      <c r="J119" s="24">
        <v>5</v>
      </c>
      <c r="K119" s="24">
        <v>0</v>
      </c>
      <c r="L119" s="24">
        <v>0</v>
      </c>
      <c r="M119" s="24">
        <v>0</v>
      </c>
      <c r="N119" s="24">
        <v>0</v>
      </c>
      <c r="O119" s="24">
        <v>2</v>
      </c>
      <c r="P119" s="24">
        <v>2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2</v>
      </c>
      <c r="Z119" s="24">
        <v>2</v>
      </c>
      <c r="AA119" s="24">
        <v>0</v>
      </c>
      <c r="AB119" s="24">
        <v>25</v>
      </c>
    </row>
    <row r="120" spans="1:28" ht="28.5" customHeight="1" x14ac:dyDescent="0.2">
      <c r="A120" s="233"/>
      <c r="B120" s="141" t="s">
        <v>966</v>
      </c>
      <c r="C120" s="142"/>
      <c r="D120" s="142"/>
      <c r="E120" s="142"/>
      <c r="F120" s="142"/>
      <c r="G120" s="143"/>
      <c r="H120" s="68">
        <v>112</v>
      </c>
      <c r="I120" s="24">
        <v>281</v>
      </c>
      <c r="J120" s="24">
        <v>8</v>
      </c>
      <c r="K120" s="24">
        <v>1</v>
      </c>
      <c r="L120" s="24">
        <v>0</v>
      </c>
      <c r="M120" s="24">
        <v>1</v>
      </c>
      <c r="N120" s="24">
        <v>0</v>
      </c>
      <c r="O120" s="24">
        <v>1</v>
      </c>
      <c r="P120" s="24">
        <v>1</v>
      </c>
      <c r="Q120" s="24">
        <v>0</v>
      </c>
      <c r="R120" s="24">
        <v>0</v>
      </c>
      <c r="S120" s="24">
        <v>0</v>
      </c>
      <c r="T120" s="24">
        <v>0</v>
      </c>
      <c r="U120" s="24">
        <v>1</v>
      </c>
      <c r="V120" s="24">
        <v>0</v>
      </c>
      <c r="W120" s="24">
        <v>0</v>
      </c>
      <c r="X120" s="24">
        <v>0</v>
      </c>
      <c r="Y120" s="24">
        <v>11</v>
      </c>
      <c r="Z120" s="24">
        <v>11</v>
      </c>
      <c r="AA120" s="24">
        <v>0</v>
      </c>
      <c r="AB120" s="24">
        <v>279</v>
      </c>
    </row>
    <row r="121" spans="1:28" ht="23.25" customHeight="1" x14ac:dyDescent="0.2">
      <c r="A121" s="217"/>
      <c r="B121" s="138" t="s">
        <v>179</v>
      </c>
      <c r="C121" s="139"/>
      <c r="D121" s="139"/>
      <c r="E121" s="139"/>
      <c r="F121" s="139"/>
      <c r="G121" s="140"/>
      <c r="H121" s="68">
        <v>113</v>
      </c>
      <c r="I121" s="24">
        <v>1735</v>
      </c>
      <c r="J121" s="24">
        <v>367</v>
      </c>
      <c r="K121" s="24">
        <v>25</v>
      </c>
      <c r="L121" s="24">
        <v>0</v>
      </c>
      <c r="M121" s="24">
        <v>25</v>
      </c>
      <c r="N121" s="24">
        <v>0</v>
      </c>
      <c r="O121" s="24">
        <v>291</v>
      </c>
      <c r="P121" s="24">
        <v>291</v>
      </c>
      <c r="Q121" s="24">
        <v>0</v>
      </c>
      <c r="R121" s="24">
        <v>0</v>
      </c>
      <c r="S121" s="24">
        <v>0</v>
      </c>
      <c r="T121" s="24">
        <v>0</v>
      </c>
      <c r="U121" s="24">
        <v>5</v>
      </c>
      <c r="V121" s="24">
        <v>9</v>
      </c>
      <c r="W121" s="24">
        <v>0</v>
      </c>
      <c r="X121" s="24">
        <v>0</v>
      </c>
      <c r="Y121" s="24">
        <v>83</v>
      </c>
      <c r="Z121" s="24">
        <v>83</v>
      </c>
      <c r="AA121" s="24">
        <v>0</v>
      </c>
      <c r="AB121" s="24">
        <v>1419</v>
      </c>
    </row>
    <row r="122" spans="1:28" ht="30" customHeight="1" x14ac:dyDescent="0.2">
      <c r="A122" s="304" t="s">
        <v>114</v>
      </c>
      <c r="B122" s="305"/>
      <c r="C122" s="305"/>
      <c r="D122" s="305"/>
      <c r="E122" s="305"/>
      <c r="F122" s="305"/>
      <c r="G122" s="306"/>
      <c r="H122" s="68">
        <v>114</v>
      </c>
      <c r="I122" s="31">
        <v>8</v>
      </c>
      <c r="J122" s="31">
        <v>1</v>
      </c>
      <c r="K122" s="31">
        <v>0</v>
      </c>
      <c r="L122" s="31">
        <v>0</v>
      </c>
      <c r="M122" s="31">
        <v>0</v>
      </c>
      <c r="N122" s="31">
        <v>0</v>
      </c>
      <c r="O122" s="31">
        <v>1</v>
      </c>
      <c r="P122" s="31">
        <v>1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7</v>
      </c>
    </row>
    <row r="123" spans="1:28" ht="25.5" customHeight="1" x14ac:dyDescent="0.2">
      <c r="A123" s="138" t="s">
        <v>115</v>
      </c>
      <c r="B123" s="139"/>
      <c r="C123" s="139"/>
      <c r="D123" s="139"/>
      <c r="E123" s="139"/>
      <c r="F123" s="139"/>
      <c r="G123" s="140"/>
      <c r="H123" s="68">
        <v>115</v>
      </c>
      <c r="I123" s="24">
        <f t="shared" ref="I123:AB123" si="0">SUM(I105:I122,I53:I103,I7:I51)</f>
        <v>451832</v>
      </c>
      <c r="J123" s="24">
        <f t="shared" si="0"/>
        <v>17731</v>
      </c>
      <c r="K123" s="24">
        <f t="shared" si="0"/>
        <v>713</v>
      </c>
      <c r="L123" s="24">
        <f t="shared" si="0"/>
        <v>4</v>
      </c>
      <c r="M123" s="24">
        <f t="shared" si="0"/>
        <v>705</v>
      </c>
      <c r="N123" s="24">
        <f t="shared" si="0"/>
        <v>4</v>
      </c>
      <c r="O123" s="24">
        <f t="shared" si="0"/>
        <v>14015</v>
      </c>
      <c r="P123" s="24">
        <f t="shared" si="0"/>
        <v>7579</v>
      </c>
      <c r="Q123" s="24">
        <f t="shared" si="0"/>
        <v>6432</v>
      </c>
      <c r="R123" s="24">
        <f t="shared" si="0"/>
        <v>4</v>
      </c>
      <c r="S123" s="24">
        <f t="shared" si="0"/>
        <v>0</v>
      </c>
      <c r="T123" s="24">
        <f t="shared" si="0"/>
        <v>0</v>
      </c>
      <c r="U123" s="24">
        <f t="shared" si="0"/>
        <v>217</v>
      </c>
      <c r="V123" s="24">
        <f t="shared" si="0"/>
        <v>579</v>
      </c>
      <c r="W123" s="24">
        <f t="shared" si="0"/>
        <v>51</v>
      </c>
      <c r="X123" s="24">
        <f t="shared" si="0"/>
        <v>8</v>
      </c>
      <c r="Y123" s="24">
        <f t="shared" si="0"/>
        <v>3550</v>
      </c>
      <c r="Z123" s="24">
        <f t="shared" si="0"/>
        <v>3542</v>
      </c>
      <c r="AA123" s="24">
        <f t="shared" si="0"/>
        <v>0</v>
      </c>
      <c r="AB123" s="24">
        <f t="shared" si="0"/>
        <v>437096</v>
      </c>
    </row>
    <row r="124" spans="1:28" ht="24.95" customHeight="1" x14ac:dyDescent="0.2">
      <c r="A124" t="s">
        <v>834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7:I51 I53:I103 I105:I122">
    <cfRule type="expression" dxfId="38" priority="0">
      <formula>I7&lt;&gt;SUM(K7,O7)+T7+(Y7-Z7)+AB7</formula>
    </cfRule>
  </conditionalFormatting>
  <conditionalFormatting sqref="I7:AB7">
    <cfRule type="expression" dxfId="37" priority="1">
      <formula>SUM(I8:I11)&gt;I7</formula>
    </cfRule>
    <cfRule type="expression" dxfId="36" priority="1">
      <formula>SUM(I12,I13,I20,I26:I27,I41,I44,I56,I61,I66:I67,I71:I72,I78:I81,I98,I114,I122)&lt;&gt;I7</formula>
    </cfRule>
  </conditionalFormatting>
  <conditionalFormatting sqref="I13:AB13">
    <cfRule type="expression" dxfId="35" priority="2">
      <formula>SUM(I14:I15,I17:I19)&gt;I13</formula>
    </cfRule>
  </conditionalFormatting>
  <conditionalFormatting sqref="I20:AB20">
    <cfRule type="expression" dxfId="34" priority="3">
      <formula>SUM(I21:I22,I25)&gt;I20</formula>
    </cfRule>
  </conditionalFormatting>
  <conditionalFormatting sqref="I27:AB27">
    <cfRule type="expression" dxfId="33" priority="4">
      <formula>SUM(I28:I32,I35:I36,I39:I40)&gt;I27</formula>
    </cfRule>
  </conditionalFormatting>
  <conditionalFormatting sqref="I41:AB41 I85:AB85">
    <cfRule type="expression" dxfId="32" priority="5">
      <formula>SUM(I42:I43)&gt;I41</formula>
    </cfRule>
  </conditionalFormatting>
  <conditionalFormatting sqref="I44:AB44">
    <cfRule type="expression" dxfId="31" priority="6">
      <formula>SUM(I45:I51,I53:I55)&gt;I44</formula>
    </cfRule>
  </conditionalFormatting>
  <conditionalFormatting sqref="I56:AB56 I61:AB61">
    <cfRule type="expression" dxfId="30" priority="7">
      <formula>SUM(I57:I60)&gt;I56</formula>
    </cfRule>
  </conditionalFormatting>
  <conditionalFormatting sqref="I67:AB67">
    <cfRule type="expression" dxfId="29" priority="8">
      <formula>SUM(I68,I70)&gt;I67</formula>
    </cfRule>
  </conditionalFormatting>
  <conditionalFormatting sqref="I72:AB72">
    <cfRule type="expression" dxfId="28" priority="9">
      <formula>SUM(I73:I75,I77)&gt;I72</formula>
    </cfRule>
  </conditionalFormatting>
  <conditionalFormatting sqref="I81:AB81">
    <cfRule type="expression" dxfId="27" priority="10">
      <formula>SUM(I82,I84:I85,I88:I97)&gt;I81</formula>
    </cfRule>
  </conditionalFormatting>
  <conditionalFormatting sqref="I82:AB82">
    <cfRule type="expression" dxfId="26" priority="11">
      <formula>I83&gt;I82</formula>
    </cfRule>
  </conditionalFormatting>
  <conditionalFormatting sqref="I98:AB98">
    <cfRule type="expression" dxfId="25" priority="12">
      <formula>SUM(I99,I102:I103,I105:I108,I111:I113)&gt;I98</formula>
    </cfRule>
  </conditionalFormatting>
  <conditionalFormatting sqref="I99:AB99 I108:AB108">
    <cfRule type="expression" dxfId="24" priority="13">
      <formula>SUM(I100:I101)&lt;&gt;I99</formula>
    </cfRule>
  </conditionalFormatting>
  <conditionalFormatting sqref="I114:AB114">
    <cfRule type="expression" dxfId="23" priority="14">
      <formula>SUM(I115:I121)&gt;I114</formula>
    </cfRule>
  </conditionalFormatting>
  <conditionalFormatting sqref="K7:K51 K53:K103 K105:K122">
    <cfRule type="expression" dxfId="22" priority="15">
      <formula>SUM(L7:N7)&gt;K7</formula>
    </cfRule>
  </conditionalFormatting>
  <conditionalFormatting sqref="O7:O51 O53:O103 O105:O122">
    <cfRule type="expression" dxfId="21" priority="16">
      <formula>SUM(P7:S7)&lt;&gt;O7</formula>
    </cfRule>
  </conditionalFormatting>
  <conditionalFormatting sqref="Y7:Y51 Y53:Y103 Y105:Y122">
    <cfRule type="expression" dxfId="20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60" zoomScaleNormal="11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58.3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9" t="s">
        <v>967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85"/>
    </row>
    <row r="2" spans="1:15" ht="19.5" customHeight="1" x14ac:dyDescent="0.25">
      <c r="A2" s="14" t="s">
        <v>968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8"/>
      <c r="B3" s="179"/>
      <c r="C3" s="180"/>
      <c r="D3" s="348" t="s">
        <v>15</v>
      </c>
      <c r="E3" s="216" t="s">
        <v>1149</v>
      </c>
      <c r="F3" s="356" t="s">
        <v>969</v>
      </c>
      <c r="G3" s="356"/>
      <c r="H3" s="356"/>
      <c r="I3" s="356"/>
      <c r="J3" s="357"/>
      <c r="K3" s="358" t="s">
        <v>970</v>
      </c>
      <c r="L3" s="356"/>
      <c r="M3" s="356"/>
      <c r="N3" s="357"/>
    </row>
    <row r="4" spans="1:15" ht="15.75" customHeight="1" x14ac:dyDescent="0.2">
      <c r="A4" s="181"/>
      <c r="B4" s="182"/>
      <c r="C4" s="183"/>
      <c r="D4" s="349"/>
      <c r="E4" s="233"/>
      <c r="F4" s="216" t="s">
        <v>971</v>
      </c>
      <c r="G4" s="216" t="s">
        <v>972</v>
      </c>
      <c r="H4" s="216" t="s">
        <v>973</v>
      </c>
      <c r="I4" s="216" t="s">
        <v>974</v>
      </c>
      <c r="J4" s="216" t="s">
        <v>975</v>
      </c>
      <c r="K4" s="216" t="s">
        <v>976</v>
      </c>
      <c r="L4" s="216" t="s">
        <v>977</v>
      </c>
      <c r="M4" s="150" t="s">
        <v>978</v>
      </c>
      <c r="N4" s="152"/>
    </row>
    <row r="5" spans="1:15" ht="25.5" customHeight="1" x14ac:dyDescent="0.2">
      <c r="A5" s="184"/>
      <c r="B5" s="185"/>
      <c r="C5" s="186"/>
      <c r="D5" s="350"/>
      <c r="E5" s="217"/>
      <c r="F5" s="217"/>
      <c r="G5" s="217"/>
      <c r="H5" s="217"/>
      <c r="I5" s="217"/>
      <c r="J5" s="217"/>
      <c r="K5" s="217"/>
      <c r="L5" s="217"/>
      <c r="M5" s="49" t="s">
        <v>585</v>
      </c>
      <c r="N5" s="49" t="s">
        <v>979</v>
      </c>
    </row>
    <row r="6" spans="1:15" ht="13.5" customHeight="1" x14ac:dyDescent="0.2">
      <c r="A6" s="351" t="s">
        <v>41</v>
      </c>
      <c r="B6" s="352"/>
      <c r="C6" s="353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201" t="s">
        <v>980</v>
      </c>
      <c r="B7" s="202"/>
      <c r="C7" s="203"/>
      <c r="D7" s="20">
        <v>1</v>
      </c>
      <c r="E7" s="31">
        <v>125955</v>
      </c>
      <c r="F7" s="31">
        <v>92796</v>
      </c>
      <c r="G7" s="31">
        <v>21</v>
      </c>
      <c r="H7" s="31">
        <v>32728</v>
      </c>
      <c r="I7" s="31">
        <v>393</v>
      </c>
      <c r="J7" s="31">
        <v>1</v>
      </c>
      <c r="K7" s="31">
        <v>9739</v>
      </c>
      <c r="L7" s="31">
        <v>45129</v>
      </c>
      <c r="M7" s="31">
        <v>1894</v>
      </c>
      <c r="N7" s="31">
        <v>1806</v>
      </c>
      <c r="O7" s="15"/>
    </row>
    <row r="8" spans="1:15" ht="20.25" customHeight="1" x14ac:dyDescent="0.2">
      <c r="A8" s="20" t="s">
        <v>32</v>
      </c>
      <c r="B8" s="201" t="s">
        <v>981</v>
      </c>
      <c r="C8" s="203"/>
      <c r="D8" s="20">
        <v>2</v>
      </c>
      <c r="E8" s="31">
        <v>91292</v>
      </c>
      <c r="F8" s="31">
        <v>58354</v>
      </c>
      <c r="G8" s="31">
        <v>16</v>
      </c>
      <c r="H8" s="31">
        <v>32705</v>
      </c>
      <c r="I8" s="31">
        <v>208</v>
      </c>
      <c r="J8" s="31">
        <v>1</v>
      </c>
      <c r="K8" s="31">
        <v>9593</v>
      </c>
      <c r="L8" s="31">
        <v>29928</v>
      </c>
      <c r="M8" s="31">
        <v>701</v>
      </c>
      <c r="N8" s="31">
        <v>795</v>
      </c>
    </row>
    <row r="9" spans="1:15" ht="20.25" customHeight="1" x14ac:dyDescent="0.2">
      <c r="A9" s="348" t="s">
        <v>982</v>
      </c>
      <c r="B9" s="201" t="s">
        <v>983</v>
      </c>
      <c r="C9" s="203"/>
      <c r="D9" s="20">
        <v>3</v>
      </c>
      <c r="E9" s="31">
        <v>10597</v>
      </c>
      <c r="F9" s="31">
        <v>10580</v>
      </c>
      <c r="G9" s="31">
        <v>0</v>
      </c>
      <c r="H9" s="31">
        <v>1</v>
      </c>
      <c r="I9" s="31">
        <v>16</v>
      </c>
      <c r="J9" s="31">
        <v>0</v>
      </c>
      <c r="K9" s="31">
        <v>6398</v>
      </c>
      <c r="L9" s="31">
        <v>208</v>
      </c>
      <c r="M9" s="31">
        <v>3</v>
      </c>
      <c r="N9" s="31">
        <v>13</v>
      </c>
    </row>
    <row r="10" spans="1:15" ht="20.25" customHeight="1" x14ac:dyDescent="0.2">
      <c r="A10" s="349"/>
      <c r="B10" s="20" t="s">
        <v>32</v>
      </c>
      <c r="C10" s="69" t="s">
        <v>184</v>
      </c>
      <c r="D10" s="20">
        <v>4</v>
      </c>
      <c r="E10" s="31">
        <v>3688</v>
      </c>
      <c r="F10" s="31">
        <v>3688</v>
      </c>
      <c r="G10" s="31">
        <v>0</v>
      </c>
      <c r="H10" s="31">
        <v>0</v>
      </c>
      <c r="I10" s="31">
        <v>0</v>
      </c>
      <c r="J10" s="31">
        <v>0</v>
      </c>
      <c r="K10" s="31">
        <v>3660</v>
      </c>
      <c r="L10" s="31">
        <v>24</v>
      </c>
      <c r="M10" s="31">
        <v>0</v>
      </c>
      <c r="N10" s="31">
        <v>2</v>
      </c>
    </row>
    <row r="11" spans="1:15" ht="20.25" customHeight="1" x14ac:dyDescent="0.2">
      <c r="A11" s="349"/>
      <c r="B11" s="201" t="s">
        <v>984</v>
      </c>
      <c r="C11" s="203"/>
      <c r="D11" s="20">
        <v>5</v>
      </c>
      <c r="E11" s="31">
        <v>564</v>
      </c>
      <c r="F11" s="31">
        <v>560</v>
      </c>
      <c r="G11" s="31">
        <v>0</v>
      </c>
      <c r="H11" s="31">
        <v>1</v>
      </c>
      <c r="I11" s="31">
        <v>3</v>
      </c>
      <c r="J11" s="31">
        <v>0</v>
      </c>
      <c r="K11" s="31">
        <v>164</v>
      </c>
      <c r="L11" s="31">
        <v>103</v>
      </c>
      <c r="M11" s="31">
        <v>10</v>
      </c>
      <c r="N11" s="31">
        <v>2</v>
      </c>
    </row>
    <row r="12" spans="1:15" ht="20.25" customHeight="1" x14ac:dyDescent="0.2">
      <c r="A12" s="349"/>
      <c r="B12" s="20" t="s">
        <v>34</v>
      </c>
      <c r="C12" s="69" t="s">
        <v>798</v>
      </c>
      <c r="D12" s="20">
        <v>6</v>
      </c>
      <c r="E12" s="31">
        <v>167</v>
      </c>
      <c r="F12" s="31">
        <v>167</v>
      </c>
      <c r="G12" s="31">
        <v>0</v>
      </c>
      <c r="H12" s="31">
        <v>0</v>
      </c>
      <c r="I12" s="31">
        <v>0</v>
      </c>
      <c r="J12" s="31">
        <v>0</v>
      </c>
      <c r="K12" s="31">
        <v>164</v>
      </c>
      <c r="L12" s="31">
        <v>49</v>
      </c>
      <c r="M12" s="31">
        <v>0</v>
      </c>
      <c r="N12" s="31">
        <v>1</v>
      </c>
    </row>
    <row r="13" spans="1:15" ht="20.25" customHeight="1" x14ac:dyDescent="0.2">
      <c r="A13" s="349"/>
      <c r="B13" s="201" t="s">
        <v>62</v>
      </c>
      <c r="C13" s="203"/>
      <c r="D13" s="20">
        <v>7</v>
      </c>
      <c r="E13" s="31">
        <v>4126</v>
      </c>
      <c r="F13" s="54">
        <v>4115</v>
      </c>
      <c r="G13" s="54">
        <v>0</v>
      </c>
      <c r="H13" s="31">
        <v>1</v>
      </c>
      <c r="I13" s="31">
        <v>9</v>
      </c>
      <c r="J13" s="31">
        <v>0</v>
      </c>
      <c r="K13" s="31">
        <v>125</v>
      </c>
      <c r="L13" s="31">
        <v>3318</v>
      </c>
      <c r="M13" s="31">
        <v>93</v>
      </c>
      <c r="N13" s="31">
        <v>197</v>
      </c>
    </row>
    <row r="14" spans="1:15" ht="20.25" customHeight="1" x14ac:dyDescent="0.2">
      <c r="A14" s="349"/>
      <c r="B14" s="20" t="s">
        <v>34</v>
      </c>
      <c r="C14" s="69" t="s">
        <v>985</v>
      </c>
      <c r="D14" s="20">
        <v>8</v>
      </c>
      <c r="E14" s="31">
        <v>1213</v>
      </c>
      <c r="F14" s="31">
        <v>1212</v>
      </c>
      <c r="G14" s="31">
        <v>0</v>
      </c>
      <c r="H14" s="31">
        <v>0</v>
      </c>
      <c r="I14" s="31">
        <v>1</v>
      </c>
      <c r="J14" s="31">
        <v>0</v>
      </c>
      <c r="K14" s="31">
        <v>0</v>
      </c>
      <c r="L14" s="31">
        <v>1074</v>
      </c>
      <c r="M14" s="31">
        <v>22</v>
      </c>
      <c r="N14" s="31">
        <v>52</v>
      </c>
    </row>
    <row r="15" spans="1:15" ht="20.25" customHeight="1" x14ac:dyDescent="0.2">
      <c r="A15" s="349"/>
      <c r="B15" s="138" t="s">
        <v>986</v>
      </c>
      <c r="C15" s="140"/>
      <c r="D15" s="20">
        <v>9</v>
      </c>
      <c r="E15" s="31">
        <v>42</v>
      </c>
      <c r="F15" s="31">
        <v>42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31</v>
      </c>
      <c r="M15" s="31">
        <v>3</v>
      </c>
      <c r="N15" s="31">
        <v>4</v>
      </c>
    </row>
    <row r="16" spans="1:15" ht="20.25" customHeight="1" x14ac:dyDescent="0.2">
      <c r="A16" s="349"/>
      <c r="B16" s="49" t="s">
        <v>32</v>
      </c>
      <c r="C16" s="81" t="s">
        <v>987</v>
      </c>
      <c r="D16" s="20">
        <v>10</v>
      </c>
      <c r="E16" s="31">
        <v>37</v>
      </c>
      <c r="F16" s="31">
        <v>37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26</v>
      </c>
      <c r="M16" s="31">
        <v>3</v>
      </c>
      <c r="N16" s="31">
        <v>4</v>
      </c>
    </row>
    <row r="17" spans="1:14" ht="20.25" customHeight="1" x14ac:dyDescent="0.2">
      <c r="A17" s="349"/>
      <c r="B17" s="201" t="s">
        <v>988</v>
      </c>
      <c r="C17" s="203"/>
      <c r="D17" s="20">
        <v>11</v>
      </c>
      <c r="E17" s="31">
        <v>218</v>
      </c>
      <c r="F17" s="31">
        <v>217</v>
      </c>
      <c r="G17" s="31">
        <v>0</v>
      </c>
      <c r="H17" s="31">
        <v>0</v>
      </c>
      <c r="I17" s="31">
        <v>1</v>
      </c>
      <c r="J17" s="31">
        <v>0</v>
      </c>
      <c r="K17" s="31">
        <v>2</v>
      </c>
      <c r="L17" s="31">
        <v>175</v>
      </c>
      <c r="M17" s="31">
        <v>60</v>
      </c>
      <c r="N17" s="31">
        <v>114</v>
      </c>
    </row>
    <row r="18" spans="1:14" ht="20.25" customHeight="1" x14ac:dyDescent="0.2">
      <c r="A18" s="349"/>
      <c r="B18" s="201" t="s">
        <v>989</v>
      </c>
      <c r="C18" s="203"/>
      <c r="D18" s="20">
        <v>12</v>
      </c>
      <c r="E18" s="31">
        <v>93</v>
      </c>
      <c r="F18" s="31">
        <v>93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78</v>
      </c>
      <c r="M18" s="31">
        <v>19</v>
      </c>
      <c r="N18" s="31">
        <v>65</v>
      </c>
    </row>
    <row r="19" spans="1:14" ht="29.1" customHeight="1" x14ac:dyDescent="0.2">
      <c r="A19" s="349"/>
      <c r="B19" s="138" t="s">
        <v>990</v>
      </c>
      <c r="C19" s="140"/>
      <c r="D19" s="20">
        <v>13</v>
      </c>
      <c r="E19" s="31">
        <v>95</v>
      </c>
      <c r="F19" s="31">
        <v>95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95</v>
      </c>
      <c r="M19" s="31">
        <v>90</v>
      </c>
      <c r="N19" s="31">
        <v>5</v>
      </c>
    </row>
    <row r="20" spans="1:14" ht="20.25" customHeight="1" x14ac:dyDescent="0.2">
      <c r="A20" s="349"/>
      <c r="B20" s="201" t="s">
        <v>991</v>
      </c>
      <c r="C20" s="203"/>
      <c r="D20" s="20">
        <v>14</v>
      </c>
      <c r="E20" s="31">
        <v>97</v>
      </c>
      <c r="F20" s="31">
        <v>97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82</v>
      </c>
      <c r="M20" s="31">
        <v>14</v>
      </c>
      <c r="N20" s="31">
        <v>82</v>
      </c>
    </row>
    <row r="21" spans="1:14" ht="20.25" customHeight="1" x14ac:dyDescent="0.2">
      <c r="A21" s="349"/>
      <c r="B21" s="201" t="s">
        <v>992</v>
      </c>
      <c r="C21" s="203"/>
      <c r="D21" s="20">
        <v>15</v>
      </c>
      <c r="E21" s="31">
        <v>6</v>
      </c>
      <c r="F21" s="31">
        <v>6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6</v>
      </c>
      <c r="M21" s="31">
        <v>0</v>
      </c>
      <c r="N21" s="31">
        <v>6</v>
      </c>
    </row>
    <row r="22" spans="1:14" ht="20.25" customHeight="1" x14ac:dyDescent="0.2">
      <c r="A22" s="349"/>
      <c r="B22" s="201" t="s">
        <v>993</v>
      </c>
      <c r="C22" s="203"/>
      <c r="D22" s="20">
        <v>16</v>
      </c>
      <c r="E22" s="31">
        <v>13592</v>
      </c>
      <c r="F22" s="31">
        <v>13576</v>
      </c>
      <c r="G22" s="31">
        <v>0</v>
      </c>
      <c r="H22" s="31">
        <v>0</v>
      </c>
      <c r="I22" s="31">
        <v>9</v>
      </c>
      <c r="J22" s="31">
        <v>0</v>
      </c>
      <c r="K22" s="31">
        <v>9</v>
      </c>
      <c r="L22" s="31">
        <v>5004</v>
      </c>
      <c r="M22" s="31">
        <v>65</v>
      </c>
      <c r="N22" s="31">
        <v>53</v>
      </c>
    </row>
    <row r="23" spans="1:14" ht="20.25" customHeight="1" x14ac:dyDescent="0.2">
      <c r="A23" s="349"/>
      <c r="B23" s="201" t="s">
        <v>994</v>
      </c>
      <c r="C23" s="203"/>
      <c r="D23" s="20">
        <v>17</v>
      </c>
      <c r="E23" s="31">
        <v>574</v>
      </c>
      <c r="F23" s="31">
        <v>571</v>
      </c>
      <c r="G23" s="31">
        <v>0</v>
      </c>
      <c r="H23" s="31">
        <v>0</v>
      </c>
      <c r="I23" s="31">
        <v>3</v>
      </c>
      <c r="J23" s="31">
        <v>0</v>
      </c>
      <c r="K23" s="31">
        <v>0</v>
      </c>
      <c r="L23" s="31">
        <v>195</v>
      </c>
      <c r="M23" s="31">
        <v>15</v>
      </c>
      <c r="N23" s="31">
        <v>13</v>
      </c>
    </row>
    <row r="24" spans="1:14" ht="20.25" customHeight="1" x14ac:dyDescent="0.2">
      <c r="A24" s="349"/>
      <c r="B24" s="201" t="s">
        <v>995</v>
      </c>
      <c r="C24" s="203"/>
      <c r="D24" s="20">
        <v>18</v>
      </c>
      <c r="E24" s="31">
        <v>136</v>
      </c>
      <c r="F24" s="31">
        <v>134</v>
      </c>
      <c r="G24" s="31">
        <v>0</v>
      </c>
      <c r="H24" s="31">
        <v>0</v>
      </c>
      <c r="I24" s="31">
        <v>2</v>
      </c>
      <c r="J24" s="31">
        <v>0</v>
      </c>
      <c r="K24" s="31">
        <v>5</v>
      </c>
      <c r="L24" s="31">
        <v>58</v>
      </c>
      <c r="M24" s="31">
        <v>5</v>
      </c>
      <c r="N24" s="31">
        <v>2</v>
      </c>
    </row>
    <row r="25" spans="1:14" ht="20.25" customHeight="1" x14ac:dyDescent="0.2">
      <c r="A25" s="349"/>
      <c r="B25" s="201" t="s">
        <v>996</v>
      </c>
      <c r="C25" s="203"/>
      <c r="D25" s="20">
        <v>19</v>
      </c>
      <c r="E25" s="31">
        <v>19088</v>
      </c>
      <c r="F25" s="31">
        <v>19071</v>
      </c>
      <c r="G25" s="31">
        <v>0</v>
      </c>
      <c r="H25" s="31">
        <v>0</v>
      </c>
      <c r="I25" s="31">
        <v>17</v>
      </c>
      <c r="J25" s="31">
        <v>0</v>
      </c>
      <c r="K25" s="31">
        <v>4</v>
      </c>
      <c r="L25" s="31">
        <v>9422</v>
      </c>
      <c r="M25" s="31">
        <v>94</v>
      </c>
      <c r="N25" s="31">
        <v>14</v>
      </c>
    </row>
    <row r="26" spans="1:14" ht="20.25" customHeight="1" x14ac:dyDescent="0.2">
      <c r="A26" s="349"/>
      <c r="B26" s="201" t="s">
        <v>997</v>
      </c>
      <c r="C26" s="203"/>
      <c r="D26" s="20">
        <v>20</v>
      </c>
      <c r="E26" s="31">
        <v>3136</v>
      </c>
      <c r="F26" s="31">
        <v>3071</v>
      </c>
      <c r="G26" s="31">
        <v>0</v>
      </c>
      <c r="H26" s="31">
        <v>0</v>
      </c>
      <c r="I26" s="31">
        <v>65</v>
      </c>
      <c r="J26" s="31">
        <v>0</v>
      </c>
      <c r="K26" s="31">
        <v>621</v>
      </c>
      <c r="L26" s="31">
        <v>1284</v>
      </c>
      <c r="M26" s="31">
        <v>265</v>
      </c>
      <c r="N26" s="31">
        <v>194</v>
      </c>
    </row>
    <row r="27" spans="1:14" ht="20.25" customHeight="1" x14ac:dyDescent="0.2">
      <c r="A27" s="349"/>
      <c r="B27" s="360" t="s">
        <v>998</v>
      </c>
      <c r="C27" s="361"/>
      <c r="D27" s="20">
        <v>21</v>
      </c>
      <c r="E27" s="31">
        <v>35068</v>
      </c>
      <c r="F27" s="31">
        <v>2513</v>
      </c>
      <c r="G27" s="31">
        <v>0</v>
      </c>
      <c r="H27" s="31">
        <v>32554</v>
      </c>
      <c r="I27" s="31">
        <v>0</v>
      </c>
      <c r="J27" s="31">
        <v>0</v>
      </c>
      <c r="K27" s="31">
        <v>1049</v>
      </c>
      <c r="L27" s="31">
        <v>17293</v>
      </c>
      <c r="M27" s="31">
        <v>99</v>
      </c>
      <c r="N27" s="31">
        <v>153</v>
      </c>
    </row>
    <row r="28" spans="1:14" ht="20.25" customHeight="1" x14ac:dyDescent="0.2">
      <c r="A28" s="349"/>
      <c r="B28" s="87" t="s">
        <v>34</v>
      </c>
      <c r="C28" s="48" t="s">
        <v>999</v>
      </c>
      <c r="D28" s="21">
        <v>22</v>
      </c>
      <c r="E28" s="31">
        <v>4614</v>
      </c>
      <c r="F28" s="31">
        <v>461</v>
      </c>
      <c r="G28" s="31">
        <v>0</v>
      </c>
      <c r="H28" s="31">
        <v>4153</v>
      </c>
      <c r="I28" s="31">
        <v>0</v>
      </c>
      <c r="J28" s="31">
        <v>0</v>
      </c>
      <c r="K28" s="31">
        <v>1043</v>
      </c>
      <c r="L28" s="31">
        <v>2316</v>
      </c>
      <c r="M28" s="31">
        <v>45</v>
      </c>
      <c r="N28" s="31">
        <v>86</v>
      </c>
    </row>
    <row r="29" spans="1:14" ht="20.25" customHeight="1" x14ac:dyDescent="0.2">
      <c r="A29" s="350"/>
      <c r="B29" s="362" t="s">
        <v>1000</v>
      </c>
      <c r="C29" s="363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8" t="s">
        <v>1001</v>
      </c>
      <c r="B30" s="201" t="s">
        <v>1002</v>
      </c>
      <c r="C30" s="203"/>
      <c r="D30" s="20">
        <v>24</v>
      </c>
      <c r="E30" s="31">
        <v>15</v>
      </c>
      <c r="F30" s="31">
        <v>10</v>
      </c>
      <c r="G30" s="31">
        <v>0</v>
      </c>
      <c r="H30" s="31">
        <v>5</v>
      </c>
      <c r="I30" s="31">
        <v>0</v>
      </c>
      <c r="J30" s="31">
        <v>0</v>
      </c>
      <c r="K30" s="31">
        <v>0</v>
      </c>
      <c r="L30" s="31">
        <v>5</v>
      </c>
      <c r="M30" s="31" t="s">
        <v>1003</v>
      </c>
      <c r="N30" s="31" t="s">
        <v>1003</v>
      </c>
    </row>
    <row r="31" spans="1:14" ht="20.25" customHeight="1" x14ac:dyDescent="0.2">
      <c r="A31" s="349"/>
      <c r="B31" s="216" t="s">
        <v>1004</v>
      </c>
      <c r="C31" s="69" t="s">
        <v>1005</v>
      </c>
      <c r="D31" s="20">
        <v>25</v>
      </c>
      <c r="E31" s="31">
        <v>1</v>
      </c>
      <c r="F31" s="31">
        <v>1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1</v>
      </c>
      <c r="M31" s="31" t="s">
        <v>1003</v>
      </c>
      <c r="N31" s="31" t="s">
        <v>1003</v>
      </c>
    </row>
    <row r="32" spans="1:14" ht="20.25" customHeight="1" x14ac:dyDescent="0.2">
      <c r="A32" s="349"/>
      <c r="B32" s="233"/>
      <c r="C32" s="69" t="s">
        <v>1006</v>
      </c>
      <c r="D32" s="20">
        <v>26</v>
      </c>
      <c r="E32" s="31">
        <v>2</v>
      </c>
      <c r="F32" s="31">
        <v>2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2</v>
      </c>
      <c r="M32" s="31" t="s">
        <v>1003</v>
      </c>
      <c r="N32" s="31" t="s">
        <v>1003</v>
      </c>
    </row>
    <row r="33" spans="1:14" ht="20.25" customHeight="1" x14ac:dyDescent="0.2">
      <c r="A33" s="349"/>
      <c r="B33" s="233"/>
      <c r="C33" s="69" t="s">
        <v>1007</v>
      </c>
      <c r="D33" s="20">
        <v>27</v>
      </c>
      <c r="E33" s="31">
        <v>7</v>
      </c>
      <c r="F33" s="31">
        <v>4</v>
      </c>
      <c r="G33" s="31">
        <v>0</v>
      </c>
      <c r="H33" s="31">
        <v>3</v>
      </c>
      <c r="I33" s="31">
        <v>0</v>
      </c>
      <c r="J33" s="31">
        <v>0</v>
      </c>
      <c r="K33" s="31">
        <v>0</v>
      </c>
      <c r="L33" s="31">
        <v>0</v>
      </c>
      <c r="M33" s="31" t="s">
        <v>1003</v>
      </c>
      <c r="N33" s="31" t="s">
        <v>1003</v>
      </c>
    </row>
    <row r="34" spans="1:14" ht="20.25" customHeight="1" x14ac:dyDescent="0.2">
      <c r="A34" s="349"/>
      <c r="B34" s="233"/>
      <c r="C34" s="32" t="s">
        <v>1008</v>
      </c>
      <c r="D34" s="20">
        <v>28</v>
      </c>
      <c r="E34" s="31">
        <v>2</v>
      </c>
      <c r="F34" s="31">
        <v>2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1003</v>
      </c>
      <c r="N34" s="31" t="s">
        <v>1003</v>
      </c>
    </row>
    <row r="35" spans="1:14" ht="20.25" customHeight="1" x14ac:dyDescent="0.2">
      <c r="A35" s="349"/>
      <c r="B35" s="217"/>
      <c r="C35" s="69" t="s">
        <v>1009</v>
      </c>
      <c r="D35" s="20">
        <v>29</v>
      </c>
      <c r="E35" s="31">
        <v>3</v>
      </c>
      <c r="F35" s="31">
        <v>1</v>
      </c>
      <c r="G35" s="31">
        <v>0</v>
      </c>
      <c r="H35" s="31">
        <v>2</v>
      </c>
      <c r="I35" s="31">
        <v>0</v>
      </c>
      <c r="J35" s="31">
        <v>0</v>
      </c>
      <c r="K35" s="31">
        <v>0</v>
      </c>
      <c r="L35" s="31">
        <v>1</v>
      </c>
      <c r="M35" s="31" t="s">
        <v>1003</v>
      </c>
      <c r="N35" s="31" t="s">
        <v>1003</v>
      </c>
    </row>
    <row r="36" spans="1:14" ht="20.25" customHeight="1" x14ac:dyDescent="0.2">
      <c r="A36" s="349"/>
      <c r="B36" s="201" t="s">
        <v>1010</v>
      </c>
      <c r="C36" s="203"/>
      <c r="D36" s="20">
        <v>30</v>
      </c>
      <c r="E36" s="31">
        <v>33</v>
      </c>
      <c r="F36" s="31">
        <v>14</v>
      </c>
      <c r="G36" s="31">
        <v>0</v>
      </c>
      <c r="H36" s="31">
        <v>19</v>
      </c>
      <c r="I36" s="31">
        <v>0</v>
      </c>
      <c r="J36" s="31">
        <v>0</v>
      </c>
      <c r="K36" s="31">
        <v>0</v>
      </c>
      <c r="L36" s="31">
        <v>14</v>
      </c>
      <c r="M36" s="31" t="s">
        <v>1003</v>
      </c>
      <c r="N36" s="31" t="s">
        <v>1003</v>
      </c>
    </row>
    <row r="37" spans="1:14" ht="20.25" customHeight="1" x14ac:dyDescent="0.2">
      <c r="A37" s="349"/>
      <c r="B37" s="216" t="s">
        <v>34</v>
      </c>
      <c r="C37" s="69" t="s">
        <v>1011</v>
      </c>
      <c r="D37" s="20">
        <v>31</v>
      </c>
      <c r="E37" s="31">
        <v>1</v>
      </c>
      <c r="F37" s="31">
        <v>1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 t="s">
        <v>1003</v>
      </c>
      <c r="N37" s="31" t="s">
        <v>1003</v>
      </c>
    </row>
    <row r="38" spans="1:14" ht="20.25" customHeight="1" x14ac:dyDescent="0.2">
      <c r="A38" s="349"/>
      <c r="B38" s="217"/>
      <c r="C38" s="69" t="s">
        <v>1012</v>
      </c>
      <c r="D38" s="20">
        <v>32</v>
      </c>
      <c r="E38" s="31">
        <v>9</v>
      </c>
      <c r="F38" s="31">
        <v>8</v>
      </c>
      <c r="G38" s="31">
        <v>0</v>
      </c>
      <c r="H38" s="31">
        <v>1</v>
      </c>
      <c r="I38" s="31">
        <v>0</v>
      </c>
      <c r="J38" s="31">
        <v>0</v>
      </c>
      <c r="K38" s="31">
        <v>0</v>
      </c>
      <c r="L38" s="31">
        <v>3</v>
      </c>
      <c r="M38" s="31" t="s">
        <v>1003</v>
      </c>
      <c r="N38" s="31" t="s">
        <v>1003</v>
      </c>
    </row>
    <row r="39" spans="1:14" ht="20.25" customHeight="1" x14ac:dyDescent="0.2">
      <c r="A39" s="349"/>
      <c r="B39" s="201" t="s">
        <v>1013</v>
      </c>
      <c r="C39" s="203"/>
      <c r="D39" s="20">
        <v>33</v>
      </c>
      <c r="E39" s="31">
        <v>380</v>
      </c>
      <c r="F39" s="31">
        <v>285</v>
      </c>
      <c r="G39" s="31">
        <v>0</v>
      </c>
      <c r="H39" s="31">
        <v>95</v>
      </c>
      <c r="I39" s="31">
        <v>0</v>
      </c>
      <c r="J39" s="31">
        <v>0</v>
      </c>
      <c r="K39" s="31">
        <v>2</v>
      </c>
      <c r="L39" s="31">
        <v>285</v>
      </c>
      <c r="M39" s="31" t="s">
        <v>1003</v>
      </c>
      <c r="N39" s="31" t="s">
        <v>1003</v>
      </c>
    </row>
    <row r="40" spans="1:14" ht="20.25" customHeight="1" x14ac:dyDescent="0.2">
      <c r="A40" s="349"/>
      <c r="B40" s="201" t="s">
        <v>1014</v>
      </c>
      <c r="C40" s="203"/>
      <c r="D40" s="20">
        <v>34</v>
      </c>
      <c r="E40" s="31">
        <v>11991</v>
      </c>
      <c r="F40" s="31">
        <v>4316</v>
      </c>
      <c r="G40" s="31">
        <v>0</v>
      </c>
      <c r="H40" s="31">
        <v>7655</v>
      </c>
      <c r="I40" s="31">
        <v>18</v>
      </c>
      <c r="J40" s="31">
        <v>0</v>
      </c>
      <c r="K40" s="31">
        <v>579</v>
      </c>
      <c r="L40" s="31">
        <v>7328</v>
      </c>
      <c r="M40" s="31" t="s">
        <v>1003</v>
      </c>
      <c r="N40" s="31" t="s">
        <v>1003</v>
      </c>
    </row>
    <row r="41" spans="1:14" ht="20.25" customHeight="1" x14ac:dyDescent="0.2">
      <c r="A41" s="349"/>
      <c r="B41" s="201" t="s">
        <v>1015</v>
      </c>
      <c r="C41" s="203"/>
      <c r="D41" s="20">
        <v>35</v>
      </c>
      <c r="E41" s="31">
        <v>376</v>
      </c>
      <c r="F41" s="31">
        <v>279</v>
      </c>
      <c r="G41" s="31">
        <v>0</v>
      </c>
      <c r="H41" s="31">
        <v>96</v>
      </c>
      <c r="I41" s="31">
        <v>1</v>
      </c>
      <c r="J41" s="31">
        <v>0</v>
      </c>
      <c r="K41" s="31">
        <v>16</v>
      </c>
      <c r="L41" s="31">
        <v>137</v>
      </c>
      <c r="M41" s="31">
        <v>5</v>
      </c>
      <c r="N41" s="31">
        <v>8</v>
      </c>
    </row>
    <row r="42" spans="1:14" ht="20.25" customHeight="1" x14ac:dyDescent="0.2">
      <c r="A42" s="349"/>
      <c r="B42" s="201" t="s">
        <v>1016</v>
      </c>
      <c r="C42" s="203"/>
      <c r="D42" s="20">
        <v>36</v>
      </c>
      <c r="E42" s="31">
        <v>17813</v>
      </c>
      <c r="F42" s="31">
        <v>17704</v>
      </c>
      <c r="G42" s="31">
        <v>0</v>
      </c>
      <c r="H42" s="31">
        <v>95</v>
      </c>
      <c r="I42" s="31">
        <v>14</v>
      </c>
      <c r="J42" s="31">
        <v>0</v>
      </c>
      <c r="K42" s="31">
        <v>4902</v>
      </c>
      <c r="L42" s="31">
        <v>126</v>
      </c>
      <c r="M42" s="31" t="s">
        <v>1017</v>
      </c>
      <c r="N42" s="31" t="s">
        <v>1017</v>
      </c>
    </row>
    <row r="43" spans="1:14" ht="20.25" customHeight="1" x14ac:dyDescent="0.2">
      <c r="A43" s="349"/>
      <c r="B43" s="201" t="s">
        <v>1018</v>
      </c>
      <c r="C43" s="203"/>
      <c r="D43" s="20">
        <v>37</v>
      </c>
      <c r="E43" s="31">
        <v>4823</v>
      </c>
      <c r="F43" s="31">
        <v>753</v>
      </c>
      <c r="G43" s="31">
        <v>0</v>
      </c>
      <c r="H43" s="31">
        <v>4068</v>
      </c>
      <c r="I43" s="31">
        <v>1</v>
      </c>
      <c r="J43" s="31">
        <v>0</v>
      </c>
      <c r="K43" s="31">
        <v>18</v>
      </c>
      <c r="L43" s="31">
        <v>3258</v>
      </c>
      <c r="M43" s="31">
        <v>6</v>
      </c>
      <c r="N43" s="31">
        <v>18</v>
      </c>
    </row>
    <row r="44" spans="1:14" ht="27" customHeight="1" x14ac:dyDescent="0.2">
      <c r="A44" s="349"/>
      <c r="B44" s="138" t="s">
        <v>1019</v>
      </c>
      <c r="C44" s="140"/>
      <c r="D44" s="20">
        <v>38</v>
      </c>
      <c r="E44" s="31">
        <v>430</v>
      </c>
      <c r="F44" s="31">
        <v>397</v>
      </c>
      <c r="G44" s="31">
        <v>1</v>
      </c>
      <c r="H44" s="31">
        <v>29</v>
      </c>
      <c r="I44" s="31">
        <v>3</v>
      </c>
      <c r="J44" s="31">
        <v>0</v>
      </c>
      <c r="K44" s="31">
        <v>59</v>
      </c>
      <c r="L44" s="31">
        <v>72</v>
      </c>
      <c r="M44" s="31">
        <v>0</v>
      </c>
      <c r="N44" s="31">
        <v>0</v>
      </c>
    </row>
    <row r="45" spans="1:14" ht="23.25" customHeight="1" x14ac:dyDescent="0.2">
      <c r="A45" s="349"/>
      <c r="B45" s="216" t="s">
        <v>34</v>
      </c>
      <c r="C45" s="69" t="s">
        <v>1020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1003</v>
      </c>
      <c r="N45" s="31" t="s">
        <v>1003</v>
      </c>
    </row>
    <row r="46" spans="1:14" ht="27" customHeight="1" x14ac:dyDescent="0.2">
      <c r="A46" s="349"/>
      <c r="B46" s="217"/>
      <c r="C46" s="32" t="s">
        <v>1021</v>
      </c>
      <c r="D46" s="20">
        <v>40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9"/>
      <c r="B47" s="201" t="s">
        <v>1022</v>
      </c>
      <c r="C47" s="203"/>
      <c r="D47" s="20">
        <v>41</v>
      </c>
      <c r="E47" s="31">
        <v>302</v>
      </c>
      <c r="F47" s="31">
        <v>210</v>
      </c>
      <c r="G47" s="31">
        <v>0</v>
      </c>
      <c r="H47" s="31">
        <v>92</v>
      </c>
      <c r="I47" s="31">
        <v>0</v>
      </c>
      <c r="J47" s="31">
        <v>0</v>
      </c>
      <c r="K47" s="31">
        <v>1</v>
      </c>
      <c r="L47" s="31">
        <v>108</v>
      </c>
      <c r="M47" s="31" t="s">
        <v>1003</v>
      </c>
      <c r="N47" s="31" t="s">
        <v>1003</v>
      </c>
    </row>
    <row r="48" spans="1:14" ht="24" customHeight="1" x14ac:dyDescent="0.2">
      <c r="A48" s="349"/>
      <c r="B48" s="20" t="s">
        <v>34</v>
      </c>
      <c r="C48" s="69" t="s">
        <v>1023</v>
      </c>
      <c r="D48" s="20">
        <v>42</v>
      </c>
      <c r="E48" s="31">
        <v>33</v>
      </c>
      <c r="F48" s="31">
        <v>22</v>
      </c>
      <c r="G48" s="31">
        <v>0</v>
      </c>
      <c r="H48" s="31">
        <v>11</v>
      </c>
      <c r="I48" s="31">
        <v>0</v>
      </c>
      <c r="J48" s="31">
        <v>0</v>
      </c>
      <c r="K48" s="31">
        <v>0</v>
      </c>
      <c r="L48" s="31">
        <v>15</v>
      </c>
      <c r="M48" s="31" t="s">
        <v>1003</v>
      </c>
      <c r="N48" s="31" t="s">
        <v>1003</v>
      </c>
    </row>
    <row r="49" spans="1:14" ht="24" customHeight="1" x14ac:dyDescent="0.2">
      <c r="A49" s="349"/>
      <c r="B49" s="201" t="s">
        <v>1024</v>
      </c>
      <c r="C49" s="203"/>
      <c r="D49" s="20">
        <v>43</v>
      </c>
      <c r="E49" s="31">
        <v>544</v>
      </c>
      <c r="F49" s="31">
        <v>396</v>
      </c>
      <c r="G49" s="31">
        <v>0</v>
      </c>
      <c r="H49" s="31">
        <v>148</v>
      </c>
      <c r="I49" s="31">
        <v>0</v>
      </c>
      <c r="J49" s="31">
        <v>0</v>
      </c>
      <c r="K49" s="31">
        <v>0</v>
      </c>
      <c r="L49" s="31">
        <v>482</v>
      </c>
      <c r="M49" s="31" t="s">
        <v>1003</v>
      </c>
      <c r="N49" s="31" t="s">
        <v>1003</v>
      </c>
    </row>
    <row r="50" spans="1:14" ht="24" customHeight="1" x14ac:dyDescent="0.2">
      <c r="A50" s="349"/>
      <c r="B50" s="20" t="s">
        <v>34</v>
      </c>
      <c r="C50" s="69" t="s">
        <v>1025</v>
      </c>
      <c r="D50" s="20">
        <v>44</v>
      </c>
      <c r="E50" s="31">
        <v>43</v>
      </c>
      <c r="F50" s="31">
        <v>33</v>
      </c>
      <c r="G50" s="31">
        <v>0</v>
      </c>
      <c r="H50" s="31">
        <v>10</v>
      </c>
      <c r="I50" s="31">
        <v>0</v>
      </c>
      <c r="J50" s="31">
        <v>0</v>
      </c>
      <c r="K50" s="31">
        <v>0</v>
      </c>
      <c r="L50" s="31">
        <v>35</v>
      </c>
      <c r="M50" s="31" t="s">
        <v>1003</v>
      </c>
      <c r="N50" s="31" t="s">
        <v>1003</v>
      </c>
    </row>
    <row r="51" spans="1:14" ht="21.75" customHeight="1" x14ac:dyDescent="0.2">
      <c r="A51" s="349"/>
      <c r="B51" s="348" t="s">
        <v>1026</v>
      </c>
      <c r="C51" s="32" t="s">
        <v>1027</v>
      </c>
      <c r="D51" s="20">
        <v>45</v>
      </c>
      <c r="E51" s="31">
        <v>26</v>
      </c>
      <c r="F51" s="31">
        <v>19</v>
      </c>
      <c r="G51" s="31">
        <v>0</v>
      </c>
      <c r="H51" s="31">
        <v>7</v>
      </c>
      <c r="I51" s="31">
        <v>0</v>
      </c>
      <c r="J51" s="31">
        <v>0</v>
      </c>
      <c r="K51" s="31">
        <v>0</v>
      </c>
      <c r="L51" s="31">
        <v>8</v>
      </c>
      <c r="M51" s="31" t="s">
        <v>1003</v>
      </c>
      <c r="N51" s="31" t="s">
        <v>1003</v>
      </c>
    </row>
    <row r="52" spans="1:14" ht="21.75" customHeight="1" x14ac:dyDescent="0.2">
      <c r="A52" s="349"/>
      <c r="B52" s="349"/>
      <c r="C52" s="32" t="s">
        <v>1028</v>
      </c>
      <c r="D52" s="20">
        <v>46</v>
      </c>
      <c r="E52" s="31">
        <v>26</v>
      </c>
      <c r="F52" s="31">
        <v>19</v>
      </c>
      <c r="G52" s="31">
        <v>0</v>
      </c>
      <c r="H52" s="31">
        <v>7</v>
      </c>
      <c r="I52" s="31">
        <v>0</v>
      </c>
      <c r="J52" s="31">
        <v>0</v>
      </c>
      <c r="K52" s="31">
        <v>0</v>
      </c>
      <c r="L52" s="31">
        <v>8</v>
      </c>
      <c r="M52" s="31" t="s">
        <v>1017</v>
      </c>
      <c r="N52" s="31" t="s">
        <v>1017</v>
      </c>
    </row>
    <row r="53" spans="1:14" ht="21.75" customHeight="1" x14ac:dyDescent="0.2">
      <c r="A53" s="349"/>
      <c r="B53" s="349"/>
      <c r="C53" s="32" t="s">
        <v>1029</v>
      </c>
      <c r="D53" s="20">
        <v>47</v>
      </c>
      <c r="E53" s="31">
        <v>10</v>
      </c>
      <c r="F53" s="31">
        <v>8</v>
      </c>
      <c r="G53" s="31">
        <v>0</v>
      </c>
      <c r="H53" s="31">
        <v>2</v>
      </c>
      <c r="I53" s="31">
        <v>0</v>
      </c>
      <c r="J53" s="31">
        <v>0</v>
      </c>
      <c r="K53" s="31">
        <v>0</v>
      </c>
      <c r="L53" s="31">
        <v>3</v>
      </c>
      <c r="M53" s="31" t="s">
        <v>1003</v>
      </c>
      <c r="N53" s="31" t="s">
        <v>1003</v>
      </c>
    </row>
    <row r="54" spans="1:14" ht="21.75" customHeight="1" x14ac:dyDescent="0.2">
      <c r="A54" s="349"/>
      <c r="B54" s="349"/>
      <c r="C54" s="32" t="s">
        <v>1028</v>
      </c>
      <c r="D54" s="20">
        <v>48</v>
      </c>
      <c r="E54" s="31">
        <v>10</v>
      </c>
      <c r="F54" s="31">
        <v>8</v>
      </c>
      <c r="G54" s="31">
        <v>0</v>
      </c>
      <c r="H54" s="31">
        <v>2</v>
      </c>
      <c r="I54" s="31">
        <v>0</v>
      </c>
      <c r="J54" s="31">
        <v>0</v>
      </c>
      <c r="K54" s="31">
        <v>0</v>
      </c>
      <c r="L54" s="31">
        <v>3</v>
      </c>
      <c r="M54" s="31" t="s">
        <v>1017</v>
      </c>
      <c r="N54" s="31" t="s">
        <v>1017</v>
      </c>
    </row>
    <row r="55" spans="1:14" ht="29.25" customHeight="1" x14ac:dyDescent="0.2">
      <c r="A55" s="349"/>
      <c r="B55" s="350"/>
      <c r="C55" s="32" t="s">
        <v>1030</v>
      </c>
      <c r="D55" s="20">
        <v>49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 t="s">
        <v>1003</v>
      </c>
      <c r="N55" s="31" t="s">
        <v>1003</v>
      </c>
    </row>
    <row r="56" spans="1:14" ht="21.75" customHeight="1" x14ac:dyDescent="0.2">
      <c r="A56" s="349"/>
      <c r="B56" s="187" t="s">
        <v>1026</v>
      </c>
      <c r="C56" s="69" t="s">
        <v>1031</v>
      </c>
      <c r="D56" s="20">
        <v>50</v>
      </c>
      <c r="E56" s="31">
        <v>30</v>
      </c>
      <c r="F56" s="31">
        <v>13</v>
      </c>
      <c r="G56" s="31">
        <v>0</v>
      </c>
      <c r="H56" s="31">
        <v>17</v>
      </c>
      <c r="I56" s="31">
        <v>0</v>
      </c>
      <c r="J56" s="31">
        <v>0</v>
      </c>
      <c r="K56" s="31">
        <v>0</v>
      </c>
      <c r="L56" s="31">
        <v>13</v>
      </c>
      <c r="M56" s="31" t="s">
        <v>1003</v>
      </c>
      <c r="N56" s="31" t="s">
        <v>1003</v>
      </c>
    </row>
    <row r="57" spans="1:14" ht="21.75" customHeight="1" x14ac:dyDescent="0.2">
      <c r="A57" s="349"/>
      <c r="B57" s="188"/>
      <c r="C57" s="69" t="s">
        <v>1032</v>
      </c>
      <c r="D57" s="20">
        <v>51</v>
      </c>
      <c r="E57" s="31">
        <v>2416</v>
      </c>
      <c r="F57" s="31">
        <v>2176</v>
      </c>
      <c r="G57" s="31">
        <v>0</v>
      </c>
      <c r="H57" s="31">
        <v>234</v>
      </c>
      <c r="I57" s="31">
        <v>6</v>
      </c>
      <c r="J57" s="31">
        <v>0</v>
      </c>
      <c r="K57" s="31">
        <v>93</v>
      </c>
      <c r="L57" s="31">
        <v>117</v>
      </c>
      <c r="M57" s="31" t="s">
        <v>1003</v>
      </c>
      <c r="N57" s="31" t="s">
        <v>1003</v>
      </c>
    </row>
    <row r="58" spans="1:14" ht="21.75" customHeight="1" x14ac:dyDescent="0.2">
      <c r="A58" s="349"/>
      <c r="B58" s="188"/>
      <c r="C58" s="69" t="s">
        <v>1033</v>
      </c>
      <c r="D58" s="20">
        <v>52</v>
      </c>
      <c r="E58" s="31">
        <v>34</v>
      </c>
      <c r="F58" s="31">
        <v>28</v>
      </c>
      <c r="G58" s="31">
        <v>0</v>
      </c>
      <c r="H58" s="31">
        <v>6</v>
      </c>
      <c r="I58" s="31">
        <v>0</v>
      </c>
      <c r="J58" s="31">
        <v>0</v>
      </c>
      <c r="K58" s="31">
        <v>1</v>
      </c>
      <c r="L58" s="31">
        <v>19</v>
      </c>
      <c r="M58" s="31" t="s">
        <v>1003</v>
      </c>
      <c r="N58" s="31" t="s">
        <v>1003</v>
      </c>
    </row>
    <row r="59" spans="1:14" ht="21.75" customHeight="1" x14ac:dyDescent="0.2">
      <c r="A59" s="349"/>
      <c r="B59" s="188"/>
      <c r="C59" s="69" t="s">
        <v>1034</v>
      </c>
      <c r="D59" s="20">
        <v>53</v>
      </c>
      <c r="E59" s="31">
        <v>49</v>
      </c>
      <c r="F59" s="31">
        <v>36</v>
      </c>
      <c r="G59" s="31">
        <v>0</v>
      </c>
      <c r="H59" s="31">
        <v>13</v>
      </c>
      <c r="I59" s="31">
        <v>0</v>
      </c>
      <c r="J59" s="31">
        <v>0</v>
      </c>
      <c r="K59" s="31">
        <v>0</v>
      </c>
      <c r="L59" s="31">
        <v>17</v>
      </c>
      <c r="M59" s="31" t="s">
        <v>1003</v>
      </c>
      <c r="N59" s="31" t="s">
        <v>1003</v>
      </c>
    </row>
    <row r="60" spans="1:14" ht="21.75" customHeight="1" x14ac:dyDescent="0.2">
      <c r="A60" s="349"/>
      <c r="B60" s="188"/>
      <c r="C60" s="69" t="s">
        <v>90</v>
      </c>
      <c r="D60" s="20">
        <v>54</v>
      </c>
      <c r="E60" s="31">
        <v>22</v>
      </c>
      <c r="F60" s="31">
        <v>9</v>
      </c>
      <c r="G60" s="31">
        <v>0</v>
      </c>
      <c r="H60" s="31">
        <v>10</v>
      </c>
      <c r="I60" s="31">
        <v>3</v>
      </c>
      <c r="J60" s="31">
        <v>0</v>
      </c>
      <c r="K60" s="31">
        <v>3</v>
      </c>
      <c r="L60" s="31">
        <v>1</v>
      </c>
      <c r="M60" s="31" t="s">
        <v>1003</v>
      </c>
      <c r="N60" s="31" t="s">
        <v>1003</v>
      </c>
    </row>
    <row r="61" spans="1:14" ht="29.25" customHeight="1" x14ac:dyDescent="0.2">
      <c r="A61" s="349"/>
      <c r="B61" s="188"/>
      <c r="C61" s="32" t="s">
        <v>972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1003</v>
      </c>
      <c r="N61" s="31" t="s">
        <v>1003</v>
      </c>
    </row>
    <row r="62" spans="1:14" ht="25.5" customHeight="1" x14ac:dyDescent="0.2">
      <c r="A62" s="349"/>
      <c r="B62" s="188"/>
      <c r="C62" s="69" t="s">
        <v>1035</v>
      </c>
      <c r="D62" s="20">
        <v>56</v>
      </c>
      <c r="E62" s="31">
        <v>5</v>
      </c>
      <c r="F62" s="31">
        <v>3</v>
      </c>
      <c r="G62" s="31">
        <v>0</v>
      </c>
      <c r="H62" s="31">
        <v>2</v>
      </c>
      <c r="I62" s="31">
        <v>0</v>
      </c>
      <c r="J62" s="31">
        <v>0</v>
      </c>
      <c r="K62" s="31">
        <v>0</v>
      </c>
      <c r="L62" s="31">
        <v>3</v>
      </c>
      <c r="M62" s="31" t="s">
        <v>1003</v>
      </c>
      <c r="N62" s="31" t="s">
        <v>1003</v>
      </c>
    </row>
    <row r="63" spans="1:14" ht="25.5" customHeight="1" x14ac:dyDescent="0.2">
      <c r="A63" s="349"/>
      <c r="B63" s="188"/>
      <c r="C63" s="69" t="s">
        <v>1036</v>
      </c>
      <c r="D63" s="20">
        <v>57</v>
      </c>
      <c r="E63" s="31">
        <v>120</v>
      </c>
      <c r="F63" s="31">
        <v>112</v>
      </c>
      <c r="G63" s="31">
        <v>0</v>
      </c>
      <c r="H63" s="31">
        <v>6</v>
      </c>
      <c r="I63" s="31">
        <v>2</v>
      </c>
      <c r="J63" s="31">
        <v>0</v>
      </c>
      <c r="K63" s="31">
        <v>24</v>
      </c>
      <c r="L63" s="31">
        <v>4</v>
      </c>
      <c r="M63" s="31" t="s">
        <v>1003</v>
      </c>
      <c r="N63" s="31" t="s">
        <v>1003</v>
      </c>
    </row>
    <row r="64" spans="1:14" ht="25.5" customHeight="1" x14ac:dyDescent="0.2">
      <c r="A64" s="349"/>
      <c r="B64" s="188"/>
      <c r="C64" s="69" t="s">
        <v>974</v>
      </c>
      <c r="D64" s="20">
        <v>58</v>
      </c>
      <c r="E64" s="31">
        <v>2</v>
      </c>
      <c r="F64" s="31">
        <v>1</v>
      </c>
      <c r="G64" s="31">
        <v>0</v>
      </c>
      <c r="H64" s="31">
        <v>0</v>
      </c>
      <c r="I64" s="31">
        <v>1</v>
      </c>
      <c r="J64" s="31">
        <v>0</v>
      </c>
      <c r="K64" s="31">
        <v>0</v>
      </c>
      <c r="L64" s="31">
        <v>0</v>
      </c>
      <c r="M64" s="31" t="s">
        <v>1017</v>
      </c>
      <c r="N64" s="31" t="s">
        <v>1017</v>
      </c>
    </row>
    <row r="65" spans="1:14" ht="25.5" customHeight="1" x14ac:dyDescent="0.2">
      <c r="A65" s="349"/>
      <c r="B65" s="189"/>
      <c r="C65" s="69" t="s">
        <v>975</v>
      </c>
      <c r="D65" s="20">
        <v>59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1017</v>
      </c>
      <c r="N65" s="31" t="s">
        <v>1017</v>
      </c>
    </row>
    <row r="66" spans="1:14" ht="25.5" customHeight="1" x14ac:dyDescent="0.2">
      <c r="A66" s="349"/>
      <c r="B66" s="201" t="s">
        <v>1037</v>
      </c>
      <c r="C66" s="203"/>
      <c r="D66" s="20">
        <v>60</v>
      </c>
      <c r="E66" s="31">
        <v>22164</v>
      </c>
      <c r="F66" s="31">
        <v>21837</v>
      </c>
      <c r="G66" s="31">
        <v>0</v>
      </c>
      <c r="H66" s="31">
        <v>269</v>
      </c>
      <c r="I66" s="31">
        <v>58</v>
      </c>
      <c r="J66" s="31">
        <v>0</v>
      </c>
      <c r="K66" s="31">
        <v>5491</v>
      </c>
      <c r="L66" s="31">
        <v>221</v>
      </c>
      <c r="M66" s="31" t="s">
        <v>1003</v>
      </c>
      <c r="N66" s="31" t="s">
        <v>1003</v>
      </c>
    </row>
    <row r="67" spans="1:14" ht="25.5" customHeight="1" x14ac:dyDescent="0.2">
      <c r="A67" s="349"/>
      <c r="B67" s="345" t="s">
        <v>1038</v>
      </c>
      <c r="C67" s="51" t="s">
        <v>1039</v>
      </c>
      <c r="D67" s="20">
        <v>61</v>
      </c>
      <c r="E67" s="31">
        <v>2723</v>
      </c>
      <c r="F67" s="31">
        <v>2562</v>
      </c>
      <c r="G67" s="31">
        <v>0</v>
      </c>
      <c r="H67" s="31">
        <v>146</v>
      </c>
      <c r="I67" s="31">
        <v>15</v>
      </c>
      <c r="J67" s="31">
        <v>0</v>
      </c>
      <c r="K67" s="31">
        <v>118</v>
      </c>
      <c r="L67" s="31">
        <v>1237</v>
      </c>
      <c r="M67" s="31">
        <v>1276</v>
      </c>
      <c r="N67" s="31">
        <v>1395</v>
      </c>
    </row>
    <row r="68" spans="1:14" ht="25.5" customHeight="1" x14ac:dyDescent="0.2">
      <c r="A68" s="349"/>
      <c r="B68" s="346"/>
      <c r="C68" s="51" t="s">
        <v>1040</v>
      </c>
      <c r="D68" s="20">
        <v>62</v>
      </c>
      <c r="E68" s="31">
        <v>283</v>
      </c>
      <c r="F68" s="31">
        <v>257</v>
      </c>
      <c r="G68" s="31">
        <v>0</v>
      </c>
      <c r="H68" s="31">
        <v>24</v>
      </c>
      <c r="I68" s="31">
        <v>2</v>
      </c>
      <c r="J68" s="31">
        <v>0</v>
      </c>
      <c r="K68" s="31">
        <v>8</v>
      </c>
      <c r="L68" s="31">
        <v>108</v>
      </c>
      <c r="M68" s="31">
        <v>196</v>
      </c>
      <c r="N68" s="31">
        <v>8</v>
      </c>
    </row>
    <row r="69" spans="1:14" ht="25.5" customHeight="1" x14ac:dyDescent="0.2">
      <c r="A69" s="349"/>
      <c r="B69" s="346"/>
      <c r="C69" s="51" t="s">
        <v>1041</v>
      </c>
      <c r="D69" s="20">
        <v>63</v>
      </c>
      <c r="E69" s="31">
        <v>130</v>
      </c>
      <c r="F69" s="31">
        <v>125</v>
      </c>
      <c r="G69" s="31">
        <v>0</v>
      </c>
      <c r="H69" s="31">
        <v>4</v>
      </c>
      <c r="I69" s="31">
        <v>1</v>
      </c>
      <c r="J69" s="31">
        <v>0</v>
      </c>
      <c r="K69" s="31">
        <v>2</v>
      </c>
      <c r="L69" s="31">
        <v>43</v>
      </c>
      <c r="M69" s="31">
        <v>65</v>
      </c>
      <c r="N69" s="31">
        <v>0</v>
      </c>
    </row>
    <row r="70" spans="1:14" ht="25.5" customHeight="1" x14ac:dyDescent="0.2">
      <c r="A70" s="349"/>
      <c r="B70" s="347"/>
      <c r="C70" s="51" t="s">
        <v>1042</v>
      </c>
      <c r="D70" s="20">
        <v>64</v>
      </c>
      <c r="E70" s="31">
        <v>569</v>
      </c>
      <c r="F70" s="31">
        <v>524</v>
      </c>
      <c r="G70" s="31">
        <v>0</v>
      </c>
      <c r="H70" s="31">
        <v>43</v>
      </c>
      <c r="I70" s="31">
        <v>2</v>
      </c>
      <c r="J70" s="31">
        <v>0</v>
      </c>
      <c r="K70" s="31">
        <v>15</v>
      </c>
      <c r="L70" s="31">
        <v>287</v>
      </c>
      <c r="M70" s="31">
        <v>71</v>
      </c>
      <c r="N70" s="31">
        <v>2</v>
      </c>
    </row>
    <row r="71" spans="1:14" ht="25.5" customHeight="1" x14ac:dyDescent="0.2">
      <c r="A71" s="350"/>
      <c r="B71" s="313" t="s">
        <v>1043</v>
      </c>
      <c r="C71" s="315"/>
      <c r="D71" s="20">
        <v>65</v>
      </c>
      <c r="E71" s="31">
        <v>10777</v>
      </c>
      <c r="F71" s="31">
        <v>7923</v>
      </c>
      <c r="G71" s="31">
        <v>17</v>
      </c>
      <c r="H71" s="31">
        <v>2771</v>
      </c>
      <c r="I71" s="31">
        <v>64</v>
      </c>
      <c r="J71" s="31">
        <v>0</v>
      </c>
      <c r="K71" s="31" t="s">
        <v>1003</v>
      </c>
      <c r="L71" s="31" t="s">
        <v>1003</v>
      </c>
      <c r="M71" s="31" t="s">
        <v>1003</v>
      </c>
      <c r="N71" s="31" t="s">
        <v>1003</v>
      </c>
    </row>
    <row r="72" spans="1:14" ht="27" customHeight="1" x14ac:dyDescent="0.2">
      <c r="A72" s="319" t="s">
        <v>115</v>
      </c>
      <c r="B72" s="320"/>
      <c r="C72" s="321"/>
      <c r="D72" s="20">
        <v>66</v>
      </c>
      <c r="E72" s="31">
        <f t="shared" ref="E72:N72" si="0">SUM(E7:E71)</f>
        <v>390602</v>
      </c>
      <c r="F72" s="31">
        <f t="shared" si="0"/>
        <v>271554</v>
      </c>
      <c r="G72" s="31">
        <f t="shared" si="0"/>
        <v>55</v>
      </c>
      <c r="H72" s="31">
        <f t="shared" si="0"/>
        <v>118035</v>
      </c>
      <c r="I72" s="31">
        <f t="shared" si="0"/>
        <v>918</v>
      </c>
      <c r="J72" s="31">
        <f t="shared" si="0"/>
        <v>2</v>
      </c>
      <c r="K72" s="31">
        <f t="shared" si="0"/>
        <v>43908</v>
      </c>
      <c r="L72" s="31">
        <f t="shared" si="0"/>
        <v>129863</v>
      </c>
      <c r="M72" s="31">
        <f t="shared" si="0"/>
        <v>5119</v>
      </c>
      <c r="N72" s="31">
        <f t="shared" si="0"/>
        <v>5094</v>
      </c>
    </row>
    <row r="74" spans="1:14" ht="18.75" customHeight="1" x14ac:dyDescent="0.2">
      <c r="A74" s="359" t="s">
        <v>967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85"/>
    </row>
    <row r="75" spans="1:14" ht="15.75" customHeight="1" x14ac:dyDescent="0.25">
      <c r="A75" s="355" t="s">
        <v>1044</v>
      </c>
      <c r="B75" s="355"/>
      <c r="C75" s="355"/>
      <c r="D75" s="355"/>
      <c r="E75" s="355"/>
      <c r="F75" s="355"/>
      <c r="G75" s="355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8"/>
      <c r="B76" s="179"/>
      <c r="C76" s="180"/>
      <c r="D76" s="348" t="s">
        <v>15</v>
      </c>
      <c r="E76" s="216" t="s">
        <v>1045</v>
      </c>
      <c r="F76" s="356" t="s">
        <v>969</v>
      </c>
      <c r="G76" s="356"/>
      <c r="H76" s="356"/>
      <c r="I76" s="356"/>
      <c r="J76" s="357"/>
      <c r="K76" s="358" t="s">
        <v>970</v>
      </c>
      <c r="L76" s="356"/>
      <c r="M76" s="356"/>
      <c r="N76" s="357"/>
    </row>
    <row r="77" spans="1:14" ht="29.25" customHeight="1" x14ac:dyDescent="0.2">
      <c r="A77" s="181"/>
      <c r="B77" s="182"/>
      <c r="C77" s="183"/>
      <c r="D77" s="349"/>
      <c r="E77" s="233"/>
      <c r="F77" s="216" t="s">
        <v>971</v>
      </c>
      <c r="G77" s="216" t="s">
        <v>972</v>
      </c>
      <c r="H77" s="216" t="s">
        <v>973</v>
      </c>
      <c r="I77" s="216" t="s">
        <v>974</v>
      </c>
      <c r="J77" s="216" t="s">
        <v>975</v>
      </c>
      <c r="K77" s="216" t="s">
        <v>976</v>
      </c>
      <c r="L77" s="216" t="s">
        <v>977</v>
      </c>
      <c r="M77" s="150" t="s">
        <v>978</v>
      </c>
      <c r="N77" s="152"/>
    </row>
    <row r="78" spans="1:14" ht="15.75" customHeight="1" x14ac:dyDescent="0.2">
      <c r="A78" s="184"/>
      <c r="B78" s="185"/>
      <c r="C78" s="186"/>
      <c r="D78" s="350"/>
      <c r="E78" s="217"/>
      <c r="F78" s="217"/>
      <c r="G78" s="217"/>
      <c r="H78" s="217"/>
      <c r="I78" s="217"/>
      <c r="J78" s="217"/>
      <c r="K78" s="217"/>
      <c r="L78" s="217"/>
      <c r="M78" s="49" t="s">
        <v>585</v>
      </c>
      <c r="N78" s="49" t="s">
        <v>979</v>
      </c>
    </row>
    <row r="79" spans="1:14" ht="15.75" customHeight="1" x14ac:dyDescent="0.2">
      <c r="A79" s="351" t="s">
        <v>41</v>
      </c>
      <c r="B79" s="352"/>
      <c r="C79" s="353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01" t="s">
        <v>1046</v>
      </c>
      <c r="B80" s="202"/>
      <c r="C80" s="203"/>
      <c r="D80" s="20">
        <v>1</v>
      </c>
      <c r="E80" s="31">
        <v>104561</v>
      </c>
      <c r="F80" s="31">
        <v>71464</v>
      </c>
      <c r="G80" s="31">
        <v>21</v>
      </c>
      <c r="H80" s="31">
        <v>32724</v>
      </c>
      <c r="I80" s="31">
        <v>340</v>
      </c>
      <c r="J80" s="31">
        <v>1</v>
      </c>
      <c r="K80" s="31">
        <v>9736</v>
      </c>
      <c r="L80" s="31">
        <v>34756</v>
      </c>
      <c r="M80" s="31">
        <v>1141</v>
      </c>
      <c r="N80" s="31">
        <v>1111</v>
      </c>
    </row>
    <row r="81" spans="1:14" ht="20.25" customHeight="1" x14ac:dyDescent="0.2">
      <c r="A81" s="20" t="s">
        <v>32</v>
      </c>
      <c r="B81" s="201" t="s">
        <v>981</v>
      </c>
      <c r="C81" s="203"/>
      <c r="D81" s="20">
        <v>2</v>
      </c>
      <c r="E81" s="31">
        <v>91292</v>
      </c>
      <c r="F81" s="31">
        <v>58354</v>
      </c>
      <c r="G81" s="31">
        <v>16</v>
      </c>
      <c r="H81" s="31">
        <v>32705</v>
      </c>
      <c r="I81" s="31">
        <v>208</v>
      </c>
      <c r="J81" s="31">
        <v>1</v>
      </c>
      <c r="K81" s="31">
        <v>9593</v>
      </c>
      <c r="L81" s="31">
        <v>29928</v>
      </c>
      <c r="M81" s="31">
        <v>701</v>
      </c>
      <c r="N81" s="31">
        <v>795</v>
      </c>
    </row>
    <row r="82" spans="1:14" ht="20.25" customHeight="1" x14ac:dyDescent="0.2">
      <c r="A82" s="348" t="s">
        <v>982</v>
      </c>
      <c r="B82" s="201" t="s">
        <v>1047</v>
      </c>
      <c r="C82" s="203"/>
      <c r="D82" s="20">
        <v>3</v>
      </c>
      <c r="E82" s="31">
        <v>10597</v>
      </c>
      <c r="F82" s="31">
        <v>10580</v>
      </c>
      <c r="G82" s="31">
        <v>0</v>
      </c>
      <c r="H82" s="31">
        <v>1</v>
      </c>
      <c r="I82" s="31">
        <v>16</v>
      </c>
      <c r="J82" s="31">
        <v>0</v>
      </c>
      <c r="K82" s="31">
        <v>6398</v>
      </c>
      <c r="L82" s="31">
        <v>208</v>
      </c>
      <c r="M82" s="31">
        <v>3</v>
      </c>
      <c r="N82" s="31">
        <v>13</v>
      </c>
    </row>
    <row r="83" spans="1:14" ht="20.25" customHeight="1" x14ac:dyDescent="0.2">
      <c r="A83" s="349"/>
      <c r="B83" s="20" t="s">
        <v>32</v>
      </c>
      <c r="C83" s="69" t="s">
        <v>184</v>
      </c>
      <c r="D83" s="20">
        <v>4</v>
      </c>
      <c r="E83" s="31">
        <v>3688</v>
      </c>
      <c r="F83" s="31">
        <v>3688</v>
      </c>
      <c r="G83" s="31">
        <v>0</v>
      </c>
      <c r="H83" s="31">
        <v>0</v>
      </c>
      <c r="I83" s="31">
        <v>0</v>
      </c>
      <c r="J83" s="31">
        <v>0</v>
      </c>
      <c r="K83" s="31">
        <v>3660</v>
      </c>
      <c r="L83" s="31">
        <v>24</v>
      </c>
      <c r="M83" s="31">
        <v>0</v>
      </c>
      <c r="N83" s="31">
        <v>2</v>
      </c>
    </row>
    <row r="84" spans="1:14" ht="20.25" customHeight="1" x14ac:dyDescent="0.2">
      <c r="A84" s="349"/>
      <c r="B84" s="201" t="s">
        <v>1048</v>
      </c>
      <c r="C84" s="203"/>
      <c r="D84" s="20">
        <v>5</v>
      </c>
      <c r="E84" s="31">
        <v>218</v>
      </c>
      <c r="F84" s="31">
        <v>217</v>
      </c>
      <c r="G84" s="31">
        <v>0</v>
      </c>
      <c r="H84" s="31">
        <v>0</v>
      </c>
      <c r="I84" s="31">
        <v>1</v>
      </c>
      <c r="J84" s="31">
        <v>0</v>
      </c>
      <c r="K84" s="31">
        <v>2</v>
      </c>
      <c r="L84" s="31">
        <v>175</v>
      </c>
      <c r="M84" s="31">
        <v>60</v>
      </c>
      <c r="N84" s="31">
        <v>114</v>
      </c>
    </row>
    <row r="85" spans="1:14" ht="20.25" customHeight="1" x14ac:dyDescent="0.2">
      <c r="A85" s="349"/>
      <c r="B85" s="201" t="s">
        <v>66</v>
      </c>
      <c r="C85" s="203"/>
      <c r="D85" s="20">
        <v>6</v>
      </c>
      <c r="E85" s="31">
        <v>564</v>
      </c>
      <c r="F85" s="31">
        <v>560</v>
      </c>
      <c r="G85" s="31">
        <v>0</v>
      </c>
      <c r="H85" s="31">
        <v>1</v>
      </c>
      <c r="I85" s="31">
        <v>3</v>
      </c>
      <c r="J85" s="31">
        <v>0</v>
      </c>
      <c r="K85" s="31">
        <v>164</v>
      </c>
      <c r="L85" s="31">
        <v>103</v>
      </c>
      <c r="M85" s="31">
        <v>10</v>
      </c>
      <c r="N85" s="31">
        <v>2</v>
      </c>
    </row>
    <row r="86" spans="1:14" ht="20.25" customHeight="1" x14ac:dyDescent="0.2">
      <c r="A86" s="349"/>
      <c r="B86" s="20" t="s">
        <v>34</v>
      </c>
      <c r="C86" s="69" t="s">
        <v>798</v>
      </c>
      <c r="D86" s="20">
        <v>7</v>
      </c>
      <c r="E86" s="31">
        <v>167</v>
      </c>
      <c r="F86" s="31">
        <v>167</v>
      </c>
      <c r="G86" s="31">
        <v>0</v>
      </c>
      <c r="H86" s="31">
        <v>0</v>
      </c>
      <c r="I86" s="31">
        <v>0</v>
      </c>
      <c r="J86" s="31">
        <v>0</v>
      </c>
      <c r="K86" s="31">
        <v>164</v>
      </c>
      <c r="L86" s="31">
        <v>49</v>
      </c>
      <c r="M86" s="31">
        <v>0</v>
      </c>
      <c r="N86" s="31">
        <v>1</v>
      </c>
    </row>
    <row r="87" spans="1:14" ht="20.25" customHeight="1" x14ac:dyDescent="0.2">
      <c r="A87" s="349"/>
      <c r="B87" s="201" t="s">
        <v>67</v>
      </c>
      <c r="C87" s="203"/>
      <c r="D87" s="20">
        <v>8</v>
      </c>
      <c r="E87" s="31">
        <v>136</v>
      </c>
      <c r="F87" s="31">
        <v>134</v>
      </c>
      <c r="G87" s="31">
        <v>0</v>
      </c>
      <c r="H87" s="31">
        <v>0</v>
      </c>
      <c r="I87" s="31">
        <v>2</v>
      </c>
      <c r="J87" s="31">
        <v>0</v>
      </c>
      <c r="K87" s="31">
        <v>5</v>
      </c>
      <c r="L87" s="31">
        <v>58</v>
      </c>
      <c r="M87" s="31">
        <v>5</v>
      </c>
      <c r="N87" s="31">
        <v>2</v>
      </c>
    </row>
    <row r="88" spans="1:14" ht="20.25" customHeight="1" x14ac:dyDescent="0.2">
      <c r="A88" s="349"/>
      <c r="B88" s="201" t="s">
        <v>1049</v>
      </c>
      <c r="C88" s="203"/>
      <c r="D88" s="20">
        <v>9</v>
      </c>
      <c r="E88" s="31">
        <v>574</v>
      </c>
      <c r="F88" s="31">
        <v>571</v>
      </c>
      <c r="G88" s="31">
        <v>0</v>
      </c>
      <c r="H88" s="31">
        <v>0</v>
      </c>
      <c r="I88" s="31">
        <v>3</v>
      </c>
      <c r="J88" s="31">
        <v>0</v>
      </c>
      <c r="K88" s="31">
        <v>0</v>
      </c>
      <c r="L88" s="31">
        <v>195</v>
      </c>
      <c r="M88" s="31">
        <v>15</v>
      </c>
      <c r="N88" s="31">
        <v>13</v>
      </c>
    </row>
    <row r="89" spans="1:14" ht="20.25" customHeight="1" x14ac:dyDescent="0.2">
      <c r="A89" s="349"/>
      <c r="B89" s="201" t="s">
        <v>1050</v>
      </c>
      <c r="C89" s="203"/>
      <c r="D89" s="20">
        <v>10</v>
      </c>
      <c r="E89" s="31">
        <v>12038</v>
      </c>
      <c r="F89" s="31">
        <v>12031</v>
      </c>
      <c r="G89" s="31">
        <v>0</v>
      </c>
      <c r="H89" s="31">
        <v>0</v>
      </c>
      <c r="I89" s="31">
        <v>7</v>
      </c>
      <c r="J89" s="31">
        <v>0</v>
      </c>
      <c r="K89" s="31">
        <v>3</v>
      </c>
      <c r="L89" s="31">
        <v>5637</v>
      </c>
      <c r="M89" s="31">
        <v>33</v>
      </c>
      <c r="N89" s="31">
        <v>10</v>
      </c>
    </row>
    <row r="90" spans="1:14" ht="20.25" customHeight="1" x14ac:dyDescent="0.2">
      <c r="A90" s="349"/>
      <c r="B90" s="201" t="s">
        <v>1051</v>
      </c>
      <c r="C90" s="203"/>
      <c r="D90" s="20">
        <v>11</v>
      </c>
      <c r="E90" s="31">
        <v>13577</v>
      </c>
      <c r="F90" s="31">
        <v>13561</v>
      </c>
      <c r="G90" s="31">
        <v>0</v>
      </c>
      <c r="H90" s="31">
        <v>0</v>
      </c>
      <c r="I90" s="31">
        <v>9</v>
      </c>
      <c r="J90" s="31">
        <v>0</v>
      </c>
      <c r="K90" s="31">
        <v>9</v>
      </c>
      <c r="L90" s="31">
        <v>5004</v>
      </c>
      <c r="M90" s="31">
        <v>65</v>
      </c>
      <c r="N90" s="31">
        <v>53</v>
      </c>
    </row>
    <row r="91" spans="1:14" ht="20.25" customHeight="1" x14ac:dyDescent="0.2">
      <c r="A91" s="349"/>
      <c r="B91" s="138" t="s">
        <v>986</v>
      </c>
      <c r="C91" s="140"/>
      <c r="D91" s="20">
        <v>12</v>
      </c>
      <c r="E91" s="31">
        <v>42</v>
      </c>
      <c r="F91" s="31">
        <v>42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31</v>
      </c>
      <c r="M91" s="31">
        <v>3</v>
      </c>
      <c r="N91" s="31">
        <v>4</v>
      </c>
    </row>
    <row r="92" spans="1:14" ht="20.25" customHeight="1" x14ac:dyDescent="0.2">
      <c r="A92" s="349"/>
      <c r="B92" s="49" t="s">
        <v>32</v>
      </c>
      <c r="C92" s="81" t="s">
        <v>987</v>
      </c>
      <c r="D92" s="20">
        <v>13</v>
      </c>
      <c r="E92" s="31">
        <v>37</v>
      </c>
      <c r="F92" s="31">
        <v>37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26</v>
      </c>
      <c r="M92" s="31">
        <v>3</v>
      </c>
      <c r="N92" s="31">
        <v>4</v>
      </c>
    </row>
    <row r="93" spans="1:14" ht="20.25" customHeight="1" x14ac:dyDescent="0.2">
      <c r="A93" s="349"/>
      <c r="B93" s="201" t="s">
        <v>1052</v>
      </c>
      <c r="C93" s="203"/>
      <c r="D93" s="20">
        <v>14</v>
      </c>
      <c r="E93" s="31">
        <v>3136</v>
      </c>
      <c r="F93" s="31">
        <v>3071</v>
      </c>
      <c r="G93" s="31">
        <v>0</v>
      </c>
      <c r="H93" s="31">
        <v>0</v>
      </c>
      <c r="I93" s="31">
        <v>65</v>
      </c>
      <c r="J93" s="31">
        <v>0</v>
      </c>
      <c r="K93" s="31">
        <v>621</v>
      </c>
      <c r="L93" s="31">
        <v>1284</v>
      </c>
      <c r="M93" s="31">
        <v>265</v>
      </c>
      <c r="N93" s="31">
        <v>194</v>
      </c>
    </row>
    <row r="94" spans="1:14" ht="20.25" customHeight="1" x14ac:dyDescent="0.2">
      <c r="A94" s="349"/>
      <c r="B94" s="201" t="s">
        <v>62</v>
      </c>
      <c r="C94" s="203"/>
      <c r="D94" s="20">
        <v>15</v>
      </c>
      <c r="E94" s="31">
        <v>1756</v>
      </c>
      <c r="F94" s="54">
        <v>1755</v>
      </c>
      <c r="G94" s="54">
        <v>0</v>
      </c>
      <c r="H94" s="31">
        <v>0</v>
      </c>
      <c r="I94" s="31">
        <v>1</v>
      </c>
      <c r="J94" s="31">
        <v>0</v>
      </c>
      <c r="K94" s="31">
        <v>125</v>
      </c>
      <c r="L94" s="31">
        <v>1413</v>
      </c>
      <c r="M94" s="31">
        <v>45</v>
      </c>
      <c r="N94" s="31">
        <v>126</v>
      </c>
    </row>
    <row r="95" spans="1:14" ht="20.25" customHeight="1" x14ac:dyDescent="0.2">
      <c r="A95" s="350"/>
      <c r="B95" s="20" t="s">
        <v>34</v>
      </c>
      <c r="C95" s="69" t="s">
        <v>985</v>
      </c>
      <c r="D95" s="20">
        <v>16</v>
      </c>
      <c r="E95" s="31">
        <v>1213</v>
      </c>
      <c r="F95" s="31">
        <v>1212</v>
      </c>
      <c r="G95" s="31">
        <v>0</v>
      </c>
      <c r="H95" s="31">
        <v>0</v>
      </c>
      <c r="I95" s="31">
        <v>1</v>
      </c>
      <c r="J95" s="31">
        <v>0</v>
      </c>
      <c r="K95" s="31">
        <v>0</v>
      </c>
      <c r="L95" s="31">
        <v>1074</v>
      </c>
      <c r="M95" s="31">
        <v>22</v>
      </c>
      <c r="N95" s="31">
        <v>52</v>
      </c>
    </row>
    <row r="96" spans="1:14" ht="20.25" customHeight="1" x14ac:dyDescent="0.2">
      <c r="A96" s="348" t="s">
        <v>1001</v>
      </c>
      <c r="B96" s="201" t="s">
        <v>1002</v>
      </c>
      <c r="C96" s="203"/>
      <c r="D96" s="20">
        <v>17</v>
      </c>
      <c r="E96" s="31">
        <v>9</v>
      </c>
      <c r="F96" s="31">
        <v>4</v>
      </c>
      <c r="G96" s="31">
        <v>0</v>
      </c>
      <c r="H96" s="31">
        <v>5</v>
      </c>
      <c r="I96" s="31">
        <v>0</v>
      </c>
      <c r="J96" s="31">
        <v>0</v>
      </c>
      <c r="K96" s="31">
        <v>0</v>
      </c>
      <c r="L96" s="31">
        <v>2</v>
      </c>
      <c r="M96" s="31" t="s">
        <v>1003</v>
      </c>
      <c r="N96" s="31" t="s">
        <v>1003</v>
      </c>
    </row>
    <row r="97" spans="1:14" ht="20.25" customHeight="1" x14ac:dyDescent="0.2">
      <c r="A97" s="349"/>
      <c r="B97" s="216" t="s">
        <v>526</v>
      </c>
      <c r="C97" s="69" t="s">
        <v>1005</v>
      </c>
      <c r="D97" s="20">
        <v>18</v>
      </c>
      <c r="E97" s="31">
        <v>1</v>
      </c>
      <c r="F97" s="31">
        <v>1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1</v>
      </c>
      <c r="M97" s="31" t="s">
        <v>1003</v>
      </c>
      <c r="N97" s="31" t="s">
        <v>1003</v>
      </c>
    </row>
    <row r="98" spans="1:14" ht="20.25" customHeight="1" x14ac:dyDescent="0.2">
      <c r="A98" s="349"/>
      <c r="B98" s="233"/>
      <c r="C98" s="69" t="s">
        <v>1006</v>
      </c>
      <c r="D98" s="20">
        <v>19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 t="s">
        <v>1003</v>
      </c>
      <c r="N98" s="31" t="s">
        <v>1003</v>
      </c>
    </row>
    <row r="99" spans="1:14" ht="20.25" customHeight="1" x14ac:dyDescent="0.2">
      <c r="A99" s="349"/>
      <c r="B99" s="233"/>
      <c r="C99" s="69" t="s">
        <v>1007</v>
      </c>
      <c r="D99" s="20">
        <v>20</v>
      </c>
      <c r="E99" s="31">
        <v>4</v>
      </c>
      <c r="F99" s="31">
        <v>1</v>
      </c>
      <c r="G99" s="31">
        <v>0</v>
      </c>
      <c r="H99" s="31">
        <v>3</v>
      </c>
      <c r="I99" s="31">
        <v>0</v>
      </c>
      <c r="J99" s="31">
        <v>0</v>
      </c>
      <c r="K99" s="31">
        <v>0</v>
      </c>
      <c r="L99" s="31">
        <v>0</v>
      </c>
      <c r="M99" s="31" t="s">
        <v>1003</v>
      </c>
      <c r="N99" s="31" t="s">
        <v>1003</v>
      </c>
    </row>
    <row r="100" spans="1:14" ht="20.25" customHeight="1" x14ac:dyDescent="0.2">
      <c r="A100" s="349"/>
      <c r="B100" s="233"/>
      <c r="C100" s="32" t="s">
        <v>1008</v>
      </c>
      <c r="D100" s="20">
        <v>21</v>
      </c>
      <c r="E100" s="31">
        <v>2</v>
      </c>
      <c r="F100" s="31">
        <v>2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1003</v>
      </c>
      <c r="N100" s="31" t="s">
        <v>1003</v>
      </c>
    </row>
    <row r="101" spans="1:14" ht="20.25" customHeight="1" x14ac:dyDescent="0.2">
      <c r="A101" s="349"/>
      <c r="B101" s="217"/>
      <c r="C101" s="69" t="s">
        <v>1009</v>
      </c>
      <c r="D101" s="20">
        <v>22</v>
      </c>
      <c r="E101" s="31">
        <v>2</v>
      </c>
      <c r="F101" s="31">
        <v>0</v>
      </c>
      <c r="G101" s="31">
        <v>0</v>
      </c>
      <c r="H101" s="31">
        <v>2</v>
      </c>
      <c r="I101" s="31">
        <v>0</v>
      </c>
      <c r="J101" s="31">
        <v>0</v>
      </c>
      <c r="K101" s="31">
        <v>0</v>
      </c>
      <c r="L101" s="31">
        <v>0</v>
      </c>
      <c r="M101" s="31" t="s">
        <v>1003</v>
      </c>
      <c r="N101" s="31" t="s">
        <v>1003</v>
      </c>
    </row>
    <row r="102" spans="1:14" ht="20.25" customHeight="1" x14ac:dyDescent="0.2">
      <c r="A102" s="349"/>
      <c r="B102" s="201" t="s">
        <v>1010</v>
      </c>
      <c r="C102" s="203"/>
      <c r="D102" s="20">
        <v>23</v>
      </c>
      <c r="E102" s="31">
        <v>28</v>
      </c>
      <c r="F102" s="31">
        <v>9</v>
      </c>
      <c r="G102" s="31">
        <v>0</v>
      </c>
      <c r="H102" s="31">
        <v>19</v>
      </c>
      <c r="I102" s="31">
        <v>0</v>
      </c>
      <c r="J102" s="31">
        <v>0</v>
      </c>
      <c r="K102" s="31">
        <v>0</v>
      </c>
      <c r="L102" s="31">
        <v>13</v>
      </c>
      <c r="M102" s="31" t="s">
        <v>1003</v>
      </c>
      <c r="N102" s="31" t="s">
        <v>1003</v>
      </c>
    </row>
    <row r="103" spans="1:14" ht="20.25" customHeight="1" x14ac:dyDescent="0.2">
      <c r="A103" s="349"/>
      <c r="B103" s="216" t="s">
        <v>34</v>
      </c>
      <c r="C103" s="69" t="s">
        <v>1011</v>
      </c>
      <c r="D103" s="20">
        <v>24</v>
      </c>
      <c r="E103" s="31">
        <v>1</v>
      </c>
      <c r="F103" s="31">
        <v>1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 t="s">
        <v>1003</v>
      </c>
      <c r="N103" s="31" t="s">
        <v>1003</v>
      </c>
    </row>
    <row r="104" spans="1:14" ht="20.25" customHeight="1" x14ac:dyDescent="0.2">
      <c r="A104" s="349"/>
      <c r="B104" s="217"/>
      <c r="C104" s="69" t="s">
        <v>1012</v>
      </c>
      <c r="D104" s="20">
        <v>25</v>
      </c>
      <c r="E104" s="31">
        <v>4</v>
      </c>
      <c r="F104" s="31">
        <v>3</v>
      </c>
      <c r="G104" s="31">
        <v>0</v>
      </c>
      <c r="H104" s="31">
        <v>1</v>
      </c>
      <c r="I104" s="31">
        <v>0</v>
      </c>
      <c r="J104" s="31">
        <v>0</v>
      </c>
      <c r="K104" s="31">
        <v>0</v>
      </c>
      <c r="L104" s="31">
        <v>2</v>
      </c>
      <c r="M104" s="31" t="s">
        <v>1003</v>
      </c>
      <c r="N104" s="31" t="s">
        <v>1003</v>
      </c>
    </row>
    <row r="105" spans="1:14" ht="20.25" customHeight="1" x14ac:dyDescent="0.2">
      <c r="A105" s="349"/>
      <c r="B105" s="201" t="s">
        <v>1013</v>
      </c>
      <c r="C105" s="203"/>
      <c r="D105" s="20">
        <v>26</v>
      </c>
      <c r="E105" s="31">
        <v>269</v>
      </c>
      <c r="F105" s="31">
        <v>174</v>
      </c>
      <c r="G105" s="31">
        <v>0</v>
      </c>
      <c r="H105" s="31">
        <v>95</v>
      </c>
      <c r="I105" s="31">
        <v>0</v>
      </c>
      <c r="J105" s="31">
        <v>0</v>
      </c>
      <c r="K105" s="31">
        <v>2</v>
      </c>
      <c r="L105" s="31">
        <v>211</v>
      </c>
      <c r="M105" s="31" t="s">
        <v>1003</v>
      </c>
      <c r="N105" s="31" t="s">
        <v>1003</v>
      </c>
    </row>
    <row r="106" spans="1:14" ht="20.25" customHeight="1" x14ac:dyDescent="0.2">
      <c r="A106" s="349"/>
      <c r="B106" s="201" t="s">
        <v>1014</v>
      </c>
      <c r="C106" s="203"/>
      <c r="D106" s="20">
        <v>27</v>
      </c>
      <c r="E106" s="31">
        <v>11034</v>
      </c>
      <c r="F106" s="31">
        <v>3360</v>
      </c>
      <c r="G106" s="31">
        <v>0</v>
      </c>
      <c r="H106" s="31">
        <v>7655</v>
      </c>
      <c r="I106" s="31">
        <v>18</v>
      </c>
      <c r="J106" s="31">
        <v>0</v>
      </c>
      <c r="K106" s="31">
        <v>577</v>
      </c>
      <c r="L106" s="31">
        <v>6765</v>
      </c>
      <c r="M106" s="31" t="s">
        <v>1003</v>
      </c>
      <c r="N106" s="31" t="s">
        <v>1003</v>
      </c>
    </row>
    <row r="107" spans="1:14" ht="20.25" customHeight="1" x14ac:dyDescent="0.2">
      <c r="A107" s="349"/>
      <c r="B107" s="201" t="s">
        <v>1015</v>
      </c>
      <c r="C107" s="203"/>
      <c r="D107" s="20">
        <v>28</v>
      </c>
      <c r="E107" s="31">
        <v>268</v>
      </c>
      <c r="F107" s="31">
        <v>171</v>
      </c>
      <c r="G107" s="31">
        <v>0</v>
      </c>
      <c r="H107" s="31">
        <v>96</v>
      </c>
      <c r="I107" s="31">
        <v>1</v>
      </c>
      <c r="J107" s="31">
        <v>0</v>
      </c>
      <c r="K107" s="31">
        <v>16</v>
      </c>
      <c r="L107" s="31">
        <v>111</v>
      </c>
      <c r="M107" s="31">
        <v>5</v>
      </c>
      <c r="N107" s="31">
        <v>7</v>
      </c>
    </row>
    <row r="108" spans="1:14" ht="20.25" customHeight="1" x14ac:dyDescent="0.2">
      <c r="A108" s="349"/>
      <c r="B108" s="201" t="s">
        <v>1053</v>
      </c>
      <c r="C108" s="203"/>
      <c r="D108" s="20">
        <v>29</v>
      </c>
      <c r="E108" s="31">
        <v>17748</v>
      </c>
      <c r="F108" s="31">
        <v>17640</v>
      </c>
      <c r="G108" s="31">
        <v>0</v>
      </c>
      <c r="H108" s="31">
        <v>95</v>
      </c>
      <c r="I108" s="31">
        <v>13</v>
      </c>
      <c r="J108" s="31">
        <v>0</v>
      </c>
      <c r="K108" s="31">
        <v>4902</v>
      </c>
      <c r="L108" s="31">
        <v>123</v>
      </c>
      <c r="M108" s="31" t="s">
        <v>1017</v>
      </c>
      <c r="N108" s="31" t="s">
        <v>1017</v>
      </c>
    </row>
    <row r="109" spans="1:14" ht="20.25" customHeight="1" x14ac:dyDescent="0.2">
      <c r="A109" s="349"/>
      <c r="B109" s="201" t="s">
        <v>1018</v>
      </c>
      <c r="C109" s="203"/>
      <c r="D109" s="20">
        <v>30</v>
      </c>
      <c r="E109" s="31">
        <v>4700</v>
      </c>
      <c r="F109" s="31">
        <v>630</v>
      </c>
      <c r="G109" s="31">
        <v>0</v>
      </c>
      <c r="H109" s="31">
        <v>4068</v>
      </c>
      <c r="I109" s="31">
        <v>1</v>
      </c>
      <c r="J109" s="31">
        <v>0</v>
      </c>
      <c r="K109" s="31">
        <v>18</v>
      </c>
      <c r="L109" s="31">
        <v>3177</v>
      </c>
      <c r="M109" s="31">
        <v>4</v>
      </c>
      <c r="N109" s="31">
        <v>12</v>
      </c>
    </row>
    <row r="110" spans="1:14" ht="29.25" customHeight="1" x14ac:dyDescent="0.2">
      <c r="A110" s="349"/>
      <c r="B110" s="138" t="s">
        <v>1019</v>
      </c>
      <c r="C110" s="140"/>
      <c r="D110" s="20">
        <v>31</v>
      </c>
      <c r="E110" s="31">
        <v>377</v>
      </c>
      <c r="F110" s="31">
        <v>344</v>
      </c>
      <c r="G110" s="31">
        <v>1</v>
      </c>
      <c r="H110" s="31">
        <v>29</v>
      </c>
      <c r="I110" s="31">
        <v>3</v>
      </c>
      <c r="J110" s="31">
        <v>0</v>
      </c>
      <c r="K110" s="31">
        <v>59</v>
      </c>
      <c r="L110" s="31">
        <v>52</v>
      </c>
      <c r="M110" s="31">
        <v>0</v>
      </c>
      <c r="N110" s="31">
        <v>0</v>
      </c>
    </row>
    <row r="111" spans="1:14" ht="21" customHeight="1" x14ac:dyDescent="0.2">
      <c r="A111" s="349"/>
      <c r="B111" s="216" t="s">
        <v>34</v>
      </c>
      <c r="C111" s="69" t="s">
        <v>1020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1003</v>
      </c>
      <c r="N111" s="31" t="s">
        <v>1003</v>
      </c>
    </row>
    <row r="112" spans="1:14" ht="29.25" customHeight="1" x14ac:dyDescent="0.2">
      <c r="A112" s="349"/>
      <c r="B112" s="217"/>
      <c r="C112" s="32" t="s">
        <v>1021</v>
      </c>
      <c r="D112" s="20">
        <v>33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9"/>
      <c r="B113" s="201" t="s">
        <v>1022</v>
      </c>
      <c r="C113" s="203"/>
      <c r="D113" s="20">
        <v>34</v>
      </c>
      <c r="E113" s="31">
        <v>242</v>
      </c>
      <c r="F113" s="31">
        <v>150</v>
      </c>
      <c r="G113" s="31">
        <v>0</v>
      </c>
      <c r="H113" s="31">
        <v>92</v>
      </c>
      <c r="I113" s="31">
        <v>0</v>
      </c>
      <c r="J113" s="31">
        <v>0</v>
      </c>
      <c r="K113" s="31">
        <v>1</v>
      </c>
      <c r="L113" s="31">
        <v>83</v>
      </c>
      <c r="M113" s="31" t="s">
        <v>1003</v>
      </c>
      <c r="N113" s="31" t="s">
        <v>1003</v>
      </c>
    </row>
    <row r="114" spans="1:14" ht="24.75" customHeight="1" x14ac:dyDescent="0.2">
      <c r="A114" s="349"/>
      <c r="B114" s="20" t="s">
        <v>34</v>
      </c>
      <c r="C114" s="69" t="s">
        <v>1023</v>
      </c>
      <c r="D114" s="20">
        <v>35</v>
      </c>
      <c r="E114" s="31">
        <v>24</v>
      </c>
      <c r="F114" s="31">
        <v>13</v>
      </c>
      <c r="G114" s="31">
        <v>0</v>
      </c>
      <c r="H114" s="31">
        <v>11</v>
      </c>
      <c r="I114" s="31">
        <v>0</v>
      </c>
      <c r="J114" s="31">
        <v>0</v>
      </c>
      <c r="K114" s="31">
        <v>0</v>
      </c>
      <c r="L114" s="31">
        <v>13</v>
      </c>
      <c r="M114" s="31" t="s">
        <v>1003</v>
      </c>
      <c r="N114" s="31" t="s">
        <v>1003</v>
      </c>
    </row>
    <row r="115" spans="1:14" ht="24.75" customHeight="1" x14ac:dyDescent="0.2">
      <c r="A115" s="349"/>
      <c r="B115" s="201" t="s">
        <v>1024</v>
      </c>
      <c r="C115" s="203"/>
      <c r="D115" s="20">
        <v>36</v>
      </c>
      <c r="E115" s="31">
        <v>427</v>
      </c>
      <c r="F115" s="31">
        <v>279</v>
      </c>
      <c r="G115" s="31">
        <v>0</v>
      </c>
      <c r="H115" s="31">
        <v>148</v>
      </c>
      <c r="I115" s="31">
        <v>0</v>
      </c>
      <c r="J115" s="31">
        <v>0</v>
      </c>
      <c r="K115" s="31">
        <v>0</v>
      </c>
      <c r="L115" s="31">
        <v>373</v>
      </c>
      <c r="M115" s="31" t="s">
        <v>1003</v>
      </c>
      <c r="N115" s="31" t="s">
        <v>1003</v>
      </c>
    </row>
    <row r="116" spans="1:14" ht="24.75" customHeight="1" x14ac:dyDescent="0.2">
      <c r="A116" s="349"/>
      <c r="B116" s="20" t="s">
        <v>34</v>
      </c>
      <c r="C116" s="69" t="s">
        <v>1025</v>
      </c>
      <c r="D116" s="20">
        <v>37</v>
      </c>
      <c r="E116" s="31">
        <v>30</v>
      </c>
      <c r="F116" s="31">
        <v>20</v>
      </c>
      <c r="G116" s="31">
        <v>0</v>
      </c>
      <c r="H116" s="31">
        <v>10</v>
      </c>
      <c r="I116" s="31">
        <v>0</v>
      </c>
      <c r="J116" s="31">
        <v>0</v>
      </c>
      <c r="K116" s="31">
        <v>0</v>
      </c>
      <c r="L116" s="31">
        <v>24</v>
      </c>
      <c r="M116" s="31" t="s">
        <v>1003</v>
      </c>
      <c r="N116" s="31" t="s">
        <v>1003</v>
      </c>
    </row>
    <row r="117" spans="1:14" ht="24.75" customHeight="1" x14ac:dyDescent="0.2">
      <c r="A117" s="349"/>
      <c r="B117" s="348" t="s">
        <v>1026</v>
      </c>
      <c r="C117" s="32" t="s">
        <v>1027</v>
      </c>
      <c r="D117" s="20">
        <v>38</v>
      </c>
      <c r="E117" s="31">
        <v>17</v>
      </c>
      <c r="F117" s="31">
        <v>10</v>
      </c>
      <c r="G117" s="31">
        <v>0</v>
      </c>
      <c r="H117" s="31">
        <v>7</v>
      </c>
      <c r="I117" s="31">
        <v>0</v>
      </c>
      <c r="J117" s="31">
        <v>0</v>
      </c>
      <c r="K117" s="31">
        <v>0</v>
      </c>
      <c r="L117" s="31">
        <v>6</v>
      </c>
      <c r="M117" s="31" t="s">
        <v>1003</v>
      </c>
      <c r="N117" s="31" t="s">
        <v>1003</v>
      </c>
    </row>
    <row r="118" spans="1:14" ht="24.75" customHeight="1" x14ac:dyDescent="0.2">
      <c r="A118" s="349"/>
      <c r="B118" s="349"/>
      <c r="C118" s="32" t="s">
        <v>1028</v>
      </c>
      <c r="D118" s="20">
        <v>39</v>
      </c>
      <c r="E118" s="31">
        <v>17</v>
      </c>
      <c r="F118" s="31">
        <v>10</v>
      </c>
      <c r="G118" s="31">
        <v>0</v>
      </c>
      <c r="H118" s="31">
        <v>7</v>
      </c>
      <c r="I118" s="31">
        <v>0</v>
      </c>
      <c r="J118" s="31">
        <v>0</v>
      </c>
      <c r="K118" s="31">
        <v>0</v>
      </c>
      <c r="L118" s="31">
        <v>6</v>
      </c>
      <c r="M118" s="31" t="s">
        <v>1017</v>
      </c>
      <c r="N118" s="31" t="s">
        <v>1017</v>
      </c>
    </row>
    <row r="119" spans="1:14" ht="24.75" customHeight="1" x14ac:dyDescent="0.2">
      <c r="A119" s="349"/>
      <c r="B119" s="349"/>
      <c r="C119" s="32" t="s">
        <v>1029</v>
      </c>
      <c r="D119" s="20">
        <v>40</v>
      </c>
      <c r="E119" s="31">
        <v>9</v>
      </c>
      <c r="F119" s="31">
        <v>7</v>
      </c>
      <c r="G119" s="31">
        <v>0</v>
      </c>
      <c r="H119" s="31">
        <v>2</v>
      </c>
      <c r="I119" s="31">
        <v>0</v>
      </c>
      <c r="J119" s="31">
        <v>0</v>
      </c>
      <c r="K119" s="31">
        <v>0</v>
      </c>
      <c r="L119" s="31">
        <v>2</v>
      </c>
      <c r="M119" s="31" t="s">
        <v>1003</v>
      </c>
      <c r="N119" s="31" t="s">
        <v>1003</v>
      </c>
    </row>
    <row r="120" spans="1:14" ht="24.75" customHeight="1" x14ac:dyDescent="0.2">
      <c r="A120" s="349"/>
      <c r="B120" s="349"/>
      <c r="C120" s="32" t="s">
        <v>1028</v>
      </c>
      <c r="D120" s="20">
        <v>41</v>
      </c>
      <c r="E120" s="31">
        <v>9</v>
      </c>
      <c r="F120" s="31">
        <v>7</v>
      </c>
      <c r="G120" s="31">
        <v>0</v>
      </c>
      <c r="H120" s="31">
        <v>2</v>
      </c>
      <c r="I120" s="31">
        <v>0</v>
      </c>
      <c r="J120" s="31">
        <v>0</v>
      </c>
      <c r="K120" s="31">
        <v>0</v>
      </c>
      <c r="L120" s="31">
        <v>2</v>
      </c>
      <c r="M120" s="31" t="s">
        <v>1017</v>
      </c>
      <c r="N120" s="31" t="s">
        <v>1017</v>
      </c>
    </row>
    <row r="121" spans="1:14" ht="24.75" customHeight="1" x14ac:dyDescent="0.2">
      <c r="A121" s="349"/>
      <c r="B121" s="350"/>
      <c r="C121" s="32" t="s">
        <v>1030</v>
      </c>
      <c r="D121" s="20">
        <v>42</v>
      </c>
      <c r="E121" s="31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1003</v>
      </c>
      <c r="N121" s="31" t="s">
        <v>1003</v>
      </c>
    </row>
    <row r="122" spans="1:14" ht="24.75" customHeight="1" x14ac:dyDescent="0.2">
      <c r="A122" s="349"/>
      <c r="B122" s="187" t="s">
        <v>1026</v>
      </c>
      <c r="C122" s="69" t="s">
        <v>1031</v>
      </c>
      <c r="D122" s="20">
        <v>43</v>
      </c>
      <c r="E122" s="31">
        <v>28</v>
      </c>
      <c r="F122" s="31">
        <v>11</v>
      </c>
      <c r="G122" s="31">
        <v>0</v>
      </c>
      <c r="H122" s="31">
        <v>17</v>
      </c>
      <c r="I122" s="31">
        <v>0</v>
      </c>
      <c r="J122" s="31">
        <v>0</v>
      </c>
      <c r="K122" s="31">
        <v>0</v>
      </c>
      <c r="L122" s="31">
        <v>12</v>
      </c>
      <c r="M122" s="31" t="s">
        <v>1003</v>
      </c>
      <c r="N122" s="31" t="s">
        <v>1003</v>
      </c>
    </row>
    <row r="123" spans="1:14" ht="24.75" customHeight="1" x14ac:dyDescent="0.2">
      <c r="A123" s="349"/>
      <c r="B123" s="188"/>
      <c r="C123" s="69" t="s">
        <v>1032</v>
      </c>
      <c r="D123" s="20">
        <v>44</v>
      </c>
      <c r="E123" s="31">
        <v>2397</v>
      </c>
      <c r="F123" s="31">
        <v>2157</v>
      </c>
      <c r="G123" s="31">
        <v>0</v>
      </c>
      <c r="H123" s="31">
        <v>234</v>
      </c>
      <c r="I123" s="31">
        <v>6</v>
      </c>
      <c r="J123" s="31">
        <v>0</v>
      </c>
      <c r="K123" s="31">
        <v>93</v>
      </c>
      <c r="L123" s="31">
        <v>110</v>
      </c>
      <c r="M123" s="31" t="s">
        <v>1003</v>
      </c>
      <c r="N123" s="31" t="s">
        <v>1003</v>
      </c>
    </row>
    <row r="124" spans="1:14" ht="24.75" customHeight="1" x14ac:dyDescent="0.2">
      <c r="A124" s="349"/>
      <c r="B124" s="188"/>
      <c r="C124" s="69" t="s">
        <v>1033</v>
      </c>
      <c r="D124" s="20">
        <v>45</v>
      </c>
      <c r="E124" s="31">
        <v>29</v>
      </c>
      <c r="F124" s="31">
        <v>23</v>
      </c>
      <c r="G124" s="31">
        <v>0</v>
      </c>
      <c r="H124" s="31">
        <v>6</v>
      </c>
      <c r="I124" s="31">
        <v>0</v>
      </c>
      <c r="J124" s="31">
        <v>0</v>
      </c>
      <c r="K124" s="31">
        <v>1</v>
      </c>
      <c r="L124" s="31">
        <v>15</v>
      </c>
      <c r="M124" s="31" t="s">
        <v>1003</v>
      </c>
      <c r="N124" s="31" t="s">
        <v>1003</v>
      </c>
    </row>
    <row r="125" spans="1:14" ht="24.75" customHeight="1" x14ac:dyDescent="0.2">
      <c r="A125" s="349"/>
      <c r="B125" s="188"/>
      <c r="C125" s="69" t="s">
        <v>1034</v>
      </c>
      <c r="D125" s="20">
        <v>46</v>
      </c>
      <c r="E125" s="31">
        <v>33</v>
      </c>
      <c r="F125" s="31">
        <v>20</v>
      </c>
      <c r="G125" s="31">
        <v>0</v>
      </c>
      <c r="H125" s="31">
        <v>13</v>
      </c>
      <c r="I125" s="31">
        <v>0</v>
      </c>
      <c r="J125" s="31">
        <v>0</v>
      </c>
      <c r="K125" s="31">
        <v>0</v>
      </c>
      <c r="L125" s="31">
        <v>11</v>
      </c>
      <c r="M125" s="31" t="s">
        <v>1003</v>
      </c>
      <c r="N125" s="31" t="s">
        <v>1003</v>
      </c>
    </row>
    <row r="126" spans="1:14" ht="24.75" customHeight="1" x14ac:dyDescent="0.2">
      <c r="A126" s="349"/>
      <c r="B126" s="188"/>
      <c r="C126" s="69" t="s">
        <v>90</v>
      </c>
      <c r="D126" s="20">
        <v>47</v>
      </c>
      <c r="E126" s="31">
        <v>22</v>
      </c>
      <c r="F126" s="31">
        <v>9</v>
      </c>
      <c r="G126" s="31">
        <v>0</v>
      </c>
      <c r="H126" s="31">
        <v>10</v>
      </c>
      <c r="I126" s="31">
        <v>3</v>
      </c>
      <c r="J126" s="31">
        <v>0</v>
      </c>
      <c r="K126" s="31">
        <v>3</v>
      </c>
      <c r="L126" s="31">
        <v>1</v>
      </c>
      <c r="M126" s="31" t="s">
        <v>1003</v>
      </c>
      <c r="N126" s="31" t="s">
        <v>1003</v>
      </c>
    </row>
    <row r="127" spans="1:14" ht="29.25" customHeight="1" x14ac:dyDescent="0.2">
      <c r="A127" s="349"/>
      <c r="B127" s="188"/>
      <c r="C127" s="32" t="s">
        <v>972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1003</v>
      </c>
      <c r="N127" s="31" t="s">
        <v>1003</v>
      </c>
    </row>
    <row r="128" spans="1:14" ht="21.75" customHeight="1" x14ac:dyDescent="0.2">
      <c r="A128" s="349"/>
      <c r="B128" s="188"/>
      <c r="C128" s="69" t="s">
        <v>1035</v>
      </c>
      <c r="D128" s="20">
        <v>49</v>
      </c>
      <c r="E128" s="31">
        <v>4</v>
      </c>
      <c r="F128" s="31">
        <v>2</v>
      </c>
      <c r="G128" s="31">
        <v>0</v>
      </c>
      <c r="H128" s="31">
        <v>2</v>
      </c>
      <c r="I128" s="31">
        <v>0</v>
      </c>
      <c r="J128" s="31">
        <v>0</v>
      </c>
      <c r="K128" s="31">
        <v>0</v>
      </c>
      <c r="L128" s="31">
        <v>2</v>
      </c>
      <c r="M128" s="31" t="s">
        <v>1003</v>
      </c>
      <c r="N128" s="31" t="s">
        <v>1003</v>
      </c>
    </row>
    <row r="129" spans="1:14" ht="21.75" customHeight="1" x14ac:dyDescent="0.2">
      <c r="A129" s="349"/>
      <c r="B129" s="188"/>
      <c r="C129" s="69" t="s">
        <v>1036</v>
      </c>
      <c r="D129" s="20">
        <v>50</v>
      </c>
      <c r="E129" s="31">
        <v>115</v>
      </c>
      <c r="F129" s="31">
        <v>107</v>
      </c>
      <c r="G129" s="31">
        <v>0</v>
      </c>
      <c r="H129" s="31">
        <v>6</v>
      </c>
      <c r="I129" s="31">
        <v>2</v>
      </c>
      <c r="J129" s="31">
        <v>0</v>
      </c>
      <c r="K129" s="31">
        <v>24</v>
      </c>
      <c r="L129" s="31">
        <v>4</v>
      </c>
      <c r="M129" s="31" t="s">
        <v>1003</v>
      </c>
      <c r="N129" s="31" t="s">
        <v>1003</v>
      </c>
    </row>
    <row r="130" spans="1:14" ht="21.75" customHeight="1" x14ac:dyDescent="0.2">
      <c r="A130" s="349"/>
      <c r="B130" s="188"/>
      <c r="C130" s="69" t="s">
        <v>974</v>
      </c>
      <c r="D130" s="20">
        <v>51</v>
      </c>
      <c r="E130" s="31">
        <v>2</v>
      </c>
      <c r="F130" s="31">
        <v>1</v>
      </c>
      <c r="G130" s="31">
        <v>0</v>
      </c>
      <c r="H130" s="31">
        <v>0</v>
      </c>
      <c r="I130" s="31">
        <v>1</v>
      </c>
      <c r="J130" s="31">
        <v>0</v>
      </c>
      <c r="K130" s="31">
        <v>0</v>
      </c>
      <c r="L130" s="31">
        <v>0</v>
      </c>
      <c r="M130" s="31" t="s">
        <v>1017</v>
      </c>
      <c r="N130" s="31" t="s">
        <v>1017</v>
      </c>
    </row>
    <row r="131" spans="1:14" ht="21.75" customHeight="1" x14ac:dyDescent="0.2">
      <c r="A131" s="349"/>
      <c r="B131" s="189"/>
      <c r="C131" s="69" t="s">
        <v>975</v>
      </c>
      <c r="D131" s="20">
        <v>52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1017</v>
      </c>
      <c r="N131" s="31" t="s">
        <v>1017</v>
      </c>
    </row>
    <row r="132" spans="1:14" ht="21.75" customHeight="1" x14ac:dyDescent="0.2">
      <c r="A132" s="349"/>
      <c r="B132" s="201" t="s">
        <v>1037</v>
      </c>
      <c r="C132" s="203"/>
      <c r="D132" s="20">
        <v>53</v>
      </c>
      <c r="E132" s="31">
        <v>21803</v>
      </c>
      <c r="F132" s="31">
        <v>21479</v>
      </c>
      <c r="G132" s="31">
        <v>0</v>
      </c>
      <c r="H132" s="31">
        <v>266</v>
      </c>
      <c r="I132" s="31">
        <v>58</v>
      </c>
      <c r="J132" s="31">
        <v>0</v>
      </c>
      <c r="K132" s="31">
        <v>5491</v>
      </c>
      <c r="L132" s="31">
        <v>206</v>
      </c>
      <c r="M132" s="31" t="s">
        <v>1003</v>
      </c>
      <c r="N132" s="31" t="s">
        <v>1003</v>
      </c>
    </row>
    <row r="133" spans="1:14" ht="21.75" customHeight="1" x14ac:dyDescent="0.2">
      <c r="A133" s="349"/>
      <c r="B133" s="345" t="s">
        <v>1038</v>
      </c>
      <c r="C133" s="51" t="s">
        <v>1039</v>
      </c>
      <c r="D133" s="20">
        <v>54</v>
      </c>
      <c r="E133" s="31">
        <v>1577</v>
      </c>
      <c r="F133" s="31">
        <v>1418</v>
      </c>
      <c r="G133" s="31">
        <v>0</v>
      </c>
      <c r="H133" s="31">
        <v>146</v>
      </c>
      <c r="I133" s="31">
        <v>13</v>
      </c>
      <c r="J133" s="31">
        <v>0</v>
      </c>
      <c r="K133" s="31">
        <v>118</v>
      </c>
      <c r="L133" s="31">
        <v>811</v>
      </c>
      <c r="M133" s="31">
        <v>741</v>
      </c>
      <c r="N133" s="31">
        <v>801</v>
      </c>
    </row>
    <row r="134" spans="1:14" ht="21.75" customHeight="1" x14ac:dyDescent="0.2">
      <c r="A134" s="349"/>
      <c r="B134" s="346"/>
      <c r="C134" s="51" t="s">
        <v>1040</v>
      </c>
      <c r="D134" s="20">
        <v>55</v>
      </c>
      <c r="E134" s="31">
        <v>145</v>
      </c>
      <c r="F134" s="31">
        <v>120</v>
      </c>
      <c r="G134" s="31">
        <v>0</v>
      </c>
      <c r="H134" s="31">
        <v>24</v>
      </c>
      <c r="I134" s="31">
        <v>1</v>
      </c>
      <c r="J134" s="31">
        <v>0</v>
      </c>
      <c r="K134" s="31">
        <v>8</v>
      </c>
      <c r="L134" s="31">
        <v>63</v>
      </c>
      <c r="M134" s="31">
        <v>104</v>
      </c>
      <c r="N134" s="31">
        <v>8</v>
      </c>
    </row>
    <row r="135" spans="1:14" ht="21.75" customHeight="1" x14ac:dyDescent="0.2">
      <c r="A135" s="349"/>
      <c r="B135" s="346"/>
      <c r="C135" s="51" t="s">
        <v>1041</v>
      </c>
      <c r="D135" s="20">
        <v>56</v>
      </c>
      <c r="E135" s="31">
        <v>84</v>
      </c>
      <c r="F135" s="31">
        <v>79</v>
      </c>
      <c r="G135" s="31">
        <v>0</v>
      </c>
      <c r="H135" s="31">
        <v>4</v>
      </c>
      <c r="I135" s="31">
        <v>1</v>
      </c>
      <c r="J135" s="31">
        <v>0</v>
      </c>
      <c r="K135" s="31">
        <v>2</v>
      </c>
      <c r="L135" s="31">
        <v>33</v>
      </c>
      <c r="M135" s="31">
        <v>38</v>
      </c>
      <c r="N135" s="31">
        <v>0</v>
      </c>
    </row>
    <row r="136" spans="1:14" ht="21.75" customHeight="1" x14ac:dyDescent="0.2">
      <c r="A136" s="349"/>
      <c r="B136" s="347"/>
      <c r="C136" s="51" t="s">
        <v>1042</v>
      </c>
      <c r="D136" s="20">
        <v>57</v>
      </c>
      <c r="E136" s="31">
        <v>384</v>
      </c>
      <c r="F136" s="31">
        <v>339</v>
      </c>
      <c r="G136" s="31">
        <v>0</v>
      </c>
      <c r="H136" s="31">
        <v>43</v>
      </c>
      <c r="I136" s="31">
        <v>2</v>
      </c>
      <c r="J136" s="31">
        <v>0</v>
      </c>
      <c r="K136" s="31">
        <v>15</v>
      </c>
      <c r="L136" s="31">
        <v>202</v>
      </c>
      <c r="M136" s="31">
        <v>44</v>
      </c>
      <c r="N136" s="31">
        <v>0</v>
      </c>
    </row>
    <row r="137" spans="1:14" ht="21.75" customHeight="1" x14ac:dyDescent="0.2">
      <c r="A137" s="350"/>
      <c r="B137" s="313" t="s">
        <v>1043</v>
      </c>
      <c r="C137" s="315"/>
      <c r="D137" s="20">
        <v>58</v>
      </c>
      <c r="E137" s="31">
        <v>9858</v>
      </c>
      <c r="F137" s="31">
        <v>7012</v>
      </c>
      <c r="G137" s="31">
        <v>17</v>
      </c>
      <c r="H137" s="31">
        <v>2771</v>
      </c>
      <c r="I137" s="31">
        <v>56</v>
      </c>
      <c r="J137" s="31">
        <v>0</v>
      </c>
      <c r="K137" s="31" t="s">
        <v>1003</v>
      </c>
      <c r="L137" s="31" t="s">
        <v>1003</v>
      </c>
      <c r="M137" s="31" t="s">
        <v>1003</v>
      </c>
      <c r="N137" s="31" t="s">
        <v>1003</v>
      </c>
    </row>
    <row r="138" spans="1:14" ht="26.25" customHeight="1" x14ac:dyDescent="0.2">
      <c r="A138" s="319" t="s">
        <v>115</v>
      </c>
      <c r="B138" s="320"/>
      <c r="C138" s="321"/>
      <c r="D138" s="20">
        <v>59</v>
      </c>
      <c r="E138" s="31">
        <f t="shared" ref="E138:N138" si="1">SUM(E80:E137)</f>
        <v>315299</v>
      </c>
      <c r="F138" s="31">
        <f t="shared" si="1"/>
        <v>233057</v>
      </c>
      <c r="G138" s="31">
        <f t="shared" si="1"/>
        <v>55</v>
      </c>
      <c r="H138" s="31">
        <f t="shared" si="1"/>
        <v>81320</v>
      </c>
      <c r="I138" s="31">
        <f t="shared" si="1"/>
        <v>835</v>
      </c>
      <c r="J138" s="31">
        <f t="shared" si="1"/>
        <v>2</v>
      </c>
      <c r="K138" s="31">
        <f t="shared" si="1"/>
        <v>41810</v>
      </c>
      <c r="L138" s="31">
        <f t="shared" si="1"/>
        <v>92402</v>
      </c>
      <c r="M138" s="31">
        <f t="shared" si="1"/>
        <v>3307</v>
      </c>
      <c r="N138" s="31">
        <f t="shared" si="1"/>
        <v>3324</v>
      </c>
    </row>
    <row r="139" spans="1:14" ht="24.75" customHeight="1" x14ac:dyDescent="0.2">
      <c r="A139" s="354" t="s">
        <v>967</v>
      </c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85"/>
    </row>
    <row r="140" spans="1:14" ht="15.75" customHeight="1" x14ac:dyDescent="0.25">
      <c r="A140" s="355" t="s">
        <v>1054</v>
      </c>
      <c r="B140" s="355"/>
      <c r="C140" s="355"/>
      <c r="D140" s="355"/>
      <c r="E140" s="355"/>
      <c r="F140" s="355"/>
      <c r="G140" s="355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8"/>
      <c r="B141" s="179"/>
      <c r="C141" s="180"/>
      <c r="D141" s="348" t="s">
        <v>15</v>
      </c>
      <c r="E141" s="216" t="s">
        <v>1150</v>
      </c>
      <c r="F141" s="356" t="s">
        <v>969</v>
      </c>
      <c r="G141" s="356"/>
      <c r="H141" s="356"/>
      <c r="I141" s="356"/>
      <c r="J141" s="357"/>
      <c r="K141" s="358" t="s">
        <v>970</v>
      </c>
      <c r="L141" s="356"/>
      <c r="M141" s="356"/>
      <c r="N141" s="357"/>
    </row>
    <row r="142" spans="1:14" ht="29.25" customHeight="1" x14ac:dyDescent="0.2">
      <c r="A142" s="181"/>
      <c r="B142" s="182"/>
      <c r="C142" s="183"/>
      <c r="D142" s="349"/>
      <c r="E142" s="233"/>
      <c r="F142" s="216" t="s">
        <v>971</v>
      </c>
      <c r="G142" s="216" t="s">
        <v>972</v>
      </c>
      <c r="H142" s="216" t="s">
        <v>973</v>
      </c>
      <c r="I142" s="216" t="s">
        <v>974</v>
      </c>
      <c r="J142" s="216" t="s">
        <v>975</v>
      </c>
      <c r="K142" s="216" t="s">
        <v>976</v>
      </c>
      <c r="L142" s="216" t="s">
        <v>977</v>
      </c>
      <c r="M142" s="150" t="s">
        <v>978</v>
      </c>
      <c r="N142" s="152"/>
    </row>
    <row r="143" spans="1:14" ht="29.25" customHeight="1" x14ac:dyDescent="0.2">
      <c r="A143" s="184"/>
      <c r="B143" s="185"/>
      <c r="C143" s="186"/>
      <c r="D143" s="350"/>
      <c r="E143" s="217"/>
      <c r="F143" s="217"/>
      <c r="G143" s="217"/>
      <c r="H143" s="217"/>
      <c r="I143" s="217"/>
      <c r="J143" s="217"/>
      <c r="K143" s="217"/>
      <c r="L143" s="217"/>
      <c r="M143" s="49" t="s">
        <v>585</v>
      </c>
      <c r="N143" s="49" t="s">
        <v>979</v>
      </c>
    </row>
    <row r="144" spans="1:14" ht="17.25" customHeight="1" x14ac:dyDescent="0.2">
      <c r="A144" s="351" t="s">
        <v>41</v>
      </c>
      <c r="B144" s="352"/>
      <c r="C144" s="353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01" t="s">
        <v>1055</v>
      </c>
      <c r="B145" s="202"/>
      <c r="C145" s="203"/>
      <c r="D145" s="20">
        <v>1</v>
      </c>
      <c r="E145" s="31">
        <v>21394</v>
      </c>
      <c r="F145" s="31">
        <v>21332</v>
      </c>
      <c r="G145" s="31">
        <v>0</v>
      </c>
      <c r="H145" s="31">
        <v>4</v>
      </c>
      <c r="I145" s="31">
        <v>53</v>
      </c>
      <c r="J145" s="31">
        <v>0</v>
      </c>
      <c r="K145" s="31">
        <v>3</v>
      </c>
      <c r="L145" s="31">
        <v>10373</v>
      </c>
      <c r="M145" s="31">
        <v>753</v>
      </c>
      <c r="N145" s="31">
        <v>695</v>
      </c>
    </row>
    <row r="146" spans="1:14" ht="24" customHeight="1" x14ac:dyDescent="0.2">
      <c r="A146" s="348" t="s">
        <v>1056</v>
      </c>
      <c r="B146" s="201" t="s">
        <v>1050</v>
      </c>
      <c r="C146" s="203"/>
      <c r="D146" s="20">
        <v>2</v>
      </c>
      <c r="E146" s="31">
        <v>7050</v>
      </c>
      <c r="F146" s="31">
        <v>7040</v>
      </c>
      <c r="G146" s="31">
        <v>0</v>
      </c>
      <c r="H146" s="31">
        <v>0</v>
      </c>
      <c r="I146" s="31">
        <v>10</v>
      </c>
      <c r="J146" s="31">
        <v>0</v>
      </c>
      <c r="K146" s="31">
        <v>1</v>
      </c>
      <c r="L146" s="31">
        <v>3785</v>
      </c>
      <c r="M146" s="31">
        <v>61</v>
      </c>
      <c r="N146" s="31">
        <v>4</v>
      </c>
    </row>
    <row r="147" spans="1:14" ht="24" customHeight="1" x14ac:dyDescent="0.2">
      <c r="A147" s="349"/>
      <c r="B147" s="201" t="s">
        <v>1051</v>
      </c>
      <c r="C147" s="203"/>
      <c r="D147" s="20">
        <v>3</v>
      </c>
      <c r="E147" s="31">
        <v>15</v>
      </c>
      <c r="F147" s="31">
        <v>15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</row>
    <row r="148" spans="1:14" ht="24" customHeight="1" x14ac:dyDescent="0.2">
      <c r="A148" s="350"/>
      <c r="B148" s="201" t="s">
        <v>62</v>
      </c>
      <c r="C148" s="203"/>
      <c r="D148" s="20">
        <v>4</v>
      </c>
      <c r="E148" s="31">
        <v>2370</v>
      </c>
      <c r="F148" s="31">
        <v>2360</v>
      </c>
      <c r="G148" s="31">
        <v>0</v>
      </c>
      <c r="H148" s="31">
        <v>1</v>
      </c>
      <c r="I148" s="31">
        <v>8</v>
      </c>
      <c r="J148" s="31">
        <v>0</v>
      </c>
      <c r="K148" s="31">
        <v>0</v>
      </c>
      <c r="L148" s="31">
        <v>1905</v>
      </c>
      <c r="M148" s="31">
        <v>48</v>
      </c>
      <c r="N148" s="31">
        <v>71</v>
      </c>
    </row>
    <row r="149" spans="1:14" ht="24" customHeight="1" x14ac:dyDescent="0.2">
      <c r="A149" s="348" t="s">
        <v>1001</v>
      </c>
      <c r="B149" s="201" t="s">
        <v>1002</v>
      </c>
      <c r="C149" s="203"/>
      <c r="D149" s="20">
        <v>5</v>
      </c>
      <c r="E149" s="31">
        <v>6</v>
      </c>
      <c r="F149" s="31">
        <v>6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3</v>
      </c>
      <c r="M149" s="31" t="s">
        <v>1003</v>
      </c>
      <c r="N149" s="31" t="s">
        <v>1003</v>
      </c>
    </row>
    <row r="150" spans="1:14" ht="24" customHeight="1" x14ac:dyDescent="0.2">
      <c r="A150" s="349"/>
      <c r="B150" s="216" t="s">
        <v>526</v>
      </c>
      <c r="C150" s="69" t="s">
        <v>1005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1003</v>
      </c>
      <c r="N150" s="31" t="s">
        <v>1003</v>
      </c>
    </row>
    <row r="151" spans="1:14" ht="24" customHeight="1" x14ac:dyDescent="0.2">
      <c r="A151" s="349"/>
      <c r="B151" s="233"/>
      <c r="C151" s="69" t="s">
        <v>1006</v>
      </c>
      <c r="D151" s="20">
        <v>7</v>
      </c>
      <c r="E151" s="31">
        <v>2</v>
      </c>
      <c r="F151" s="31">
        <v>2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2</v>
      </c>
      <c r="M151" s="31" t="s">
        <v>1003</v>
      </c>
      <c r="N151" s="31" t="s">
        <v>1003</v>
      </c>
    </row>
    <row r="152" spans="1:14" ht="24" customHeight="1" x14ac:dyDescent="0.2">
      <c r="A152" s="349"/>
      <c r="B152" s="233"/>
      <c r="C152" s="69" t="s">
        <v>1007</v>
      </c>
      <c r="D152" s="20">
        <v>8</v>
      </c>
      <c r="E152" s="31">
        <v>3</v>
      </c>
      <c r="F152" s="31">
        <v>3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1003</v>
      </c>
      <c r="N152" s="31" t="s">
        <v>1003</v>
      </c>
    </row>
    <row r="153" spans="1:14" ht="24" customHeight="1" x14ac:dyDescent="0.2">
      <c r="A153" s="349"/>
      <c r="B153" s="233"/>
      <c r="C153" s="32" t="s">
        <v>1008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1003</v>
      </c>
      <c r="N153" s="31" t="s">
        <v>1003</v>
      </c>
    </row>
    <row r="154" spans="1:14" ht="24" customHeight="1" x14ac:dyDescent="0.2">
      <c r="A154" s="349"/>
      <c r="B154" s="217"/>
      <c r="C154" s="69" t="s">
        <v>1009</v>
      </c>
      <c r="D154" s="20">
        <v>10</v>
      </c>
      <c r="E154" s="31">
        <v>1</v>
      </c>
      <c r="F154" s="31">
        <v>1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1</v>
      </c>
      <c r="M154" s="31" t="s">
        <v>1003</v>
      </c>
      <c r="N154" s="31" t="s">
        <v>1003</v>
      </c>
    </row>
    <row r="155" spans="1:14" ht="24" customHeight="1" x14ac:dyDescent="0.2">
      <c r="A155" s="349"/>
      <c r="B155" s="201" t="s">
        <v>1010</v>
      </c>
      <c r="C155" s="203"/>
      <c r="D155" s="20">
        <v>11</v>
      </c>
      <c r="E155" s="31">
        <v>5</v>
      </c>
      <c r="F155" s="31">
        <v>5</v>
      </c>
      <c r="G155" s="31">
        <v>0</v>
      </c>
      <c r="H155" s="31">
        <v>0</v>
      </c>
      <c r="I155" s="31">
        <v>0</v>
      </c>
      <c r="J155" s="31">
        <v>0</v>
      </c>
      <c r="K155" s="31">
        <v>0</v>
      </c>
      <c r="L155" s="31">
        <v>1</v>
      </c>
      <c r="M155" s="31" t="s">
        <v>1003</v>
      </c>
      <c r="N155" s="31" t="s">
        <v>1003</v>
      </c>
    </row>
    <row r="156" spans="1:14" ht="24" customHeight="1" x14ac:dyDescent="0.2">
      <c r="A156" s="349"/>
      <c r="B156" s="216" t="s">
        <v>32</v>
      </c>
      <c r="C156" s="69" t="s">
        <v>1011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1003</v>
      </c>
      <c r="N156" s="31" t="s">
        <v>1003</v>
      </c>
    </row>
    <row r="157" spans="1:14" ht="24" customHeight="1" x14ac:dyDescent="0.2">
      <c r="A157" s="350"/>
      <c r="B157" s="217"/>
      <c r="C157" s="69" t="s">
        <v>1012</v>
      </c>
      <c r="D157" s="20">
        <v>13</v>
      </c>
      <c r="E157" s="31">
        <v>5</v>
      </c>
      <c r="F157" s="31">
        <v>5</v>
      </c>
      <c r="G157" s="31">
        <v>0</v>
      </c>
      <c r="H157" s="31">
        <v>0</v>
      </c>
      <c r="I157" s="31">
        <v>0</v>
      </c>
      <c r="J157" s="31">
        <v>0</v>
      </c>
      <c r="K157" s="31">
        <v>0</v>
      </c>
      <c r="L157" s="31">
        <v>1</v>
      </c>
      <c r="M157" s="31" t="s">
        <v>1003</v>
      </c>
      <c r="N157" s="31" t="s">
        <v>1003</v>
      </c>
    </row>
    <row r="158" spans="1:14" ht="24" customHeight="1" x14ac:dyDescent="0.2">
      <c r="A158" s="348" t="s">
        <v>1001</v>
      </c>
      <c r="B158" s="201" t="s">
        <v>1013</v>
      </c>
      <c r="C158" s="203"/>
      <c r="D158" s="20">
        <v>14</v>
      </c>
      <c r="E158" s="31">
        <v>111</v>
      </c>
      <c r="F158" s="31">
        <v>111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74</v>
      </c>
      <c r="M158" s="31" t="s">
        <v>1003</v>
      </c>
      <c r="N158" s="31" t="s">
        <v>1003</v>
      </c>
    </row>
    <row r="159" spans="1:14" ht="24" customHeight="1" x14ac:dyDescent="0.2">
      <c r="A159" s="349"/>
      <c r="B159" s="201" t="s">
        <v>1014</v>
      </c>
      <c r="C159" s="203"/>
      <c r="D159" s="20">
        <v>15</v>
      </c>
      <c r="E159" s="31">
        <v>957</v>
      </c>
      <c r="F159" s="31">
        <v>956</v>
      </c>
      <c r="G159" s="31">
        <v>0</v>
      </c>
      <c r="H159" s="31">
        <v>0</v>
      </c>
      <c r="I159" s="31">
        <v>0</v>
      </c>
      <c r="J159" s="31">
        <v>0</v>
      </c>
      <c r="K159" s="31">
        <v>2</v>
      </c>
      <c r="L159" s="31">
        <v>563</v>
      </c>
      <c r="M159" s="31" t="s">
        <v>1003</v>
      </c>
      <c r="N159" s="31" t="s">
        <v>1003</v>
      </c>
    </row>
    <row r="160" spans="1:14" ht="24" customHeight="1" x14ac:dyDescent="0.2">
      <c r="A160" s="349"/>
      <c r="B160" s="201" t="s">
        <v>1015</v>
      </c>
      <c r="C160" s="203"/>
      <c r="D160" s="20">
        <v>16</v>
      </c>
      <c r="E160" s="31">
        <v>108</v>
      </c>
      <c r="F160" s="31">
        <v>108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26</v>
      </c>
      <c r="M160" s="31">
        <v>0</v>
      </c>
      <c r="N160" s="31">
        <v>1</v>
      </c>
    </row>
    <row r="161" spans="1:14" ht="24" customHeight="1" x14ac:dyDescent="0.2">
      <c r="A161" s="349"/>
      <c r="B161" s="201" t="s">
        <v>1053</v>
      </c>
      <c r="C161" s="203"/>
      <c r="D161" s="20">
        <v>17</v>
      </c>
      <c r="E161" s="31">
        <v>65</v>
      </c>
      <c r="F161" s="31">
        <v>64</v>
      </c>
      <c r="G161" s="31">
        <v>0</v>
      </c>
      <c r="H161" s="31">
        <v>0</v>
      </c>
      <c r="I161" s="31">
        <v>1</v>
      </c>
      <c r="J161" s="31">
        <v>0</v>
      </c>
      <c r="K161" s="31">
        <v>0</v>
      </c>
      <c r="L161" s="31">
        <v>3</v>
      </c>
      <c r="M161" s="31" t="s">
        <v>1017</v>
      </c>
      <c r="N161" s="31" t="s">
        <v>1017</v>
      </c>
    </row>
    <row r="162" spans="1:14" ht="24" customHeight="1" x14ac:dyDescent="0.2">
      <c r="A162" s="349"/>
      <c r="B162" s="201" t="s">
        <v>1018</v>
      </c>
      <c r="C162" s="203"/>
      <c r="D162" s="20">
        <v>18</v>
      </c>
      <c r="E162" s="31">
        <v>123</v>
      </c>
      <c r="F162" s="31">
        <v>123</v>
      </c>
      <c r="G162" s="31">
        <v>0</v>
      </c>
      <c r="H162" s="31">
        <v>0</v>
      </c>
      <c r="I162" s="31">
        <v>0</v>
      </c>
      <c r="J162" s="31">
        <v>0</v>
      </c>
      <c r="K162" s="31">
        <v>0</v>
      </c>
      <c r="L162" s="31">
        <v>81</v>
      </c>
      <c r="M162" s="31">
        <v>2</v>
      </c>
      <c r="N162" s="31">
        <v>6</v>
      </c>
    </row>
    <row r="163" spans="1:14" ht="29.25" customHeight="1" x14ac:dyDescent="0.2">
      <c r="A163" s="349"/>
      <c r="B163" s="138" t="s">
        <v>1019</v>
      </c>
      <c r="C163" s="140"/>
      <c r="D163" s="20">
        <v>19</v>
      </c>
      <c r="E163" s="31">
        <v>53</v>
      </c>
      <c r="F163" s="31">
        <v>53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20</v>
      </c>
      <c r="M163" s="31">
        <v>0</v>
      </c>
      <c r="N163" s="31">
        <v>0</v>
      </c>
    </row>
    <row r="164" spans="1:14" ht="29.25" customHeight="1" x14ac:dyDescent="0.2">
      <c r="A164" s="349"/>
      <c r="B164" s="216" t="s">
        <v>32</v>
      </c>
      <c r="C164" s="69" t="s">
        <v>1020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1003</v>
      </c>
      <c r="N164" s="31" t="s">
        <v>1003</v>
      </c>
    </row>
    <row r="165" spans="1:14" ht="29.25" customHeight="1" x14ac:dyDescent="0.2">
      <c r="A165" s="349"/>
      <c r="B165" s="217"/>
      <c r="C165" s="32" t="s">
        <v>1021</v>
      </c>
      <c r="D165" s="20">
        <v>21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9"/>
      <c r="B166" s="201" t="s">
        <v>1022</v>
      </c>
      <c r="C166" s="203"/>
      <c r="D166" s="20">
        <v>22</v>
      </c>
      <c r="E166" s="31">
        <v>60</v>
      </c>
      <c r="F166" s="31">
        <v>60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25</v>
      </c>
      <c r="M166" s="31" t="s">
        <v>1003</v>
      </c>
      <c r="N166" s="31" t="s">
        <v>1003</v>
      </c>
    </row>
    <row r="167" spans="1:14" ht="29.25" customHeight="1" x14ac:dyDescent="0.2">
      <c r="A167" s="349"/>
      <c r="B167" s="20" t="s">
        <v>34</v>
      </c>
      <c r="C167" s="69" t="s">
        <v>1023</v>
      </c>
      <c r="D167" s="20">
        <v>23</v>
      </c>
      <c r="E167" s="31">
        <v>9</v>
      </c>
      <c r="F167" s="31">
        <v>9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2</v>
      </c>
      <c r="M167" s="31" t="s">
        <v>1003</v>
      </c>
      <c r="N167" s="31" t="s">
        <v>1003</v>
      </c>
    </row>
    <row r="168" spans="1:14" ht="29.25" customHeight="1" x14ac:dyDescent="0.2">
      <c r="A168" s="349"/>
      <c r="B168" s="201" t="s">
        <v>1024</v>
      </c>
      <c r="C168" s="203"/>
      <c r="D168" s="20">
        <v>24</v>
      </c>
      <c r="E168" s="31">
        <v>117</v>
      </c>
      <c r="F168" s="31">
        <v>117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109</v>
      </c>
      <c r="M168" s="31" t="s">
        <v>1003</v>
      </c>
      <c r="N168" s="31" t="s">
        <v>1003</v>
      </c>
    </row>
    <row r="169" spans="1:14" ht="29.25" customHeight="1" x14ac:dyDescent="0.2">
      <c r="A169" s="349"/>
      <c r="B169" s="20" t="s">
        <v>34</v>
      </c>
      <c r="C169" s="69" t="s">
        <v>1025</v>
      </c>
      <c r="D169" s="20">
        <v>25</v>
      </c>
      <c r="E169" s="31">
        <v>13</v>
      </c>
      <c r="F169" s="31">
        <v>13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11</v>
      </c>
      <c r="M169" s="31" t="s">
        <v>1003</v>
      </c>
      <c r="N169" s="31" t="s">
        <v>1003</v>
      </c>
    </row>
    <row r="170" spans="1:14" ht="29.25" customHeight="1" x14ac:dyDescent="0.2">
      <c r="A170" s="349"/>
      <c r="B170" s="348" t="s">
        <v>1026</v>
      </c>
      <c r="C170" s="32" t="s">
        <v>1027</v>
      </c>
      <c r="D170" s="20">
        <v>26</v>
      </c>
      <c r="E170" s="31">
        <v>9</v>
      </c>
      <c r="F170" s="31">
        <v>9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2</v>
      </c>
      <c r="M170" s="31" t="s">
        <v>1003</v>
      </c>
      <c r="N170" s="31" t="s">
        <v>1003</v>
      </c>
    </row>
    <row r="171" spans="1:14" ht="29.25" customHeight="1" x14ac:dyDescent="0.2">
      <c r="A171" s="349"/>
      <c r="B171" s="349"/>
      <c r="C171" s="32" t="s">
        <v>1028</v>
      </c>
      <c r="D171" s="20">
        <v>27</v>
      </c>
      <c r="E171" s="31">
        <v>9</v>
      </c>
      <c r="F171" s="31">
        <v>9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2</v>
      </c>
      <c r="M171" s="31" t="s">
        <v>1017</v>
      </c>
      <c r="N171" s="31" t="s">
        <v>1017</v>
      </c>
    </row>
    <row r="172" spans="1:14" ht="29.25" customHeight="1" x14ac:dyDescent="0.2">
      <c r="A172" s="349"/>
      <c r="B172" s="349"/>
      <c r="C172" s="32" t="s">
        <v>1029</v>
      </c>
      <c r="D172" s="20">
        <v>28</v>
      </c>
      <c r="E172" s="31">
        <v>1</v>
      </c>
      <c r="F172" s="31">
        <v>1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1</v>
      </c>
      <c r="M172" s="31" t="s">
        <v>1003</v>
      </c>
      <c r="N172" s="31" t="s">
        <v>1003</v>
      </c>
    </row>
    <row r="173" spans="1:14" ht="29.25" customHeight="1" x14ac:dyDescent="0.2">
      <c r="A173" s="349"/>
      <c r="B173" s="349"/>
      <c r="C173" s="32" t="s">
        <v>1028</v>
      </c>
      <c r="D173" s="20">
        <v>29</v>
      </c>
      <c r="E173" s="31">
        <v>1</v>
      </c>
      <c r="F173" s="31">
        <v>1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1</v>
      </c>
      <c r="M173" s="31" t="s">
        <v>1017</v>
      </c>
      <c r="N173" s="31" t="s">
        <v>1017</v>
      </c>
    </row>
    <row r="174" spans="1:14" ht="29.25" customHeight="1" x14ac:dyDescent="0.2">
      <c r="A174" s="349"/>
      <c r="B174" s="349"/>
      <c r="C174" s="32" t="s">
        <v>1030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1003</v>
      </c>
      <c r="N174" s="31" t="s">
        <v>1003</v>
      </c>
    </row>
    <row r="175" spans="1:14" ht="29.25" customHeight="1" x14ac:dyDescent="0.2">
      <c r="A175" s="349"/>
      <c r="B175" s="349"/>
      <c r="C175" s="69" t="s">
        <v>1031</v>
      </c>
      <c r="D175" s="20">
        <v>31</v>
      </c>
      <c r="E175" s="31">
        <v>2</v>
      </c>
      <c r="F175" s="31">
        <v>2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1</v>
      </c>
      <c r="M175" s="31" t="s">
        <v>1003</v>
      </c>
      <c r="N175" s="31" t="s">
        <v>1003</v>
      </c>
    </row>
    <row r="176" spans="1:14" ht="29.25" customHeight="1" x14ac:dyDescent="0.2">
      <c r="A176" s="349"/>
      <c r="B176" s="349"/>
      <c r="C176" s="69" t="s">
        <v>1032</v>
      </c>
      <c r="D176" s="20">
        <v>32</v>
      </c>
      <c r="E176" s="31">
        <v>19</v>
      </c>
      <c r="F176" s="31">
        <v>19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7</v>
      </c>
      <c r="M176" s="31" t="s">
        <v>1003</v>
      </c>
      <c r="N176" s="31" t="s">
        <v>1003</v>
      </c>
    </row>
    <row r="177" spans="1:14" ht="29.25" customHeight="1" x14ac:dyDescent="0.2">
      <c r="A177" s="349"/>
      <c r="B177" s="349"/>
      <c r="C177" s="69" t="s">
        <v>1033</v>
      </c>
      <c r="D177" s="20">
        <v>33</v>
      </c>
      <c r="E177" s="31">
        <v>5</v>
      </c>
      <c r="F177" s="31">
        <v>5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4</v>
      </c>
      <c r="M177" s="31" t="s">
        <v>1003</v>
      </c>
      <c r="N177" s="31" t="s">
        <v>1003</v>
      </c>
    </row>
    <row r="178" spans="1:14" ht="29.25" customHeight="1" x14ac:dyDescent="0.2">
      <c r="A178" s="349"/>
      <c r="B178" s="349"/>
      <c r="C178" s="69" t="s">
        <v>1034</v>
      </c>
      <c r="D178" s="20">
        <v>34</v>
      </c>
      <c r="E178" s="31">
        <v>16</v>
      </c>
      <c r="F178" s="31">
        <v>16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6</v>
      </c>
      <c r="M178" s="31" t="s">
        <v>1003</v>
      </c>
      <c r="N178" s="31" t="s">
        <v>1003</v>
      </c>
    </row>
    <row r="179" spans="1:14" ht="29.25" customHeight="1" x14ac:dyDescent="0.2">
      <c r="A179" s="349"/>
      <c r="B179" s="349"/>
      <c r="C179" s="69" t="s">
        <v>90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1003</v>
      </c>
      <c r="N179" s="31" t="s">
        <v>1003</v>
      </c>
    </row>
    <row r="180" spans="1:14" ht="29.25" customHeight="1" x14ac:dyDescent="0.2">
      <c r="A180" s="349"/>
      <c r="B180" s="349"/>
      <c r="C180" s="32" t="s">
        <v>972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1003</v>
      </c>
      <c r="N180" s="31" t="s">
        <v>1003</v>
      </c>
    </row>
    <row r="181" spans="1:14" ht="29.25" customHeight="1" x14ac:dyDescent="0.2">
      <c r="A181" s="349"/>
      <c r="B181" s="349"/>
      <c r="C181" s="69" t="s">
        <v>1035</v>
      </c>
      <c r="D181" s="20">
        <v>37</v>
      </c>
      <c r="E181" s="31">
        <v>1</v>
      </c>
      <c r="F181" s="31">
        <v>1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1</v>
      </c>
      <c r="M181" s="31" t="s">
        <v>1003</v>
      </c>
      <c r="N181" s="31" t="s">
        <v>1003</v>
      </c>
    </row>
    <row r="182" spans="1:14" ht="29.25" customHeight="1" x14ac:dyDescent="0.2">
      <c r="A182" s="349"/>
      <c r="B182" s="349"/>
      <c r="C182" s="69" t="s">
        <v>1036</v>
      </c>
      <c r="D182" s="20">
        <v>38</v>
      </c>
      <c r="E182" s="31">
        <v>5</v>
      </c>
      <c r="F182" s="31">
        <v>5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1003</v>
      </c>
      <c r="N182" s="31" t="s">
        <v>1003</v>
      </c>
    </row>
    <row r="183" spans="1:14" ht="29.25" customHeight="1" x14ac:dyDescent="0.2">
      <c r="A183" s="349"/>
      <c r="B183" s="349"/>
      <c r="C183" s="69" t="s">
        <v>974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1017</v>
      </c>
      <c r="N183" s="31" t="s">
        <v>1017</v>
      </c>
    </row>
    <row r="184" spans="1:14" ht="29.25" customHeight="1" x14ac:dyDescent="0.2">
      <c r="A184" s="349"/>
      <c r="B184" s="350"/>
      <c r="C184" s="69" t="s">
        <v>975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1017</v>
      </c>
      <c r="N184" s="31" t="s">
        <v>1017</v>
      </c>
    </row>
    <row r="185" spans="1:14" ht="29.25" customHeight="1" x14ac:dyDescent="0.2">
      <c r="A185" s="349"/>
      <c r="B185" s="201" t="s">
        <v>1037</v>
      </c>
      <c r="C185" s="203"/>
      <c r="D185" s="20">
        <v>41</v>
      </c>
      <c r="E185" s="31">
        <v>361</v>
      </c>
      <c r="F185" s="31">
        <v>358</v>
      </c>
      <c r="G185" s="31">
        <v>0</v>
      </c>
      <c r="H185" s="31">
        <v>3</v>
      </c>
      <c r="I185" s="31">
        <v>0</v>
      </c>
      <c r="J185" s="31">
        <v>0</v>
      </c>
      <c r="K185" s="31">
        <v>0</v>
      </c>
      <c r="L185" s="31">
        <v>15</v>
      </c>
      <c r="M185" s="31" t="s">
        <v>1003</v>
      </c>
      <c r="N185" s="31" t="s">
        <v>1003</v>
      </c>
    </row>
    <row r="186" spans="1:14" ht="29.25" customHeight="1" x14ac:dyDescent="0.2">
      <c r="A186" s="349"/>
      <c r="B186" s="345" t="s">
        <v>1038</v>
      </c>
      <c r="C186" s="51" t="s">
        <v>1039</v>
      </c>
      <c r="D186" s="20">
        <v>42</v>
      </c>
      <c r="E186" s="31">
        <v>1146</v>
      </c>
      <c r="F186" s="31">
        <v>1144</v>
      </c>
      <c r="G186" s="31">
        <v>0</v>
      </c>
      <c r="H186" s="31">
        <v>0</v>
      </c>
      <c r="I186" s="31">
        <v>2</v>
      </c>
      <c r="J186" s="31">
        <v>0</v>
      </c>
      <c r="K186" s="31">
        <v>0</v>
      </c>
      <c r="L186" s="31">
        <v>426</v>
      </c>
      <c r="M186" s="31">
        <v>535</v>
      </c>
      <c r="N186" s="31">
        <v>594</v>
      </c>
    </row>
    <row r="187" spans="1:14" ht="29.25" customHeight="1" x14ac:dyDescent="0.2">
      <c r="A187" s="349"/>
      <c r="B187" s="346"/>
      <c r="C187" s="51" t="s">
        <v>1040</v>
      </c>
      <c r="D187" s="20">
        <v>43</v>
      </c>
      <c r="E187" s="31">
        <v>138</v>
      </c>
      <c r="F187" s="31">
        <v>137</v>
      </c>
      <c r="G187" s="31">
        <v>0</v>
      </c>
      <c r="H187" s="31">
        <v>0</v>
      </c>
      <c r="I187" s="31">
        <v>1</v>
      </c>
      <c r="J187" s="31">
        <v>0</v>
      </c>
      <c r="K187" s="31">
        <v>0</v>
      </c>
      <c r="L187" s="31">
        <v>45</v>
      </c>
      <c r="M187" s="31">
        <v>92</v>
      </c>
      <c r="N187" s="31">
        <v>0</v>
      </c>
    </row>
    <row r="188" spans="1:14" ht="29.25" customHeight="1" x14ac:dyDescent="0.2">
      <c r="A188" s="349"/>
      <c r="B188" s="346"/>
      <c r="C188" s="51" t="s">
        <v>1041</v>
      </c>
      <c r="D188" s="20">
        <v>44</v>
      </c>
      <c r="E188" s="31">
        <v>46</v>
      </c>
      <c r="F188" s="31">
        <v>46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10</v>
      </c>
      <c r="M188" s="31">
        <v>27</v>
      </c>
      <c r="N188" s="31">
        <v>0</v>
      </c>
    </row>
    <row r="189" spans="1:14" ht="29.25" customHeight="1" x14ac:dyDescent="0.2">
      <c r="A189" s="349"/>
      <c r="B189" s="347"/>
      <c r="C189" s="51" t="s">
        <v>1042</v>
      </c>
      <c r="D189" s="20">
        <v>45</v>
      </c>
      <c r="E189" s="31">
        <v>185</v>
      </c>
      <c r="F189" s="31">
        <v>185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85</v>
      </c>
      <c r="M189" s="31">
        <v>27</v>
      </c>
      <c r="N189" s="31">
        <v>2</v>
      </c>
    </row>
    <row r="190" spans="1:14" ht="29.25" customHeight="1" x14ac:dyDescent="0.2">
      <c r="A190" s="350"/>
      <c r="B190" s="313" t="s">
        <v>1043</v>
      </c>
      <c r="C190" s="315"/>
      <c r="D190" s="20">
        <v>46</v>
      </c>
      <c r="E190" s="31">
        <v>919</v>
      </c>
      <c r="F190" s="31">
        <v>911</v>
      </c>
      <c r="G190" s="31">
        <v>0</v>
      </c>
      <c r="H190" s="31">
        <v>0</v>
      </c>
      <c r="I190" s="31">
        <v>8</v>
      </c>
      <c r="J190" s="31">
        <v>0</v>
      </c>
      <c r="K190" s="31" t="s">
        <v>1003</v>
      </c>
      <c r="L190" s="31" t="s">
        <v>1003</v>
      </c>
      <c r="M190" s="31" t="s">
        <v>1003</v>
      </c>
      <c r="N190" s="31" t="s">
        <v>1003</v>
      </c>
    </row>
    <row r="191" spans="1:14" ht="29.25" customHeight="1" x14ac:dyDescent="0.2">
      <c r="A191" s="319" t="s">
        <v>115</v>
      </c>
      <c r="B191" s="320"/>
      <c r="C191" s="321"/>
      <c r="D191" s="20">
        <v>47</v>
      </c>
      <c r="E191" s="31">
        <f t="shared" ref="E191:N191" si="2">SUM(E145:E190)</f>
        <v>35330</v>
      </c>
      <c r="F191" s="31">
        <f t="shared" si="2"/>
        <v>35232</v>
      </c>
      <c r="G191" s="31">
        <f t="shared" si="2"/>
        <v>0</v>
      </c>
      <c r="H191" s="31">
        <f t="shared" si="2"/>
        <v>8</v>
      </c>
      <c r="I191" s="31">
        <f t="shared" si="2"/>
        <v>83</v>
      </c>
      <c r="J191" s="31">
        <f t="shared" si="2"/>
        <v>0</v>
      </c>
      <c r="K191" s="31">
        <f t="shared" si="2"/>
        <v>6</v>
      </c>
      <c r="L191" s="31">
        <f t="shared" si="2"/>
        <v>17591</v>
      </c>
      <c r="M191" s="31">
        <f t="shared" si="2"/>
        <v>1545</v>
      </c>
      <c r="N191" s="31">
        <f t="shared" si="2"/>
        <v>1373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60" zoomScaleNormal="11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40" t="s">
        <v>1057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</row>
    <row r="2" spans="1:12" ht="30.75" customHeight="1" x14ac:dyDescent="0.2">
      <c r="A2" s="215" t="s">
        <v>1058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</row>
    <row r="3" spans="1:12" ht="34.35" customHeight="1" x14ac:dyDescent="0.2">
      <c r="A3" s="370"/>
      <c r="B3" s="371"/>
      <c r="C3" s="371"/>
      <c r="D3" s="372"/>
      <c r="E3" s="379" t="s">
        <v>15</v>
      </c>
      <c r="F3" s="190" t="s">
        <v>33</v>
      </c>
      <c r="G3" s="340" t="s">
        <v>1059</v>
      </c>
      <c r="H3" s="382"/>
      <c r="I3" s="382"/>
      <c r="J3" s="382"/>
      <c r="K3" s="382"/>
    </row>
    <row r="4" spans="1:12" ht="17.45" customHeight="1" x14ac:dyDescent="0.2">
      <c r="A4" s="373"/>
      <c r="B4" s="374"/>
      <c r="C4" s="374"/>
      <c r="D4" s="375"/>
      <c r="E4" s="380"/>
      <c r="F4" s="339"/>
      <c r="G4" s="224" t="s">
        <v>971</v>
      </c>
      <c r="H4" s="224" t="s">
        <v>90</v>
      </c>
      <c r="I4" s="224" t="s">
        <v>972</v>
      </c>
      <c r="J4" s="224" t="s">
        <v>974</v>
      </c>
      <c r="K4" s="224" t="s">
        <v>975</v>
      </c>
    </row>
    <row r="5" spans="1:12" ht="42" customHeight="1" x14ac:dyDescent="0.2">
      <c r="A5" s="376"/>
      <c r="B5" s="377"/>
      <c r="C5" s="377"/>
      <c r="D5" s="378"/>
      <c r="E5" s="381"/>
      <c r="F5" s="191"/>
      <c r="G5" s="226"/>
      <c r="H5" s="226"/>
      <c r="I5" s="226"/>
      <c r="J5" s="226"/>
      <c r="K5" s="226"/>
    </row>
    <row r="6" spans="1:12" ht="13.35" customHeight="1" x14ac:dyDescent="0.2">
      <c r="A6" s="351" t="s">
        <v>41</v>
      </c>
      <c r="B6" s="352"/>
      <c r="C6" s="352"/>
      <c r="D6" s="353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304" t="s">
        <v>1060</v>
      </c>
      <c r="B7" s="305"/>
      <c r="C7" s="305"/>
      <c r="D7" s="306"/>
      <c r="E7" s="90">
        <v>1</v>
      </c>
      <c r="F7" s="91">
        <v>33659129.689999998</v>
      </c>
      <c r="G7" s="91">
        <v>5642270.4800000004</v>
      </c>
      <c r="H7" s="91">
        <v>170092.38</v>
      </c>
      <c r="I7" s="91">
        <v>3241794.32</v>
      </c>
      <c r="J7" s="91">
        <v>6266192.8300000001</v>
      </c>
      <c r="K7" s="91">
        <v>18338779.68</v>
      </c>
      <c r="L7" s="88"/>
    </row>
    <row r="8" spans="1:12" ht="27" customHeight="1" x14ac:dyDescent="0.2">
      <c r="A8" s="190" t="s">
        <v>1061</v>
      </c>
      <c r="B8" s="304" t="s">
        <v>1062</v>
      </c>
      <c r="C8" s="305"/>
      <c r="D8" s="306"/>
      <c r="E8" s="90">
        <v>2</v>
      </c>
      <c r="F8" s="91">
        <v>27125308.329999998</v>
      </c>
      <c r="G8" s="91">
        <v>3685071.61</v>
      </c>
      <c r="H8" s="91">
        <v>126368.13</v>
      </c>
      <c r="I8" s="91">
        <v>3119256.32</v>
      </c>
      <c r="J8" s="91">
        <v>2205464.67</v>
      </c>
      <c r="K8" s="91">
        <v>17989147.600000001</v>
      </c>
    </row>
    <row r="9" spans="1:12" ht="27" customHeight="1" x14ac:dyDescent="0.2">
      <c r="A9" s="339"/>
      <c r="B9" s="213" t="s">
        <v>1063</v>
      </c>
      <c r="C9" s="367"/>
      <c r="D9" s="42" t="s">
        <v>1064</v>
      </c>
      <c r="E9" s="90">
        <v>3</v>
      </c>
      <c r="F9" s="91">
        <v>1062292.07</v>
      </c>
      <c r="G9" s="91">
        <v>893916.43</v>
      </c>
      <c r="H9" s="91">
        <v>0</v>
      </c>
      <c r="I9" s="91">
        <v>2877</v>
      </c>
      <c r="J9" s="91">
        <v>10488.64</v>
      </c>
      <c r="K9" s="91">
        <v>155010</v>
      </c>
    </row>
    <row r="10" spans="1:12" ht="27" customHeight="1" x14ac:dyDescent="0.2">
      <c r="A10" s="191"/>
      <c r="B10" s="214"/>
      <c r="C10" s="368"/>
      <c r="D10" s="42" t="s">
        <v>1065</v>
      </c>
      <c r="E10" s="90">
        <v>4</v>
      </c>
      <c r="F10" s="91">
        <v>11281.59</v>
      </c>
      <c r="G10" s="91">
        <v>11242.3</v>
      </c>
      <c r="H10" s="91">
        <v>0</v>
      </c>
      <c r="I10" s="91">
        <v>1.7</v>
      </c>
      <c r="J10" s="91">
        <v>11.59</v>
      </c>
      <c r="K10" s="91">
        <v>26</v>
      </c>
    </row>
    <row r="11" spans="1:12" ht="27" customHeight="1" x14ac:dyDescent="0.2">
      <c r="A11" s="304" t="s">
        <v>1066</v>
      </c>
      <c r="B11" s="305"/>
      <c r="C11" s="305"/>
      <c r="D11" s="306"/>
      <c r="E11" s="90">
        <v>5</v>
      </c>
      <c r="F11" s="91">
        <v>3561997.0520000001</v>
      </c>
      <c r="G11" s="91">
        <v>94401.274999999994</v>
      </c>
      <c r="H11" s="91">
        <v>149</v>
      </c>
      <c r="I11" s="91">
        <v>2716925.9070000001</v>
      </c>
      <c r="J11" s="91">
        <v>206769.87</v>
      </c>
      <c r="K11" s="91">
        <v>543751</v>
      </c>
    </row>
    <row r="12" spans="1:12" ht="27" customHeight="1" x14ac:dyDescent="0.2">
      <c r="A12" s="190" t="s">
        <v>32</v>
      </c>
      <c r="B12" s="174" t="s">
        <v>1067</v>
      </c>
      <c r="C12" s="175"/>
      <c r="D12" s="176"/>
      <c r="E12" s="90">
        <v>6</v>
      </c>
      <c r="F12" s="91">
        <v>735449.13600000006</v>
      </c>
      <c r="G12" s="91">
        <v>62111.49</v>
      </c>
      <c r="H12" s="91">
        <v>0</v>
      </c>
      <c r="I12" s="91">
        <v>673337.64599999995</v>
      </c>
      <c r="J12" s="91">
        <v>0</v>
      </c>
      <c r="K12" s="91">
        <v>0</v>
      </c>
    </row>
    <row r="13" spans="1:12" ht="27" customHeight="1" x14ac:dyDescent="0.2">
      <c r="A13" s="339"/>
      <c r="B13" s="174" t="s">
        <v>1068</v>
      </c>
      <c r="C13" s="175"/>
      <c r="D13" s="176"/>
      <c r="E13" s="90">
        <v>7</v>
      </c>
      <c r="F13" s="91">
        <v>1005548.66</v>
      </c>
      <c r="G13" s="91">
        <v>16196.853999999999</v>
      </c>
      <c r="H13" s="91">
        <v>0</v>
      </c>
      <c r="I13" s="91">
        <v>935067.79200000002</v>
      </c>
      <c r="J13" s="91">
        <v>54284.014000000003</v>
      </c>
      <c r="K13" s="91">
        <v>0</v>
      </c>
    </row>
    <row r="14" spans="1:12" ht="27" customHeight="1" x14ac:dyDescent="0.2">
      <c r="A14" s="339"/>
      <c r="B14" s="174" t="s">
        <v>1069</v>
      </c>
      <c r="C14" s="175"/>
      <c r="D14" s="176"/>
      <c r="E14" s="90">
        <v>8</v>
      </c>
      <c r="F14" s="91">
        <v>186402</v>
      </c>
      <c r="G14" s="91">
        <v>0</v>
      </c>
      <c r="H14" s="91">
        <v>0</v>
      </c>
      <c r="I14" s="91">
        <v>58883</v>
      </c>
      <c r="J14" s="91">
        <v>127519</v>
      </c>
      <c r="K14" s="91">
        <v>0</v>
      </c>
    </row>
    <row r="15" spans="1:12" ht="27" customHeight="1" x14ac:dyDescent="0.2">
      <c r="A15" s="191"/>
      <c r="B15" s="174" t="s">
        <v>1070</v>
      </c>
      <c r="C15" s="175"/>
      <c r="D15" s="176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74" t="s">
        <v>1071</v>
      </c>
      <c r="B16" s="175"/>
      <c r="C16" s="175"/>
      <c r="D16" s="176"/>
      <c r="E16" s="90">
        <v>10</v>
      </c>
      <c r="F16" s="91">
        <v>48297</v>
      </c>
      <c r="G16" s="91">
        <v>0</v>
      </c>
      <c r="H16" s="91">
        <v>0</v>
      </c>
      <c r="I16" s="91">
        <v>48297</v>
      </c>
      <c r="J16" s="91">
        <v>0</v>
      </c>
      <c r="K16" s="91">
        <v>0</v>
      </c>
    </row>
    <row r="17" spans="1:11" ht="27" customHeight="1" x14ac:dyDescent="0.2">
      <c r="A17" s="174" t="s">
        <v>1072</v>
      </c>
      <c r="B17" s="175"/>
      <c r="C17" s="175"/>
      <c r="D17" s="176"/>
      <c r="E17" s="90">
        <v>11</v>
      </c>
      <c r="F17" s="91">
        <v>146823.75</v>
      </c>
      <c r="G17" s="91">
        <v>3457.75</v>
      </c>
      <c r="H17" s="91">
        <v>0</v>
      </c>
      <c r="I17" s="91">
        <v>143366</v>
      </c>
      <c r="J17" s="91">
        <v>0</v>
      </c>
      <c r="K17" s="91">
        <v>0</v>
      </c>
    </row>
    <row r="18" spans="1:11" ht="27" customHeight="1" x14ac:dyDescent="0.2">
      <c r="A18" s="174" t="s">
        <v>1073</v>
      </c>
      <c r="B18" s="175"/>
      <c r="C18" s="175"/>
      <c r="D18" s="176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74" t="s">
        <v>1074</v>
      </c>
      <c r="B19" s="175"/>
      <c r="C19" s="175"/>
      <c r="D19" s="176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74" t="s">
        <v>1075</v>
      </c>
      <c r="B20" s="175"/>
      <c r="C20" s="175"/>
      <c r="D20" s="176"/>
      <c r="E20" s="90">
        <v>14</v>
      </c>
      <c r="F20" s="91">
        <v>72407</v>
      </c>
      <c r="G20" s="91">
        <v>4845</v>
      </c>
      <c r="H20" s="91">
        <v>0</v>
      </c>
      <c r="I20" s="91">
        <v>67562</v>
      </c>
      <c r="J20" s="91">
        <v>0</v>
      </c>
      <c r="K20" s="91">
        <v>0</v>
      </c>
    </row>
    <row r="21" spans="1:11" ht="27" customHeight="1" x14ac:dyDescent="0.2">
      <c r="A21" s="304" t="s">
        <v>1076</v>
      </c>
      <c r="B21" s="305"/>
      <c r="C21" s="305"/>
      <c r="D21" s="306"/>
      <c r="E21" s="90">
        <v>15</v>
      </c>
      <c r="F21" s="91">
        <v>10163634.35</v>
      </c>
      <c r="G21" s="91">
        <v>1692624.09</v>
      </c>
      <c r="H21" s="91">
        <v>3911.8</v>
      </c>
      <c r="I21" s="91">
        <v>2684754.21</v>
      </c>
      <c r="J21" s="91">
        <v>175059.37</v>
      </c>
      <c r="K21" s="91">
        <v>5607284.8799999999</v>
      </c>
    </row>
    <row r="22" spans="1:11" ht="27" customHeight="1" x14ac:dyDescent="0.2">
      <c r="A22" s="190" t="s">
        <v>1061</v>
      </c>
      <c r="B22" s="304" t="s">
        <v>1062</v>
      </c>
      <c r="C22" s="305"/>
      <c r="D22" s="306"/>
      <c r="E22" s="90">
        <v>16</v>
      </c>
      <c r="F22" s="91">
        <v>9447977.1999999993</v>
      </c>
      <c r="G22" s="91">
        <v>1081422.49</v>
      </c>
      <c r="H22" s="91">
        <v>2937.09</v>
      </c>
      <c r="I22" s="91">
        <v>2640990.21</v>
      </c>
      <c r="J22" s="91">
        <v>170102.61</v>
      </c>
      <c r="K22" s="91">
        <v>5552524.7999999998</v>
      </c>
    </row>
    <row r="23" spans="1:11" ht="27" customHeight="1" x14ac:dyDescent="0.2">
      <c r="A23" s="339"/>
      <c r="B23" s="383" t="s">
        <v>1063</v>
      </c>
      <c r="C23" s="384"/>
      <c r="D23" s="42" t="s">
        <v>1064</v>
      </c>
      <c r="E23" s="90">
        <v>17</v>
      </c>
      <c r="F23" s="91">
        <v>694527.34</v>
      </c>
      <c r="G23" s="91">
        <v>639449.26</v>
      </c>
      <c r="H23" s="91">
        <v>0</v>
      </c>
      <c r="I23" s="91">
        <v>0</v>
      </c>
      <c r="J23" s="91">
        <v>318</v>
      </c>
      <c r="K23" s="91">
        <v>54760.08</v>
      </c>
    </row>
    <row r="24" spans="1:11" ht="27" customHeight="1" x14ac:dyDescent="0.2">
      <c r="A24" s="191"/>
      <c r="B24" s="385"/>
      <c r="C24" s="386"/>
      <c r="D24" s="42" t="s">
        <v>1065</v>
      </c>
      <c r="E24" s="90">
        <v>18</v>
      </c>
      <c r="F24" s="91">
        <v>13792.4</v>
      </c>
      <c r="G24" s="91">
        <v>8874.7999999999993</v>
      </c>
      <c r="H24" s="91">
        <v>0</v>
      </c>
      <c r="I24" s="91">
        <v>0</v>
      </c>
      <c r="J24" s="91">
        <v>4</v>
      </c>
      <c r="K24" s="91">
        <v>4913.6000000000004</v>
      </c>
    </row>
    <row r="25" spans="1:11" ht="27" customHeight="1" x14ac:dyDescent="0.2">
      <c r="A25" s="304" t="s">
        <v>1077</v>
      </c>
      <c r="B25" s="305"/>
      <c r="C25" s="305"/>
      <c r="D25" s="306"/>
      <c r="E25" s="90">
        <v>19</v>
      </c>
      <c r="F25" s="91">
        <v>8098876.4900000002</v>
      </c>
      <c r="G25" s="91">
        <v>2548798.3199999998</v>
      </c>
      <c r="H25" s="91">
        <v>439099.1</v>
      </c>
      <c r="I25" s="91">
        <v>1288128.71</v>
      </c>
      <c r="J25" s="91">
        <v>1597289.74</v>
      </c>
      <c r="K25" s="91">
        <v>2225560.62</v>
      </c>
    </row>
    <row r="26" spans="1:11" ht="27" customHeight="1" x14ac:dyDescent="0.2">
      <c r="A26" s="304" t="s">
        <v>1078</v>
      </c>
      <c r="B26" s="305"/>
      <c r="C26" s="305"/>
      <c r="D26" s="306"/>
      <c r="E26" s="90">
        <v>20</v>
      </c>
      <c r="F26" s="91">
        <v>5915718.1799999997</v>
      </c>
      <c r="G26" s="91">
        <v>2393331.35</v>
      </c>
      <c r="H26" s="91">
        <v>78159.070000000007</v>
      </c>
      <c r="I26" s="91">
        <v>245599.39</v>
      </c>
      <c r="J26" s="91">
        <v>726629.88</v>
      </c>
      <c r="K26" s="91">
        <v>2471998.4900000002</v>
      </c>
    </row>
    <row r="27" spans="1:11" ht="27" customHeight="1" x14ac:dyDescent="0.2">
      <c r="A27" s="304" t="s">
        <v>1079</v>
      </c>
      <c r="B27" s="305"/>
      <c r="C27" s="305"/>
      <c r="D27" s="306"/>
      <c r="E27" s="90">
        <v>21</v>
      </c>
      <c r="F27" s="91">
        <v>108166.61599999999</v>
      </c>
      <c r="G27" s="91">
        <v>61888.678</v>
      </c>
      <c r="H27" s="91">
        <v>4291.9780000000001</v>
      </c>
      <c r="I27" s="91">
        <v>0</v>
      </c>
      <c r="J27" s="91">
        <v>23337.077000000001</v>
      </c>
      <c r="K27" s="91">
        <v>18648.883000000002</v>
      </c>
    </row>
    <row r="28" spans="1:11" ht="27" customHeight="1" x14ac:dyDescent="0.2">
      <c r="A28" s="64" t="s">
        <v>32</v>
      </c>
      <c r="B28" s="174" t="s">
        <v>1080</v>
      </c>
      <c r="C28" s="175"/>
      <c r="D28" s="176"/>
      <c r="E28" s="90">
        <v>22</v>
      </c>
      <c r="F28" s="91">
        <v>42360.31</v>
      </c>
      <c r="G28" s="91">
        <v>11804.848</v>
      </c>
      <c r="H28" s="91">
        <v>1474.27</v>
      </c>
      <c r="I28" s="91">
        <v>0</v>
      </c>
      <c r="J28" s="91">
        <v>11338.478999999999</v>
      </c>
      <c r="K28" s="91">
        <v>17742.713</v>
      </c>
    </row>
    <row r="29" spans="1:11" ht="30" customHeight="1" x14ac:dyDescent="0.2">
      <c r="A29" s="304" t="s">
        <v>1081</v>
      </c>
      <c r="B29" s="305"/>
      <c r="C29" s="305"/>
      <c r="D29" s="306"/>
      <c r="E29" s="90">
        <v>23</v>
      </c>
      <c r="F29" s="92">
        <v>8541129.9000000004</v>
      </c>
      <c r="G29" s="91">
        <v>733555.53200000001</v>
      </c>
      <c r="H29" s="91">
        <v>13637</v>
      </c>
      <c r="I29" s="91">
        <v>4976163.0199999996</v>
      </c>
      <c r="J29" s="91">
        <v>994553.51800000004</v>
      </c>
      <c r="K29" s="91">
        <v>1823220.83</v>
      </c>
    </row>
    <row r="30" spans="1:11" ht="30" customHeight="1" x14ac:dyDescent="0.2">
      <c r="A30" s="364" t="s">
        <v>1082</v>
      </c>
      <c r="B30" s="174" t="s">
        <v>1083</v>
      </c>
      <c r="C30" s="175"/>
      <c r="D30" s="176"/>
      <c r="E30" s="90">
        <v>24</v>
      </c>
      <c r="F30" s="92">
        <v>52.86</v>
      </c>
      <c r="G30" s="91">
        <v>52.86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65"/>
      <c r="B31" s="213" t="s">
        <v>1084</v>
      </c>
      <c r="C31" s="367"/>
      <c r="D31" s="41" t="s">
        <v>1085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65"/>
      <c r="B32" s="214"/>
      <c r="C32" s="368"/>
      <c r="D32" s="41" t="s">
        <v>1086</v>
      </c>
      <c r="E32" s="90">
        <v>26</v>
      </c>
      <c r="F32" s="93">
        <v>2247.1619000000001</v>
      </c>
      <c r="G32" s="93">
        <v>2246.2548999999999</v>
      </c>
      <c r="H32" s="93">
        <v>0.90700000000000003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65"/>
      <c r="B33" s="174" t="s">
        <v>1087</v>
      </c>
      <c r="C33" s="175"/>
      <c r="D33" s="176"/>
      <c r="E33" s="90">
        <v>27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65"/>
      <c r="B34" s="379" t="s">
        <v>1088</v>
      </c>
      <c r="C34" s="174" t="s">
        <v>65</v>
      </c>
      <c r="D34" s="176"/>
      <c r="E34" s="90">
        <v>28</v>
      </c>
      <c r="F34" s="93">
        <v>23</v>
      </c>
      <c r="G34" s="93">
        <v>23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65"/>
      <c r="B35" s="380"/>
      <c r="C35" s="174" t="s">
        <v>1089</v>
      </c>
      <c r="D35" s="176"/>
      <c r="E35" s="90">
        <v>29</v>
      </c>
      <c r="F35" s="93">
        <v>788</v>
      </c>
      <c r="G35" s="93">
        <v>753</v>
      </c>
      <c r="H35" s="93">
        <v>16</v>
      </c>
      <c r="I35" s="93">
        <v>0</v>
      </c>
      <c r="J35" s="93">
        <v>19</v>
      </c>
      <c r="K35" s="93">
        <v>0</v>
      </c>
    </row>
    <row r="36" spans="1:11" ht="27" customHeight="1" x14ac:dyDescent="0.2">
      <c r="A36" s="365"/>
      <c r="B36" s="380"/>
      <c r="C36" s="174" t="s">
        <v>1090</v>
      </c>
      <c r="D36" s="176"/>
      <c r="E36" s="90">
        <v>30</v>
      </c>
      <c r="F36" s="93">
        <v>211</v>
      </c>
      <c r="G36" s="93">
        <v>175</v>
      </c>
      <c r="H36" s="93">
        <v>1</v>
      </c>
      <c r="I36" s="93">
        <v>0</v>
      </c>
      <c r="J36" s="93">
        <v>35</v>
      </c>
      <c r="K36" s="93">
        <v>0</v>
      </c>
    </row>
    <row r="37" spans="1:11" ht="27" customHeight="1" x14ac:dyDescent="0.2">
      <c r="A37" s="365"/>
      <c r="B37" s="380"/>
      <c r="C37" s="174" t="s">
        <v>1091</v>
      </c>
      <c r="D37" s="176"/>
      <c r="E37" s="90">
        <v>31</v>
      </c>
      <c r="F37" s="93">
        <v>91</v>
      </c>
      <c r="G37" s="93">
        <v>79</v>
      </c>
      <c r="H37" s="93">
        <v>4</v>
      </c>
      <c r="I37" s="93">
        <v>0</v>
      </c>
      <c r="J37" s="93">
        <v>8</v>
      </c>
      <c r="K37" s="93">
        <v>0</v>
      </c>
    </row>
    <row r="38" spans="1:11" ht="27" customHeight="1" x14ac:dyDescent="0.2">
      <c r="A38" s="365"/>
      <c r="B38" s="380"/>
      <c r="C38" s="174" t="s">
        <v>1092</v>
      </c>
      <c r="D38" s="176"/>
      <c r="E38" s="90">
        <v>32</v>
      </c>
      <c r="F38" s="93">
        <v>389229</v>
      </c>
      <c r="G38" s="93">
        <v>330356</v>
      </c>
      <c r="H38" s="93">
        <v>8026</v>
      </c>
      <c r="I38" s="93">
        <v>0</v>
      </c>
      <c r="J38" s="93">
        <v>50847</v>
      </c>
      <c r="K38" s="93">
        <v>0</v>
      </c>
    </row>
    <row r="39" spans="1:11" ht="27" customHeight="1" x14ac:dyDescent="0.2">
      <c r="A39" s="365"/>
      <c r="B39" s="380"/>
      <c r="C39" s="174" t="s">
        <v>1093</v>
      </c>
      <c r="D39" s="176"/>
      <c r="E39" s="90">
        <v>33</v>
      </c>
      <c r="F39" s="93">
        <v>2517</v>
      </c>
      <c r="G39" s="93">
        <v>2291</v>
      </c>
      <c r="H39" s="93">
        <v>32</v>
      </c>
      <c r="I39" s="93">
        <v>0</v>
      </c>
      <c r="J39" s="93">
        <v>194</v>
      </c>
      <c r="K39" s="93">
        <v>0</v>
      </c>
    </row>
    <row r="40" spans="1:11" ht="27" customHeight="1" x14ac:dyDescent="0.2">
      <c r="A40" s="365"/>
      <c r="B40" s="380"/>
      <c r="C40" s="174" t="s">
        <v>1094</v>
      </c>
      <c r="D40" s="176"/>
      <c r="E40" s="90">
        <v>34</v>
      </c>
      <c r="F40" s="93">
        <v>40</v>
      </c>
      <c r="G40" s="93">
        <v>39</v>
      </c>
      <c r="H40" s="93">
        <v>0</v>
      </c>
      <c r="I40" s="93">
        <v>0</v>
      </c>
      <c r="J40" s="93">
        <v>1</v>
      </c>
      <c r="K40" s="93">
        <v>0</v>
      </c>
    </row>
    <row r="41" spans="1:11" ht="27" customHeight="1" x14ac:dyDescent="0.2">
      <c r="A41" s="365"/>
      <c r="B41" s="380"/>
      <c r="C41" s="174" t="s">
        <v>1095</v>
      </c>
      <c r="D41" s="176"/>
      <c r="E41" s="90">
        <v>35</v>
      </c>
      <c r="F41" s="93">
        <v>117</v>
      </c>
      <c r="G41" s="93">
        <v>103</v>
      </c>
      <c r="H41" s="93">
        <v>13</v>
      </c>
      <c r="I41" s="93">
        <v>0</v>
      </c>
      <c r="J41" s="93">
        <v>1</v>
      </c>
      <c r="K41" s="93">
        <v>0</v>
      </c>
    </row>
    <row r="42" spans="1:11" ht="27" customHeight="1" x14ac:dyDescent="0.2">
      <c r="A42" s="365"/>
      <c r="B42" s="380"/>
      <c r="C42" s="174" t="s">
        <v>68</v>
      </c>
      <c r="D42" s="176"/>
      <c r="E42" s="90">
        <v>36</v>
      </c>
      <c r="F42" s="93">
        <v>370</v>
      </c>
      <c r="G42" s="93">
        <v>364</v>
      </c>
      <c r="H42" s="93">
        <v>3</v>
      </c>
      <c r="I42" s="93">
        <v>0</v>
      </c>
      <c r="J42" s="93">
        <v>3</v>
      </c>
      <c r="K42" s="93">
        <v>0</v>
      </c>
    </row>
    <row r="43" spans="1:11" ht="27" customHeight="1" x14ac:dyDescent="0.2">
      <c r="A43" s="365"/>
      <c r="B43" s="380"/>
      <c r="C43" s="174" t="s">
        <v>69</v>
      </c>
      <c r="D43" s="176"/>
      <c r="E43" s="90">
        <v>37</v>
      </c>
      <c r="F43" s="93">
        <v>10</v>
      </c>
      <c r="G43" s="93">
        <v>8</v>
      </c>
      <c r="H43" s="93">
        <v>0</v>
      </c>
      <c r="I43" s="93">
        <v>0</v>
      </c>
      <c r="J43" s="93">
        <v>2</v>
      </c>
      <c r="K43" s="93">
        <v>0</v>
      </c>
    </row>
    <row r="44" spans="1:11" ht="27" customHeight="1" x14ac:dyDescent="0.2">
      <c r="A44" s="365"/>
      <c r="B44" s="381"/>
      <c r="C44" s="174" t="s">
        <v>1096</v>
      </c>
      <c r="D44" s="176"/>
      <c r="E44" s="90">
        <v>38</v>
      </c>
      <c r="F44" s="93">
        <v>1837.3476000000001</v>
      </c>
      <c r="G44" s="93">
        <v>1775.9177999999999</v>
      </c>
      <c r="H44" s="93">
        <v>18.4298</v>
      </c>
      <c r="I44" s="93">
        <v>0</v>
      </c>
      <c r="J44" s="93">
        <v>43</v>
      </c>
      <c r="K44" s="93">
        <v>0</v>
      </c>
    </row>
    <row r="45" spans="1:11" ht="27" customHeight="1" x14ac:dyDescent="0.2">
      <c r="A45" s="365"/>
      <c r="B45" s="174" t="s">
        <v>1097</v>
      </c>
      <c r="C45" s="175"/>
      <c r="D45" s="176"/>
      <c r="E45" s="38">
        <v>39</v>
      </c>
      <c r="F45" s="93">
        <v>218</v>
      </c>
      <c r="G45" s="93">
        <v>185</v>
      </c>
      <c r="H45" s="93">
        <v>0</v>
      </c>
      <c r="I45" s="93">
        <v>23</v>
      </c>
      <c r="J45" s="93">
        <v>10</v>
      </c>
      <c r="K45" s="93">
        <v>0</v>
      </c>
    </row>
    <row r="46" spans="1:11" ht="27" customHeight="1" x14ac:dyDescent="0.2">
      <c r="A46" s="365"/>
      <c r="B46" s="304" t="s">
        <v>1098</v>
      </c>
      <c r="C46" s="305"/>
      <c r="D46" s="306"/>
      <c r="E46" s="38">
        <v>40</v>
      </c>
      <c r="F46" s="93">
        <v>1272490.4314999999</v>
      </c>
      <c r="G46" s="93">
        <v>1260541.9173999999</v>
      </c>
      <c r="H46" s="93">
        <v>9665.0889999999999</v>
      </c>
      <c r="I46" s="93">
        <v>0</v>
      </c>
      <c r="J46" s="93">
        <v>2283.4250999999999</v>
      </c>
      <c r="K46" s="93">
        <v>0</v>
      </c>
    </row>
    <row r="47" spans="1:11" ht="27" customHeight="1" x14ac:dyDescent="0.2">
      <c r="A47" s="365"/>
      <c r="B47" s="190" t="s">
        <v>34</v>
      </c>
      <c r="C47" s="174" t="s">
        <v>1099</v>
      </c>
      <c r="D47" s="176"/>
      <c r="E47" s="38">
        <v>41</v>
      </c>
      <c r="F47" s="93">
        <v>4.6382000000000003</v>
      </c>
      <c r="G47" s="93">
        <v>4.6382000000000003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65"/>
      <c r="B48" s="339"/>
      <c r="C48" s="174" t="s">
        <v>1100</v>
      </c>
      <c r="D48" s="176"/>
      <c r="E48" s="38">
        <v>42</v>
      </c>
      <c r="F48" s="93">
        <v>29.654299999999999</v>
      </c>
      <c r="G48" s="93">
        <v>29.654299999999999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65"/>
      <c r="B49" s="339"/>
      <c r="C49" s="277" t="s">
        <v>1101</v>
      </c>
      <c r="D49" s="257"/>
      <c r="E49" s="38">
        <v>43</v>
      </c>
      <c r="F49" s="93">
        <v>1906.72</v>
      </c>
      <c r="G49" s="93">
        <v>1498.6</v>
      </c>
      <c r="H49" s="93">
        <v>408.12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65"/>
      <c r="B50" s="339"/>
      <c r="C50" s="277" t="s">
        <v>1102</v>
      </c>
      <c r="D50" s="257"/>
      <c r="E50" s="38">
        <v>44</v>
      </c>
      <c r="F50" s="93">
        <v>2443.5329000000002</v>
      </c>
      <c r="G50" s="93">
        <v>2388.0668999999998</v>
      </c>
      <c r="H50" s="93">
        <v>0</v>
      </c>
      <c r="I50" s="93">
        <v>0</v>
      </c>
      <c r="J50" s="93">
        <v>55.466000000000001</v>
      </c>
      <c r="K50" s="93">
        <v>0</v>
      </c>
    </row>
    <row r="51" spans="1:11" ht="27" customHeight="1" x14ac:dyDescent="0.2">
      <c r="A51" s="365"/>
      <c r="B51" s="339"/>
      <c r="C51" s="277" t="s">
        <v>1103</v>
      </c>
      <c r="D51" s="257"/>
      <c r="E51" s="38">
        <v>45</v>
      </c>
      <c r="F51" s="93">
        <v>38.0745</v>
      </c>
      <c r="G51" s="93">
        <v>18.333500000000001</v>
      </c>
      <c r="H51" s="93">
        <v>3.9409999999999998</v>
      </c>
      <c r="I51" s="93">
        <v>0</v>
      </c>
      <c r="J51" s="93">
        <v>15.8</v>
      </c>
      <c r="K51" s="93">
        <v>0</v>
      </c>
    </row>
    <row r="52" spans="1:11" ht="27" customHeight="1" x14ac:dyDescent="0.2">
      <c r="A52" s="365"/>
      <c r="B52" s="339"/>
      <c r="C52" s="277" t="s">
        <v>1104</v>
      </c>
      <c r="D52" s="257"/>
      <c r="E52" s="38">
        <v>46</v>
      </c>
      <c r="F52" s="93">
        <v>1250713.6170999999</v>
      </c>
      <c r="G52" s="93">
        <v>1239369.977</v>
      </c>
      <c r="H52" s="93">
        <v>9133.1659999999993</v>
      </c>
      <c r="I52" s="93">
        <v>0</v>
      </c>
      <c r="J52" s="93">
        <v>2210.4740999999999</v>
      </c>
      <c r="K52" s="93">
        <v>0</v>
      </c>
    </row>
    <row r="53" spans="1:11" ht="27" customHeight="1" x14ac:dyDescent="0.2">
      <c r="A53" s="366"/>
      <c r="B53" s="191"/>
      <c r="C53" s="277" t="s">
        <v>1105</v>
      </c>
      <c r="D53" s="257"/>
      <c r="E53" s="38">
        <v>47</v>
      </c>
      <c r="F53" s="93">
        <v>8101.7776000000003</v>
      </c>
      <c r="G53" s="93">
        <v>8101.7776000000003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87" t="s">
        <v>41</v>
      </c>
      <c r="B54" s="388"/>
      <c r="C54" s="388"/>
      <c r="D54" s="389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64" t="s">
        <v>1082</v>
      </c>
      <c r="B55" s="174" t="s">
        <v>1106</v>
      </c>
      <c r="C55" s="175"/>
      <c r="D55" s="176"/>
      <c r="E55" s="38">
        <v>48</v>
      </c>
      <c r="F55" s="93">
        <v>620634.92079999996</v>
      </c>
      <c r="G55" s="93">
        <v>605882.77379999997</v>
      </c>
      <c r="H55" s="93">
        <v>14571.017</v>
      </c>
      <c r="I55" s="93">
        <v>0</v>
      </c>
      <c r="J55" s="93">
        <v>181.13</v>
      </c>
      <c r="K55" s="93">
        <v>0</v>
      </c>
    </row>
    <row r="56" spans="1:11" ht="27" customHeight="1" x14ac:dyDescent="0.2">
      <c r="A56" s="365"/>
      <c r="B56" s="190" t="s">
        <v>34</v>
      </c>
      <c r="C56" s="174" t="s">
        <v>1107</v>
      </c>
      <c r="D56" s="176"/>
      <c r="E56" s="38">
        <v>49</v>
      </c>
      <c r="F56" s="93">
        <v>26951.3151</v>
      </c>
      <c r="G56" s="93">
        <v>26839.128799999999</v>
      </c>
      <c r="H56" s="93">
        <v>81.430999999999997</v>
      </c>
      <c r="I56" s="93">
        <v>0</v>
      </c>
      <c r="J56" s="93">
        <v>30.755299999999998</v>
      </c>
      <c r="K56" s="93">
        <v>0</v>
      </c>
    </row>
    <row r="57" spans="1:11" ht="27" customHeight="1" x14ac:dyDescent="0.2">
      <c r="A57" s="365"/>
      <c r="B57" s="191"/>
      <c r="C57" s="174" t="s">
        <v>1108</v>
      </c>
      <c r="D57" s="176"/>
      <c r="E57" s="38">
        <v>50</v>
      </c>
      <c r="F57" s="93">
        <v>2.448</v>
      </c>
      <c r="G57" s="93">
        <v>2.4479000000000002</v>
      </c>
      <c r="H57" s="93">
        <v>1E-4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65"/>
      <c r="B58" s="174" t="s">
        <v>1109</v>
      </c>
      <c r="C58" s="175"/>
      <c r="D58" s="176"/>
      <c r="E58" s="38">
        <v>51</v>
      </c>
      <c r="F58" s="93">
        <v>1158.444</v>
      </c>
      <c r="G58" s="93">
        <v>1157.944</v>
      </c>
      <c r="H58" s="93">
        <v>0.5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65"/>
      <c r="B59" s="190" t="s">
        <v>34</v>
      </c>
      <c r="C59" s="165" t="s">
        <v>1110</v>
      </c>
      <c r="D59" s="167"/>
      <c r="E59" s="38">
        <v>52</v>
      </c>
      <c r="F59" s="93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65"/>
      <c r="B60" s="339"/>
      <c r="C60" s="165" t="s">
        <v>1111</v>
      </c>
      <c r="D60" s="167"/>
      <c r="E60" s="38">
        <v>53</v>
      </c>
      <c r="F60" s="93">
        <v>7.46E-2</v>
      </c>
      <c r="G60" s="93">
        <v>7.46E-2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65"/>
      <c r="B61" s="339"/>
      <c r="C61" s="165" t="s">
        <v>1112</v>
      </c>
      <c r="D61" s="167"/>
      <c r="E61" s="38">
        <v>54</v>
      </c>
      <c r="F61" s="93">
        <v>0.505</v>
      </c>
      <c r="G61" s="93">
        <v>0.505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65"/>
      <c r="B62" s="191"/>
      <c r="C62" s="165" t="s">
        <v>1113</v>
      </c>
      <c r="D62" s="167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65"/>
      <c r="B63" s="174" t="s">
        <v>1114</v>
      </c>
      <c r="C63" s="175"/>
      <c r="D63" s="176"/>
      <c r="E63" s="38">
        <v>56</v>
      </c>
      <c r="F63" s="93">
        <v>5291.7596000000003</v>
      </c>
      <c r="G63" s="93">
        <v>4972.9326000000001</v>
      </c>
      <c r="H63" s="93">
        <v>317.65699999999998</v>
      </c>
      <c r="I63" s="93">
        <v>0</v>
      </c>
      <c r="J63" s="93">
        <v>1.17</v>
      </c>
      <c r="K63" s="93">
        <v>0</v>
      </c>
    </row>
    <row r="64" spans="1:11" ht="27" customHeight="1" x14ac:dyDescent="0.2">
      <c r="A64" s="365"/>
      <c r="B64" s="190" t="s">
        <v>34</v>
      </c>
      <c r="C64" s="174" t="s">
        <v>1115</v>
      </c>
      <c r="D64" s="176"/>
      <c r="E64" s="38">
        <v>57</v>
      </c>
      <c r="F64" s="93">
        <v>3481.8816000000002</v>
      </c>
      <c r="G64" s="93">
        <v>3258.2516000000001</v>
      </c>
      <c r="H64" s="93">
        <v>223.63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65"/>
      <c r="B65" s="339"/>
      <c r="C65" s="174" t="s">
        <v>1116</v>
      </c>
      <c r="D65" s="176"/>
      <c r="E65" s="38">
        <v>58</v>
      </c>
      <c r="F65" s="93">
        <v>85.829400000000007</v>
      </c>
      <c r="G65" s="93">
        <v>85.829400000000007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65"/>
      <c r="B66" s="339"/>
      <c r="C66" s="165" t="s">
        <v>1117</v>
      </c>
      <c r="D66" s="167"/>
      <c r="E66" s="38">
        <v>59</v>
      </c>
      <c r="F66" s="93">
        <v>1579.9905000000001</v>
      </c>
      <c r="G66" s="93">
        <v>1519.9304999999999</v>
      </c>
      <c r="H66" s="93">
        <v>58.89</v>
      </c>
      <c r="I66" s="93">
        <v>0</v>
      </c>
      <c r="J66" s="93">
        <v>1.17</v>
      </c>
      <c r="K66" s="93">
        <v>0</v>
      </c>
    </row>
    <row r="67" spans="1:11" ht="27" customHeight="1" x14ac:dyDescent="0.2">
      <c r="A67" s="365"/>
      <c r="B67" s="339"/>
      <c r="C67" s="165" t="s">
        <v>1118</v>
      </c>
      <c r="D67" s="167"/>
      <c r="E67" s="38">
        <v>60</v>
      </c>
      <c r="F67" s="93">
        <v>98.5</v>
      </c>
      <c r="G67" s="93">
        <v>98.5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65"/>
      <c r="B68" s="191"/>
      <c r="C68" s="165" t="s">
        <v>1119</v>
      </c>
      <c r="D68" s="167"/>
      <c r="E68" s="38">
        <v>61</v>
      </c>
      <c r="F68" s="93">
        <v>2.7961</v>
      </c>
      <c r="G68" s="93">
        <v>2.7961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65"/>
      <c r="B69" s="174" t="s">
        <v>1120</v>
      </c>
      <c r="C69" s="175"/>
      <c r="D69" s="176"/>
      <c r="E69" s="38">
        <v>62</v>
      </c>
      <c r="F69" s="93">
        <v>2.5499999999999998</v>
      </c>
      <c r="G69" s="93">
        <v>2.5499999999999998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66"/>
      <c r="B70" s="174" t="s">
        <v>1121</v>
      </c>
      <c r="C70" s="175"/>
      <c r="D70" s="176"/>
      <c r="E70" s="38">
        <v>63</v>
      </c>
      <c r="F70" s="93">
        <v>516.48649999999998</v>
      </c>
      <c r="G70" s="93">
        <v>315.69549999999998</v>
      </c>
      <c r="H70" s="93">
        <v>0</v>
      </c>
      <c r="I70" s="93">
        <v>0</v>
      </c>
      <c r="J70" s="93">
        <v>200.791</v>
      </c>
      <c r="K70" s="93">
        <v>0</v>
      </c>
    </row>
    <row r="71" spans="1:11" ht="27" customHeight="1" x14ac:dyDescent="0.2">
      <c r="A71" s="304" t="s">
        <v>115</v>
      </c>
      <c r="B71" s="305"/>
      <c r="C71" s="305"/>
      <c r="D71" s="306"/>
      <c r="E71" s="38">
        <v>64</v>
      </c>
      <c r="F71" s="93">
        <f t="shared" ref="F71:K71" si="0">SUM(F55:F70,F7:F53)</f>
        <v>114234406.38080001</v>
      </c>
      <c r="G71" s="93">
        <f t="shared" si="0"/>
        <v>23079805.914400008</v>
      </c>
      <c r="H71" s="93">
        <f t="shared" si="0"/>
        <v>882697.59590000019</v>
      </c>
      <c r="I71" s="93">
        <f t="shared" si="0"/>
        <v>22843027.225000001</v>
      </c>
      <c r="J71" s="93">
        <f t="shared" si="0"/>
        <v>12625506.4695</v>
      </c>
      <c r="K71" s="93">
        <f t="shared" si="0"/>
        <v>54803369.175999999</v>
      </c>
    </row>
    <row r="72" spans="1:11" ht="30" customHeight="1" x14ac:dyDescent="0.2">
      <c r="A72" s="369" t="s">
        <v>1057</v>
      </c>
      <c r="B72" s="369"/>
      <c r="C72" s="369"/>
      <c r="D72" s="369"/>
      <c r="E72" s="369"/>
      <c r="F72" s="369"/>
      <c r="G72" s="369"/>
      <c r="H72" s="369"/>
      <c r="I72" s="369"/>
      <c r="J72" s="369"/>
      <c r="K72" s="369"/>
    </row>
    <row r="73" spans="1:11" ht="26.25" customHeight="1" x14ac:dyDescent="0.2">
      <c r="A73" s="215" t="s">
        <v>1122</v>
      </c>
      <c r="B73" s="215"/>
      <c r="C73" s="215"/>
      <c r="D73" s="215"/>
      <c r="E73" s="215"/>
      <c r="F73" s="215"/>
      <c r="G73" s="215"/>
      <c r="H73" s="215"/>
      <c r="I73" s="215"/>
      <c r="J73" s="215"/>
      <c r="K73" s="215"/>
    </row>
    <row r="74" spans="1:11" ht="34.5" customHeight="1" x14ac:dyDescent="0.2">
      <c r="A74" s="370"/>
      <c r="B74" s="371"/>
      <c r="C74" s="371"/>
      <c r="D74" s="372"/>
      <c r="E74" s="379" t="s">
        <v>15</v>
      </c>
      <c r="F74" s="190" t="s">
        <v>33</v>
      </c>
      <c r="G74" s="382" t="s">
        <v>1059</v>
      </c>
      <c r="H74" s="382"/>
      <c r="I74" s="382"/>
      <c r="J74" s="382"/>
      <c r="K74" s="341"/>
    </row>
    <row r="75" spans="1:11" ht="12.75" customHeight="1" x14ac:dyDescent="0.2">
      <c r="A75" s="373"/>
      <c r="B75" s="374"/>
      <c r="C75" s="374"/>
      <c r="D75" s="375"/>
      <c r="E75" s="380"/>
      <c r="F75" s="339"/>
      <c r="G75" s="224" t="s">
        <v>971</v>
      </c>
      <c r="H75" s="224" t="s">
        <v>90</v>
      </c>
      <c r="I75" s="224" t="s">
        <v>972</v>
      </c>
      <c r="J75" s="224" t="s">
        <v>974</v>
      </c>
      <c r="K75" s="224" t="s">
        <v>975</v>
      </c>
    </row>
    <row r="76" spans="1:11" ht="42" customHeight="1" x14ac:dyDescent="0.2">
      <c r="A76" s="376"/>
      <c r="B76" s="377"/>
      <c r="C76" s="377"/>
      <c r="D76" s="378"/>
      <c r="E76" s="381"/>
      <c r="F76" s="191"/>
      <c r="G76" s="226"/>
      <c r="H76" s="226"/>
      <c r="I76" s="226"/>
      <c r="J76" s="226"/>
      <c r="K76" s="226"/>
    </row>
    <row r="77" spans="1:11" ht="13.35" customHeight="1" x14ac:dyDescent="0.2">
      <c r="A77" s="351" t="s">
        <v>41</v>
      </c>
      <c r="B77" s="352"/>
      <c r="C77" s="352"/>
      <c r="D77" s="353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304" t="s">
        <v>1060</v>
      </c>
      <c r="B78" s="305"/>
      <c r="C78" s="305"/>
      <c r="D78" s="306"/>
      <c r="E78" s="90">
        <v>1</v>
      </c>
      <c r="F78" s="91">
        <v>33469152.940000001</v>
      </c>
      <c r="G78" s="91">
        <v>5460785.79</v>
      </c>
      <c r="H78" s="91">
        <v>170035.38</v>
      </c>
      <c r="I78" s="91">
        <v>3241794.32</v>
      </c>
      <c r="J78" s="91">
        <v>6257757.7699999996</v>
      </c>
      <c r="K78" s="91">
        <v>18338779.68</v>
      </c>
    </row>
    <row r="79" spans="1:11" ht="27" customHeight="1" x14ac:dyDescent="0.2">
      <c r="A79" s="190" t="s">
        <v>1061</v>
      </c>
      <c r="B79" s="304" t="s">
        <v>1062</v>
      </c>
      <c r="C79" s="305"/>
      <c r="D79" s="306"/>
      <c r="E79" s="90">
        <v>2</v>
      </c>
      <c r="F79" s="91">
        <v>26995368.920000002</v>
      </c>
      <c r="G79" s="91">
        <v>3563504.26</v>
      </c>
      <c r="H79" s="91">
        <v>126368.13</v>
      </c>
      <c r="I79" s="91">
        <v>3119256.32</v>
      </c>
      <c r="J79" s="91">
        <v>2197092.61</v>
      </c>
      <c r="K79" s="91">
        <v>17989147.600000001</v>
      </c>
    </row>
    <row r="80" spans="1:11" ht="27" customHeight="1" x14ac:dyDescent="0.2">
      <c r="A80" s="339"/>
      <c r="B80" s="213" t="s">
        <v>1063</v>
      </c>
      <c r="C80" s="367"/>
      <c r="D80" s="42" t="s">
        <v>1064</v>
      </c>
      <c r="E80" s="90">
        <v>3</v>
      </c>
      <c r="F80" s="91">
        <v>1057896.6000000001</v>
      </c>
      <c r="G80" s="91">
        <v>889520.96</v>
      </c>
      <c r="H80" s="91">
        <v>0</v>
      </c>
      <c r="I80" s="91">
        <v>2877</v>
      </c>
      <c r="J80" s="91">
        <v>10488.64</v>
      </c>
      <c r="K80" s="91">
        <v>155010</v>
      </c>
    </row>
    <row r="81" spans="1:11" ht="27" customHeight="1" x14ac:dyDescent="0.2">
      <c r="A81" s="191"/>
      <c r="B81" s="214"/>
      <c r="C81" s="368"/>
      <c r="D81" s="42" t="s">
        <v>1065</v>
      </c>
      <c r="E81" s="90">
        <v>4</v>
      </c>
      <c r="F81" s="91">
        <v>10956.61</v>
      </c>
      <c r="G81" s="91">
        <v>10917.32</v>
      </c>
      <c r="H81" s="91">
        <v>0</v>
      </c>
      <c r="I81" s="91">
        <v>1.7</v>
      </c>
      <c r="J81" s="91">
        <v>11.59</v>
      </c>
      <c r="K81" s="91">
        <v>26</v>
      </c>
    </row>
    <row r="82" spans="1:11" ht="27" customHeight="1" x14ac:dyDescent="0.2">
      <c r="A82" s="304" t="s">
        <v>1066</v>
      </c>
      <c r="B82" s="305"/>
      <c r="C82" s="305"/>
      <c r="D82" s="306"/>
      <c r="E82" s="90">
        <v>5</v>
      </c>
      <c r="F82" s="91">
        <v>3561997.0520000001</v>
      </c>
      <c r="G82" s="91">
        <v>94401.274999999994</v>
      </c>
      <c r="H82" s="91">
        <v>149</v>
      </c>
      <c r="I82" s="91">
        <v>2716925.9070000001</v>
      </c>
      <c r="J82" s="91">
        <v>206769.87</v>
      </c>
      <c r="K82" s="91">
        <v>543751</v>
      </c>
    </row>
    <row r="83" spans="1:11" ht="27" customHeight="1" x14ac:dyDescent="0.2">
      <c r="A83" s="190" t="s">
        <v>32</v>
      </c>
      <c r="B83" s="174" t="s">
        <v>1067</v>
      </c>
      <c r="C83" s="175"/>
      <c r="D83" s="176"/>
      <c r="E83" s="90">
        <v>6</v>
      </c>
      <c r="F83" s="91">
        <v>735449.13600000006</v>
      </c>
      <c r="G83" s="91">
        <v>62111.49</v>
      </c>
      <c r="H83" s="91">
        <v>0</v>
      </c>
      <c r="I83" s="91">
        <v>673337.64599999995</v>
      </c>
      <c r="J83" s="91">
        <v>0</v>
      </c>
      <c r="K83" s="91">
        <v>0</v>
      </c>
    </row>
    <row r="84" spans="1:11" ht="27" customHeight="1" x14ac:dyDescent="0.2">
      <c r="A84" s="339"/>
      <c r="B84" s="174" t="s">
        <v>1068</v>
      </c>
      <c r="C84" s="175"/>
      <c r="D84" s="176"/>
      <c r="E84" s="90">
        <v>7</v>
      </c>
      <c r="F84" s="91">
        <v>1005548.66</v>
      </c>
      <c r="G84" s="91">
        <v>16196.853999999999</v>
      </c>
      <c r="H84" s="91">
        <v>0</v>
      </c>
      <c r="I84" s="91">
        <v>935067.79200000002</v>
      </c>
      <c r="J84" s="91">
        <v>54284.014000000003</v>
      </c>
      <c r="K84" s="91">
        <v>0</v>
      </c>
    </row>
    <row r="85" spans="1:11" ht="27" customHeight="1" x14ac:dyDescent="0.2">
      <c r="A85" s="339"/>
      <c r="B85" s="174" t="s">
        <v>1069</v>
      </c>
      <c r="C85" s="175"/>
      <c r="D85" s="176"/>
      <c r="E85" s="90">
        <v>8</v>
      </c>
      <c r="F85" s="91">
        <v>186402</v>
      </c>
      <c r="G85" s="91">
        <v>0</v>
      </c>
      <c r="H85" s="91">
        <v>0</v>
      </c>
      <c r="I85" s="91">
        <v>58883</v>
      </c>
      <c r="J85" s="91">
        <v>127519</v>
      </c>
      <c r="K85" s="91">
        <v>0</v>
      </c>
    </row>
    <row r="86" spans="1:11" ht="27" customHeight="1" x14ac:dyDescent="0.2">
      <c r="A86" s="191"/>
      <c r="B86" s="174" t="s">
        <v>1070</v>
      </c>
      <c r="C86" s="175"/>
      <c r="D86" s="176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74" t="s">
        <v>1071</v>
      </c>
      <c r="B87" s="175"/>
      <c r="C87" s="175"/>
      <c r="D87" s="176"/>
      <c r="E87" s="90">
        <v>10</v>
      </c>
      <c r="F87" s="91">
        <v>48297</v>
      </c>
      <c r="G87" s="91">
        <v>0</v>
      </c>
      <c r="H87" s="91">
        <v>0</v>
      </c>
      <c r="I87" s="91">
        <v>48297</v>
      </c>
      <c r="J87" s="91">
        <v>0</v>
      </c>
      <c r="K87" s="91">
        <v>0</v>
      </c>
    </row>
    <row r="88" spans="1:11" ht="27" customHeight="1" x14ac:dyDescent="0.2">
      <c r="A88" s="174" t="s">
        <v>1072</v>
      </c>
      <c r="B88" s="175"/>
      <c r="C88" s="175"/>
      <c r="D88" s="176"/>
      <c r="E88" s="90">
        <v>11</v>
      </c>
      <c r="F88" s="91">
        <v>146823.75</v>
      </c>
      <c r="G88" s="91">
        <v>3457.75</v>
      </c>
      <c r="H88" s="91">
        <v>0</v>
      </c>
      <c r="I88" s="91">
        <v>143366</v>
      </c>
      <c r="J88" s="91">
        <v>0</v>
      </c>
      <c r="K88" s="91">
        <v>0</v>
      </c>
    </row>
    <row r="89" spans="1:11" ht="27" customHeight="1" x14ac:dyDescent="0.2">
      <c r="A89" s="174" t="s">
        <v>1073</v>
      </c>
      <c r="B89" s="175"/>
      <c r="C89" s="175"/>
      <c r="D89" s="176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74" t="s">
        <v>1074</v>
      </c>
      <c r="B90" s="175"/>
      <c r="C90" s="175"/>
      <c r="D90" s="176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74" t="s">
        <v>1075</v>
      </c>
      <c r="B91" s="175"/>
      <c r="C91" s="175"/>
      <c r="D91" s="176"/>
      <c r="E91" s="90">
        <v>14</v>
      </c>
      <c r="F91" s="91">
        <v>72407</v>
      </c>
      <c r="G91" s="91">
        <v>4845</v>
      </c>
      <c r="H91" s="91">
        <v>0</v>
      </c>
      <c r="I91" s="91">
        <v>67562</v>
      </c>
      <c r="J91" s="91">
        <v>0</v>
      </c>
      <c r="K91" s="91">
        <v>0</v>
      </c>
    </row>
    <row r="92" spans="1:11" ht="27" customHeight="1" x14ac:dyDescent="0.2">
      <c r="A92" s="304" t="s">
        <v>1076</v>
      </c>
      <c r="B92" s="305"/>
      <c r="C92" s="305"/>
      <c r="D92" s="306"/>
      <c r="E92" s="90">
        <v>15</v>
      </c>
      <c r="F92" s="91">
        <v>10137455.48</v>
      </c>
      <c r="G92" s="91">
        <v>1667375.71</v>
      </c>
      <c r="H92" s="91">
        <v>3911.8</v>
      </c>
      <c r="I92" s="91">
        <v>2684754.21</v>
      </c>
      <c r="J92" s="91">
        <v>174128.88</v>
      </c>
      <c r="K92" s="91">
        <v>5607284.8799999999</v>
      </c>
    </row>
    <row r="93" spans="1:11" ht="27" customHeight="1" x14ac:dyDescent="0.2">
      <c r="A93" s="190" t="s">
        <v>1061</v>
      </c>
      <c r="B93" s="304" t="s">
        <v>1062</v>
      </c>
      <c r="C93" s="305"/>
      <c r="D93" s="306"/>
      <c r="E93" s="90">
        <v>16</v>
      </c>
      <c r="F93" s="91">
        <v>9433557.6099999994</v>
      </c>
      <c r="G93" s="91">
        <v>1067881.3899999999</v>
      </c>
      <c r="H93" s="91">
        <v>2937.09</v>
      </c>
      <c r="I93" s="91">
        <v>2640990.21</v>
      </c>
      <c r="J93" s="91">
        <v>169224.12</v>
      </c>
      <c r="K93" s="91">
        <v>5552524.7999999998</v>
      </c>
    </row>
    <row r="94" spans="1:11" ht="27" customHeight="1" x14ac:dyDescent="0.2">
      <c r="A94" s="339"/>
      <c r="B94" s="383" t="s">
        <v>1063</v>
      </c>
      <c r="C94" s="384"/>
      <c r="D94" s="42" t="s">
        <v>1064</v>
      </c>
      <c r="E94" s="90">
        <v>17</v>
      </c>
      <c r="F94" s="91">
        <v>693519.87</v>
      </c>
      <c r="G94" s="91">
        <v>638441.79</v>
      </c>
      <c r="H94" s="91">
        <v>0</v>
      </c>
      <c r="I94" s="91">
        <v>0</v>
      </c>
      <c r="J94" s="91">
        <v>318</v>
      </c>
      <c r="K94" s="91">
        <v>54760.08</v>
      </c>
    </row>
    <row r="95" spans="1:11" ht="27" customHeight="1" x14ac:dyDescent="0.2">
      <c r="A95" s="191"/>
      <c r="B95" s="385"/>
      <c r="C95" s="386"/>
      <c r="D95" s="42" t="s">
        <v>1065</v>
      </c>
      <c r="E95" s="90">
        <v>18</v>
      </c>
      <c r="F95" s="91">
        <v>13632.71</v>
      </c>
      <c r="G95" s="91">
        <v>8715.11</v>
      </c>
      <c r="H95" s="91">
        <v>0</v>
      </c>
      <c r="I95" s="91">
        <v>0</v>
      </c>
      <c r="J95" s="91">
        <v>4</v>
      </c>
      <c r="K95" s="91">
        <v>4913.6000000000004</v>
      </c>
    </row>
    <row r="96" spans="1:11" ht="27" customHeight="1" x14ac:dyDescent="0.2">
      <c r="A96" s="304" t="s">
        <v>1077</v>
      </c>
      <c r="B96" s="305"/>
      <c r="C96" s="305"/>
      <c r="D96" s="306"/>
      <c r="E96" s="90">
        <v>19</v>
      </c>
      <c r="F96" s="91">
        <v>8065257.54</v>
      </c>
      <c r="G96" s="91">
        <v>2516039.87</v>
      </c>
      <c r="H96" s="91">
        <v>439099.1</v>
      </c>
      <c r="I96" s="91">
        <v>1288128.71</v>
      </c>
      <c r="J96" s="91">
        <v>1596429.24</v>
      </c>
      <c r="K96" s="91">
        <v>2225560.62</v>
      </c>
    </row>
    <row r="97" spans="1:11" ht="27" customHeight="1" x14ac:dyDescent="0.2">
      <c r="A97" s="304" t="s">
        <v>1078</v>
      </c>
      <c r="B97" s="305"/>
      <c r="C97" s="305"/>
      <c r="D97" s="306"/>
      <c r="E97" s="90">
        <v>20</v>
      </c>
      <c r="F97" s="91">
        <v>5807688.1699999999</v>
      </c>
      <c r="G97" s="91">
        <v>2292765.4300000002</v>
      </c>
      <c r="H97" s="91">
        <v>78159.070000000007</v>
      </c>
      <c r="I97" s="91">
        <v>245599.39</v>
      </c>
      <c r="J97" s="91">
        <v>719165.79</v>
      </c>
      <c r="K97" s="91">
        <v>2471998.4900000002</v>
      </c>
    </row>
    <row r="98" spans="1:11" ht="27" customHeight="1" x14ac:dyDescent="0.2">
      <c r="A98" s="304" t="s">
        <v>1079</v>
      </c>
      <c r="B98" s="305"/>
      <c r="C98" s="305"/>
      <c r="D98" s="306"/>
      <c r="E98" s="90">
        <v>21</v>
      </c>
      <c r="F98" s="91">
        <v>108166.61599999999</v>
      </c>
      <c r="G98" s="91">
        <v>61888.678</v>
      </c>
      <c r="H98" s="91">
        <v>4291.9780000000001</v>
      </c>
      <c r="I98" s="91">
        <v>0</v>
      </c>
      <c r="J98" s="91">
        <v>23337.077000000001</v>
      </c>
      <c r="K98" s="91">
        <v>18648.883000000002</v>
      </c>
    </row>
    <row r="99" spans="1:11" ht="27" customHeight="1" x14ac:dyDescent="0.2">
      <c r="A99" s="64" t="s">
        <v>32</v>
      </c>
      <c r="B99" s="174" t="s">
        <v>1080</v>
      </c>
      <c r="C99" s="175"/>
      <c r="D99" s="176"/>
      <c r="E99" s="90">
        <v>22</v>
      </c>
      <c r="F99" s="91">
        <v>42360.31</v>
      </c>
      <c r="G99" s="91">
        <v>11804.848</v>
      </c>
      <c r="H99" s="91">
        <v>1474.27</v>
      </c>
      <c r="I99" s="91">
        <v>0</v>
      </c>
      <c r="J99" s="91">
        <v>11338.478999999999</v>
      </c>
      <c r="K99" s="91">
        <v>17742.713</v>
      </c>
    </row>
    <row r="100" spans="1:11" ht="30" customHeight="1" x14ac:dyDescent="0.2">
      <c r="A100" s="304" t="s">
        <v>1081</v>
      </c>
      <c r="B100" s="305"/>
      <c r="C100" s="305"/>
      <c r="D100" s="306"/>
      <c r="E100" s="90">
        <v>23</v>
      </c>
      <c r="F100" s="92">
        <v>8541129.9000000004</v>
      </c>
      <c r="G100" s="91">
        <v>733555.53200000001</v>
      </c>
      <c r="H100" s="91">
        <v>13637</v>
      </c>
      <c r="I100" s="91">
        <v>4976163.0199999996</v>
      </c>
      <c r="J100" s="91">
        <v>994553.51800000004</v>
      </c>
      <c r="K100" s="91">
        <v>1823220.83</v>
      </c>
    </row>
    <row r="101" spans="1:11" ht="30" customHeight="1" x14ac:dyDescent="0.2">
      <c r="A101" s="364" t="s">
        <v>1082</v>
      </c>
      <c r="B101" s="174" t="s">
        <v>1083</v>
      </c>
      <c r="C101" s="175"/>
      <c r="D101" s="176"/>
      <c r="E101" s="90">
        <v>24</v>
      </c>
      <c r="F101" s="92">
        <v>52.86</v>
      </c>
      <c r="G101" s="91">
        <v>52.86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65"/>
      <c r="B102" s="213" t="s">
        <v>1084</v>
      </c>
      <c r="C102" s="367"/>
      <c r="D102" s="41" t="s">
        <v>1085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65"/>
      <c r="B103" s="214"/>
      <c r="C103" s="368"/>
      <c r="D103" s="41" t="s">
        <v>1086</v>
      </c>
      <c r="E103" s="90">
        <v>26</v>
      </c>
      <c r="F103" s="93">
        <v>2247.1619000000001</v>
      </c>
      <c r="G103" s="93">
        <v>2246.2548999999999</v>
      </c>
      <c r="H103" s="93">
        <v>0.90700000000000003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65"/>
      <c r="B104" s="174" t="s">
        <v>1087</v>
      </c>
      <c r="C104" s="175"/>
      <c r="D104" s="176"/>
      <c r="E104" s="90">
        <v>27</v>
      </c>
      <c r="F104" s="93">
        <v>0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65"/>
      <c r="B105" s="379" t="s">
        <v>1088</v>
      </c>
      <c r="C105" s="174" t="s">
        <v>65</v>
      </c>
      <c r="D105" s="176"/>
      <c r="E105" s="90">
        <v>28</v>
      </c>
      <c r="F105" s="93">
        <v>20</v>
      </c>
      <c r="G105" s="93">
        <v>20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65"/>
      <c r="B106" s="380"/>
      <c r="C106" s="174" t="s">
        <v>1089</v>
      </c>
      <c r="D106" s="176"/>
      <c r="E106" s="90">
        <v>29</v>
      </c>
      <c r="F106" s="93">
        <v>785</v>
      </c>
      <c r="G106" s="93">
        <v>750</v>
      </c>
      <c r="H106" s="93">
        <v>16</v>
      </c>
      <c r="I106" s="93">
        <v>0</v>
      </c>
      <c r="J106" s="93">
        <v>19</v>
      </c>
      <c r="K106" s="93">
        <v>0</v>
      </c>
    </row>
    <row r="107" spans="1:11" ht="27" customHeight="1" x14ac:dyDescent="0.2">
      <c r="A107" s="365"/>
      <c r="B107" s="380"/>
      <c r="C107" s="174" t="s">
        <v>1090</v>
      </c>
      <c r="D107" s="176"/>
      <c r="E107" s="90">
        <v>30</v>
      </c>
      <c r="F107" s="93">
        <v>209</v>
      </c>
      <c r="G107" s="93">
        <v>173</v>
      </c>
      <c r="H107" s="93">
        <v>1</v>
      </c>
      <c r="I107" s="93">
        <v>0</v>
      </c>
      <c r="J107" s="93">
        <v>35</v>
      </c>
      <c r="K107" s="93">
        <v>0</v>
      </c>
    </row>
    <row r="108" spans="1:11" ht="27" customHeight="1" x14ac:dyDescent="0.2">
      <c r="A108" s="365"/>
      <c r="B108" s="380"/>
      <c r="C108" s="174" t="s">
        <v>1091</v>
      </c>
      <c r="D108" s="176"/>
      <c r="E108" s="90">
        <v>31</v>
      </c>
      <c r="F108" s="93">
        <v>91</v>
      </c>
      <c r="G108" s="93">
        <v>79</v>
      </c>
      <c r="H108" s="93">
        <v>4</v>
      </c>
      <c r="I108" s="93">
        <v>0</v>
      </c>
      <c r="J108" s="93">
        <v>8</v>
      </c>
      <c r="K108" s="93">
        <v>0</v>
      </c>
    </row>
    <row r="109" spans="1:11" ht="27" customHeight="1" x14ac:dyDescent="0.2">
      <c r="A109" s="365"/>
      <c r="B109" s="380"/>
      <c r="C109" s="174" t="s">
        <v>1092</v>
      </c>
      <c r="D109" s="176"/>
      <c r="E109" s="90">
        <v>32</v>
      </c>
      <c r="F109" s="93">
        <v>389229</v>
      </c>
      <c r="G109" s="93">
        <v>330356</v>
      </c>
      <c r="H109" s="93">
        <v>8026</v>
      </c>
      <c r="I109" s="93">
        <v>0</v>
      </c>
      <c r="J109" s="93">
        <v>50847</v>
      </c>
      <c r="K109" s="93">
        <v>0</v>
      </c>
    </row>
    <row r="110" spans="1:11" ht="27" customHeight="1" x14ac:dyDescent="0.2">
      <c r="A110" s="365"/>
      <c r="B110" s="380"/>
      <c r="C110" s="174" t="s">
        <v>1093</v>
      </c>
      <c r="D110" s="176"/>
      <c r="E110" s="90">
        <v>33</v>
      </c>
      <c r="F110" s="93">
        <v>2515</v>
      </c>
      <c r="G110" s="93">
        <v>2289</v>
      </c>
      <c r="H110" s="93">
        <v>32</v>
      </c>
      <c r="I110" s="93">
        <v>0</v>
      </c>
      <c r="J110" s="93">
        <v>194</v>
      </c>
      <c r="K110" s="93">
        <v>0</v>
      </c>
    </row>
    <row r="111" spans="1:11" ht="27" customHeight="1" x14ac:dyDescent="0.2">
      <c r="A111" s="365"/>
      <c r="B111" s="380"/>
      <c r="C111" s="174" t="s">
        <v>1094</v>
      </c>
      <c r="D111" s="176"/>
      <c r="E111" s="90">
        <v>34</v>
      </c>
      <c r="F111" s="93">
        <v>40</v>
      </c>
      <c r="G111" s="93">
        <v>39</v>
      </c>
      <c r="H111" s="93">
        <v>0</v>
      </c>
      <c r="I111" s="93">
        <v>0</v>
      </c>
      <c r="J111" s="93">
        <v>1</v>
      </c>
      <c r="K111" s="93">
        <v>0</v>
      </c>
    </row>
    <row r="112" spans="1:11" ht="27" customHeight="1" x14ac:dyDescent="0.2">
      <c r="A112" s="365"/>
      <c r="B112" s="381"/>
      <c r="C112" s="174" t="s">
        <v>1095</v>
      </c>
      <c r="D112" s="176"/>
      <c r="E112" s="90">
        <v>35</v>
      </c>
      <c r="F112" s="93">
        <v>117</v>
      </c>
      <c r="G112" s="93">
        <v>103</v>
      </c>
      <c r="H112" s="93">
        <v>13</v>
      </c>
      <c r="I112" s="93">
        <v>0</v>
      </c>
      <c r="J112" s="93">
        <v>1</v>
      </c>
      <c r="K112" s="93">
        <v>0</v>
      </c>
    </row>
    <row r="113" spans="1:11" ht="27" customHeight="1" x14ac:dyDescent="0.2">
      <c r="A113" s="365"/>
      <c r="B113" s="380" t="s">
        <v>1088</v>
      </c>
      <c r="C113" s="174" t="s">
        <v>68</v>
      </c>
      <c r="D113" s="176"/>
      <c r="E113" s="90">
        <v>36</v>
      </c>
      <c r="F113" s="93">
        <v>369</v>
      </c>
      <c r="G113" s="93">
        <v>363</v>
      </c>
      <c r="H113" s="93">
        <v>3</v>
      </c>
      <c r="I113" s="93">
        <v>0</v>
      </c>
      <c r="J113" s="93">
        <v>3</v>
      </c>
      <c r="K113" s="93">
        <v>0</v>
      </c>
    </row>
    <row r="114" spans="1:11" ht="27" customHeight="1" x14ac:dyDescent="0.2">
      <c r="A114" s="365"/>
      <c r="B114" s="380"/>
      <c r="C114" s="174" t="s">
        <v>69</v>
      </c>
      <c r="D114" s="176"/>
      <c r="E114" s="90">
        <v>37</v>
      </c>
      <c r="F114" s="93">
        <v>8</v>
      </c>
      <c r="G114" s="93">
        <v>6</v>
      </c>
      <c r="H114" s="93">
        <v>0</v>
      </c>
      <c r="I114" s="93">
        <v>0</v>
      </c>
      <c r="J114" s="93">
        <v>2</v>
      </c>
      <c r="K114" s="93">
        <v>0</v>
      </c>
    </row>
    <row r="115" spans="1:11" ht="27" customHeight="1" x14ac:dyDescent="0.2">
      <c r="A115" s="365"/>
      <c r="B115" s="381"/>
      <c r="C115" s="174" t="s">
        <v>1096</v>
      </c>
      <c r="D115" s="176"/>
      <c r="E115" s="90">
        <v>38</v>
      </c>
      <c r="F115" s="93">
        <v>1837.3476000000001</v>
      </c>
      <c r="G115" s="93">
        <v>1775.9177999999999</v>
      </c>
      <c r="H115" s="93">
        <v>18.4298</v>
      </c>
      <c r="I115" s="93">
        <v>0</v>
      </c>
      <c r="J115" s="93">
        <v>43</v>
      </c>
      <c r="K115" s="93">
        <v>0</v>
      </c>
    </row>
    <row r="116" spans="1:11" ht="27" customHeight="1" x14ac:dyDescent="0.2">
      <c r="A116" s="365"/>
      <c r="B116" s="174" t="s">
        <v>1097</v>
      </c>
      <c r="C116" s="175"/>
      <c r="D116" s="176"/>
      <c r="E116" s="90">
        <v>39</v>
      </c>
      <c r="F116" s="93">
        <v>215</v>
      </c>
      <c r="G116" s="93">
        <v>182</v>
      </c>
      <c r="H116" s="93">
        <v>0</v>
      </c>
      <c r="I116" s="93">
        <v>23</v>
      </c>
      <c r="J116" s="93">
        <v>10</v>
      </c>
      <c r="K116" s="93">
        <v>0</v>
      </c>
    </row>
    <row r="117" spans="1:11" ht="27" customHeight="1" x14ac:dyDescent="0.2">
      <c r="A117" s="365"/>
      <c r="B117" s="174" t="s">
        <v>1098</v>
      </c>
      <c r="C117" s="175"/>
      <c r="D117" s="176"/>
      <c r="E117" s="90">
        <v>40</v>
      </c>
      <c r="F117" s="93">
        <v>1182498.9247999999</v>
      </c>
      <c r="G117" s="93">
        <v>1170790.8086999999</v>
      </c>
      <c r="H117" s="93">
        <v>9607.5589999999993</v>
      </c>
      <c r="I117" s="93">
        <v>0</v>
      </c>
      <c r="J117" s="93">
        <v>2100.5571</v>
      </c>
      <c r="K117" s="93">
        <v>0</v>
      </c>
    </row>
    <row r="118" spans="1:11" ht="27" customHeight="1" x14ac:dyDescent="0.2">
      <c r="A118" s="365"/>
      <c r="B118" s="190" t="s">
        <v>34</v>
      </c>
      <c r="C118" s="174" t="s">
        <v>1099</v>
      </c>
      <c r="D118" s="176"/>
      <c r="E118" s="90">
        <v>41</v>
      </c>
      <c r="F118" s="93">
        <v>0.96250000000000002</v>
      </c>
      <c r="G118" s="93">
        <v>0.96250000000000002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65"/>
      <c r="B119" s="339"/>
      <c r="C119" s="174" t="s">
        <v>1100</v>
      </c>
      <c r="D119" s="176"/>
      <c r="E119" s="90">
        <v>42</v>
      </c>
      <c r="F119" s="93">
        <v>29.437000000000001</v>
      </c>
      <c r="G119" s="93">
        <v>29.437000000000001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65"/>
      <c r="B120" s="339"/>
      <c r="C120" s="277" t="s">
        <v>1101</v>
      </c>
      <c r="D120" s="257"/>
      <c r="E120" s="90">
        <v>43</v>
      </c>
      <c r="F120" s="93">
        <v>1899.2408</v>
      </c>
      <c r="G120" s="93">
        <v>1491.1207999999999</v>
      </c>
      <c r="H120" s="93">
        <v>408.12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65"/>
      <c r="B121" s="339"/>
      <c r="C121" s="277" t="s">
        <v>1102</v>
      </c>
      <c r="D121" s="257"/>
      <c r="E121" s="90">
        <v>44</v>
      </c>
      <c r="F121" s="93">
        <v>2285.5082000000002</v>
      </c>
      <c r="G121" s="93">
        <v>2230.2251999999999</v>
      </c>
      <c r="H121" s="93">
        <v>0</v>
      </c>
      <c r="I121" s="93">
        <v>0</v>
      </c>
      <c r="J121" s="93">
        <v>55.283000000000001</v>
      </c>
      <c r="K121" s="93">
        <v>0</v>
      </c>
    </row>
    <row r="122" spans="1:11" ht="27" customHeight="1" x14ac:dyDescent="0.2">
      <c r="A122" s="365"/>
      <c r="B122" s="339"/>
      <c r="C122" s="277" t="s">
        <v>1103</v>
      </c>
      <c r="D122" s="257"/>
      <c r="E122" s="90">
        <v>45</v>
      </c>
      <c r="F122" s="93">
        <v>31.290500000000002</v>
      </c>
      <c r="G122" s="93">
        <v>11.5495</v>
      </c>
      <c r="H122" s="93">
        <v>3.9409999999999998</v>
      </c>
      <c r="I122" s="93">
        <v>0</v>
      </c>
      <c r="J122" s="93">
        <v>15.8</v>
      </c>
      <c r="K122" s="93">
        <v>0</v>
      </c>
    </row>
    <row r="123" spans="1:11" ht="27" customHeight="1" x14ac:dyDescent="0.2">
      <c r="A123" s="365"/>
      <c r="B123" s="339"/>
      <c r="C123" s="277" t="s">
        <v>1104</v>
      </c>
      <c r="D123" s="257"/>
      <c r="E123" s="90">
        <v>46</v>
      </c>
      <c r="F123" s="93">
        <v>1161760.2753000001</v>
      </c>
      <c r="G123" s="93">
        <v>1150655.2631999999</v>
      </c>
      <c r="H123" s="93">
        <v>9075.6360000000004</v>
      </c>
      <c r="I123" s="93">
        <v>0</v>
      </c>
      <c r="J123" s="93">
        <v>2029.3761</v>
      </c>
      <c r="K123" s="93">
        <v>0</v>
      </c>
    </row>
    <row r="124" spans="1:11" ht="27" customHeight="1" x14ac:dyDescent="0.2">
      <c r="A124" s="366"/>
      <c r="B124" s="191"/>
      <c r="C124" s="277" t="s">
        <v>1105</v>
      </c>
      <c r="D124" s="257"/>
      <c r="E124" s="90">
        <v>47</v>
      </c>
      <c r="F124" s="93">
        <v>7663.0801000000001</v>
      </c>
      <c r="G124" s="93">
        <v>7663.0801000000001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51" t="s">
        <v>41</v>
      </c>
      <c r="B125" s="352"/>
      <c r="C125" s="352"/>
      <c r="D125" s="353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64" t="s">
        <v>1082</v>
      </c>
      <c r="B126" s="174" t="s">
        <v>1106</v>
      </c>
      <c r="C126" s="175"/>
      <c r="D126" s="176"/>
      <c r="E126" s="90">
        <v>48</v>
      </c>
      <c r="F126" s="93">
        <v>618565.23470000003</v>
      </c>
      <c r="G126" s="93">
        <v>603828.33149999997</v>
      </c>
      <c r="H126" s="93">
        <v>14569.812900000001</v>
      </c>
      <c r="I126" s="93">
        <v>0</v>
      </c>
      <c r="J126" s="93">
        <v>167.09030000000001</v>
      </c>
      <c r="K126" s="93">
        <v>0</v>
      </c>
    </row>
    <row r="127" spans="1:11" ht="27" customHeight="1" x14ac:dyDescent="0.2">
      <c r="A127" s="365"/>
      <c r="B127" s="190" t="s">
        <v>34</v>
      </c>
      <c r="C127" s="174" t="s">
        <v>1107</v>
      </c>
      <c r="D127" s="176"/>
      <c r="E127" s="90">
        <v>49</v>
      </c>
      <c r="F127" s="93">
        <v>26552.165099999998</v>
      </c>
      <c r="G127" s="93">
        <v>26445.9349</v>
      </c>
      <c r="H127" s="93">
        <v>81.430999999999997</v>
      </c>
      <c r="I127" s="93">
        <v>0</v>
      </c>
      <c r="J127" s="93">
        <v>24.799199999999999</v>
      </c>
      <c r="K127" s="93">
        <v>0</v>
      </c>
    </row>
    <row r="128" spans="1:11" ht="27" customHeight="1" x14ac:dyDescent="0.2">
      <c r="A128" s="365"/>
      <c r="B128" s="191"/>
      <c r="C128" s="174" t="s">
        <v>1108</v>
      </c>
      <c r="D128" s="176"/>
      <c r="E128" s="90">
        <v>50</v>
      </c>
      <c r="F128" s="93">
        <v>2.4474</v>
      </c>
      <c r="G128" s="93">
        <v>2.4472999999999998</v>
      </c>
      <c r="H128" s="93">
        <v>1E-4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65"/>
      <c r="B129" s="174" t="s">
        <v>1109</v>
      </c>
      <c r="C129" s="175"/>
      <c r="D129" s="176"/>
      <c r="E129" s="90">
        <v>51</v>
      </c>
      <c r="F129" s="93">
        <v>1156.6321</v>
      </c>
      <c r="G129" s="93">
        <v>1156.1321</v>
      </c>
      <c r="H129" s="93">
        <v>0.5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65"/>
      <c r="B130" s="190" t="s">
        <v>34</v>
      </c>
      <c r="C130" s="165" t="s">
        <v>1110</v>
      </c>
      <c r="D130" s="167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65"/>
      <c r="B131" s="339"/>
      <c r="C131" s="165" t="s">
        <v>1111</v>
      </c>
      <c r="D131" s="167"/>
      <c r="E131" s="90">
        <v>53</v>
      </c>
      <c r="F131" s="93">
        <v>7.46E-2</v>
      </c>
      <c r="G131" s="93">
        <v>7.46E-2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65"/>
      <c r="B132" s="339"/>
      <c r="C132" s="165" t="s">
        <v>1112</v>
      </c>
      <c r="D132" s="167"/>
      <c r="E132" s="90">
        <v>54</v>
      </c>
      <c r="F132" s="93">
        <v>0.505</v>
      </c>
      <c r="G132" s="93">
        <v>0.505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65"/>
      <c r="B133" s="191"/>
      <c r="C133" s="165" t="s">
        <v>1113</v>
      </c>
      <c r="D133" s="167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65"/>
      <c r="B134" s="174" t="s">
        <v>1114</v>
      </c>
      <c r="C134" s="175"/>
      <c r="D134" s="176"/>
      <c r="E134" s="90">
        <v>56</v>
      </c>
      <c r="F134" s="93">
        <v>5266.5240000000003</v>
      </c>
      <c r="G134" s="93">
        <v>4947.6970000000001</v>
      </c>
      <c r="H134" s="93">
        <v>317.65699999999998</v>
      </c>
      <c r="I134" s="93">
        <v>0</v>
      </c>
      <c r="J134" s="93">
        <v>1.17</v>
      </c>
      <c r="K134" s="93">
        <v>0</v>
      </c>
    </row>
    <row r="135" spans="1:11" ht="27" customHeight="1" x14ac:dyDescent="0.2">
      <c r="A135" s="365"/>
      <c r="B135" s="190" t="s">
        <v>34</v>
      </c>
      <c r="C135" s="174" t="s">
        <v>1115</v>
      </c>
      <c r="D135" s="176"/>
      <c r="E135" s="90">
        <v>57</v>
      </c>
      <c r="F135" s="93">
        <v>3473.1536000000001</v>
      </c>
      <c r="G135" s="93">
        <v>3249.5236</v>
      </c>
      <c r="H135" s="93">
        <v>223.63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65"/>
      <c r="B136" s="339"/>
      <c r="C136" s="174" t="s">
        <v>1116</v>
      </c>
      <c r="D136" s="176"/>
      <c r="E136" s="90">
        <v>58</v>
      </c>
      <c r="F136" s="93">
        <v>75.995400000000004</v>
      </c>
      <c r="G136" s="93">
        <v>75.995400000000004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65"/>
      <c r="B137" s="339"/>
      <c r="C137" s="165" t="s">
        <v>1117</v>
      </c>
      <c r="D137" s="167"/>
      <c r="E137" s="90">
        <v>59</v>
      </c>
      <c r="F137" s="93">
        <v>1573.3364999999999</v>
      </c>
      <c r="G137" s="93">
        <v>1513.2764999999999</v>
      </c>
      <c r="H137" s="93">
        <v>58.89</v>
      </c>
      <c r="I137" s="93">
        <v>0</v>
      </c>
      <c r="J137" s="93">
        <v>1.17</v>
      </c>
      <c r="K137" s="93">
        <v>0</v>
      </c>
    </row>
    <row r="138" spans="1:11" ht="27" customHeight="1" x14ac:dyDescent="0.2">
      <c r="A138" s="365"/>
      <c r="B138" s="339"/>
      <c r="C138" s="165" t="s">
        <v>1118</v>
      </c>
      <c r="D138" s="167"/>
      <c r="E138" s="90">
        <v>60</v>
      </c>
      <c r="F138" s="93">
        <v>98.5</v>
      </c>
      <c r="G138" s="93">
        <v>98.5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65"/>
      <c r="B139" s="191"/>
      <c r="C139" s="165" t="s">
        <v>1119</v>
      </c>
      <c r="D139" s="167"/>
      <c r="E139" s="90">
        <v>61</v>
      </c>
      <c r="F139" s="93">
        <v>2.7765</v>
      </c>
      <c r="G139" s="93">
        <v>2.7765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65"/>
      <c r="B140" s="174" t="s">
        <v>1120</v>
      </c>
      <c r="C140" s="175"/>
      <c r="D140" s="176"/>
      <c r="E140" s="90">
        <v>62</v>
      </c>
      <c r="F140" s="93">
        <v>2.5499999999999998</v>
      </c>
      <c r="G140" s="93">
        <v>2.5499999999999998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66"/>
      <c r="B141" s="174" t="s">
        <v>1121</v>
      </c>
      <c r="C141" s="175"/>
      <c r="D141" s="176"/>
      <c r="E141" s="90">
        <v>63</v>
      </c>
      <c r="F141" s="93">
        <v>516.48649999999998</v>
      </c>
      <c r="G141" s="93">
        <v>315.69549999999998</v>
      </c>
      <c r="H141" s="93">
        <v>0</v>
      </c>
      <c r="I141" s="93">
        <v>0</v>
      </c>
      <c r="J141" s="93">
        <v>200.791</v>
      </c>
      <c r="K141" s="93">
        <v>0</v>
      </c>
    </row>
    <row r="142" spans="1:11" ht="27" customHeight="1" x14ac:dyDescent="0.2">
      <c r="A142" s="304" t="s">
        <v>115</v>
      </c>
      <c r="B142" s="305"/>
      <c r="C142" s="305"/>
      <c r="D142" s="306"/>
      <c r="E142" s="90">
        <v>64</v>
      </c>
      <c r="F142" s="93">
        <f t="shared" ref="F142:K142" si="1">SUM(F126:F141,F78:F124)</f>
        <v>113544258.34410001</v>
      </c>
      <c r="G142" s="93">
        <f t="shared" si="1"/>
        <v>22417155.976600002</v>
      </c>
      <c r="H142" s="93">
        <f t="shared" si="1"/>
        <v>882524.33180000004</v>
      </c>
      <c r="I142" s="93">
        <f t="shared" si="1"/>
        <v>22843027.225000001</v>
      </c>
      <c r="J142" s="93">
        <f t="shared" si="1"/>
        <v>12598181.6347</v>
      </c>
      <c r="K142" s="93">
        <f t="shared" si="1"/>
        <v>54803369.175999999</v>
      </c>
    </row>
    <row r="143" spans="1:11" ht="31.5" customHeight="1" x14ac:dyDescent="0.2">
      <c r="A143" s="369" t="s">
        <v>1057</v>
      </c>
      <c r="B143" s="369"/>
      <c r="C143" s="369"/>
      <c r="D143" s="369"/>
      <c r="E143" s="369"/>
      <c r="F143" s="369"/>
      <c r="G143" s="369"/>
      <c r="H143" s="369"/>
      <c r="I143" s="369"/>
      <c r="J143" s="369"/>
      <c r="K143" s="369"/>
    </row>
    <row r="144" spans="1:11" ht="31.5" customHeight="1" x14ac:dyDescent="0.2">
      <c r="A144" s="215" t="s">
        <v>1123</v>
      </c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</row>
    <row r="145" spans="1:11" ht="42.75" customHeight="1" x14ac:dyDescent="0.2">
      <c r="A145" s="370"/>
      <c r="B145" s="371"/>
      <c r="C145" s="371"/>
      <c r="D145" s="372"/>
      <c r="E145" s="379" t="s">
        <v>15</v>
      </c>
      <c r="F145" s="190" t="s">
        <v>33</v>
      </c>
      <c r="G145" s="382" t="s">
        <v>1059</v>
      </c>
      <c r="H145" s="382"/>
      <c r="I145" s="382"/>
      <c r="J145" s="382"/>
      <c r="K145" s="341"/>
    </row>
    <row r="146" spans="1:11" ht="12.75" customHeight="1" x14ac:dyDescent="0.2">
      <c r="A146" s="373"/>
      <c r="B146" s="374"/>
      <c r="C146" s="374"/>
      <c r="D146" s="375"/>
      <c r="E146" s="380"/>
      <c r="F146" s="339"/>
      <c r="G146" s="224" t="s">
        <v>971</v>
      </c>
      <c r="H146" s="224" t="s">
        <v>90</v>
      </c>
      <c r="I146" s="224" t="s">
        <v>972</v>
      </c>
      <c r="J146" s="224" t="s">
        <v>974</v>
      </c>
      <c r="K146" s="224" t="s">
        <v>975</v>
      </c>
    </row>
    <row r="147" spans="1:11" ht="37.5" customHeight="1" x14ac:dyDescent="0.2">
      <c r="A147" s="376"/>
      <c r="B147" s="377"/>
      <c r="C147" s="377"/>
      <c r="D147" s="378"/>
      <c r="E147" s="381"/>
      <c r="F147" s="191"/>
      <c r="G147" s="226"/>
      <c r="H147" s="226"/>
      <c r="I147" s="226"/>
      <c r="J147" s="226"/>
      <c r="K147" s="226"/>
    </row>
    <row r="148" spans="1:11" ht="13.35" customHeight="1" x14ac:dyDescent="0.2">
      <c r="A148" s="351" t="s">
        <v>41</v>
      </c>
      <c r="B148" s="352"/>
      <c r="C148" s="352"/>
      <c r="D148" s="353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304" t="s">
        <v>1060</v>
      </c>
      <c r="B149" s="305"/>
      <c r="C149" s="305"/>
      <c r="D149" s="306"/>
      <c r="E149" s="90">
        <v>1</v>
      </c>
      <c r="F149" s="91">
        <v>189976.75</v>
      </c>
      <c r="G149" s="91">
        <v>181484.69</v>
      </c>
      <c r="H149" s="91">
        <v>57</v>
      </c>
      <c r="I149" s="91">
        <v>0</v>
      </c>
      <c r="J149" s="91">
        <v>8435.06</v>
      </c>
      <c r="K149" s="91">
        <v>0</v>
      </c>
    </row>
    <row r="150" spans="1:11" ht="27" customHeight="1" x14ac:dyDescent="0.2">
      <c r="A150" s="190" t="s">
        <v>1061</v>
      </c>
      <c r="B150" s="304" t="s">
        <v>1062</v>
      </c>
      <c r="C150" s="305"/>
      <c r="D150" s="306"/>
      <c r="E150" s="90">
        <v>2</v>
      </c>
      <c r="F150" s="91">
        <v>129939.41</v>
      </c>
      <c r="G150" s="91">
        <v>121567.35</v>
      </c>
      <c r="H150" s="91">
        <v>0</v>
      </c>
      <c r="I150" s="91">
        <v>0</v>
      </c>
      <c r="J150" s="91">
        <v>8372.06</v>
      </c>
      <c r="K150" s="91">
        <v>0</v>
      </c>
    </row>
    <row r="151" spans="1:11" ht="27" customHeight="1" x14ac:dyDescent="0.2">
      <c r="A151" s="339"/>
      <c r="B151" s="213" t="s">
        <v>1063</v>
      </c>
      <c r="C151" s="367"/>
      <c r="D151" s="42" t="s">
        <v>1064</v>
      </c>
      <c r="E151" s="90">
        <v>3</v>
      </c>
      <c r="F151" s="91">
        <v>4395.47</v>
      </c>
      <c r="G151" s="91">
        <v>4395.47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191"/>
      <c r="B152" s="214"/>
      <c r="C152" s="368"/>
      <c r="D152" s="42" t="s">
        <v>1065</v>
      </c>
      <c r="E152" s="90">
        <v>4</v>
      </c>
      <c r="F152" s="91">
        <v>324.98</v>
      </c>
      <c r="G152" s="91">
        <v>324.98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74" t="s">
        <v>1071</v>
      </c>
      <c r="B153" s="175"/>
      <c r="C153" s="175"/>
      <c r="D153" s="176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74" t="s">
        <v>1072</v>
      </c>
      <c r="B154" s="175"/>
      <c r="C154" s="175"/>
      <c r="D154" s="176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74" t="s">
        <v>1073</v>
      </c>
      <c r="B155" s="175"/>
      <c r="C155" s="175"/>
      <c r="D155" s="176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74" t="s">
        <v>1074</v>
      </c>
      <c r="B156" s="175"/>
      <c r="C156" s="175"/>
      <c r="D156" s="176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74" t="s">
        <v>1075</v>
      </c>
      <c r="B157" s="175"/>
      <c r="C157" s="175"/>
      <c r="D157" s="176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304" t="s">
        <v>1076</v>
      </c>
      <c r="B158" s="305"/>
      <c r="C158" s="305"/>
      <c r="D158" s="306"/>
      <c r="E158" s="90">
        <v>10</v>
      </c>
      <c r="F158" s="91">
        <v>26178.87</v>
      </c>
      <c r="G158" s="91">
        <v>25248.38</v>
      </c>
      <c r="H158" s="91">
        <v>0</v>
      </c>
      <c r="I158" s="91">
        <v>0</v>
      </c>
      <c r="J158" s="91">
        <v>930.49</v>
      </c>
      <c r="K158" s="91">
        <v>0</v>
      </c>
    </row>
    <row r="159" spans="1:11" ht="27" customHeight="1" x14ac:dyDescent="0.2">
      <c r="A159" s="190" t="s">
        <v>1061</v>
      </c>
      <c r="B159" s="304" t="s">
        <v>1062</v>
      </c>
      <c r="C159" s="305"/>
      <c r="D159" s="306"/>
      <c r="E159" s="90">
        <v>11</v>
      </c>
      <c r="F159" s="91">
        <v>14419.59</v>
      </c>
      <c r="G159" s="91">
        <v>13541.1</v>
      </c>
      <c r="H159" s="91">
        <v>0</v>
      </c>
      <c r="I159" s="91">
        <v>0</v>
      </c>
      <c r="J159" s="91">
        <v>878.49</v>
      </c>
      <c r="K159" s="91">
        <v>0</v>
      </c>
    </row>
    <row r="160" spans="1:11" ht="27" customHeight="1" x14ac:dyDescent="0.2">
      <c r="A160" s="339"/>
      <c r="B160" s="213" t="s">
        <v>1063</v>
      </c>
      <c r="C160" s="367"/>
      <c r="D160" s="42" t="s">
        <v>1064</v>
      </c>
      <c r="E160" s="90">
        <v>12</v>
      </c>
      <c r="F160" s="91">
        <v>1007.47</v>
      </c>
      <c r="G160" s="91">
        <v>1007.47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191"/>
      <c r="B161" s="214"/>
      <c r="C161" s="368"/>
      <c r="D161" s="42" t="s">
        <v>1065</v>
      </c>
      <c r="E161" s="90">
        <v>13</v>
      </c>
      <c r="F161" s="91">
        <v>159.69</v>
      </c>
      <c r="G161" s="91">
        <v>159.69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304" t="s">
        <v>1077</v>
      </c>
      <c r="B162" s="305"/>
      <c r="C162" s="305"/>
      <c r="D162" s="306"/>
      <c r="E162" s="90">
        <v>14</v>
      </c>
      <c r="F162" s="91">
        <v>33618.949999999997</v>
      </c>
      <c r="G162" s="91">
        <v>32758.45</v>
      </c>
      <c r="H162" s="91">
        <v>0</v>
      </c>
      <c r="I162" s="91">
        <v>0</v>
      </c>
      <c r="J162" s="91">
        <v>860.5</v>
      </c>
      <c r="K162" s="91">
        <v>0</v>
      </c>
    </row>
    <row r="163" spans="1:11" ht="27" customHeight="1" x14ac:dyDescent="0.2">
      <c r="A163" s="304" t="s">
        <v>1078</v>
      </c>
      <c r="B163" s="305"/>
      <c r="C163" s="305"/>
      <c r="D163" s="306"/>
      <c r="E163" s="90">
        <v>15</v>
      </c>
      <c r="F163" s="91">
        <v>108030.01</v>
      </c>
      <c r="G163" s="91">
        <v>100565.92</v>
      </c>
      <c r="H163" s="91">
        <v>0</v>
      </c>
      <c r="I163" s="91">
        <v>0</v>
      </c>
      <c r="J163" s="91">
        <v>7464.09</v>
      </c>
      <c r="K163" s="91">
        <v>0</v>
      </c>
    </row>
    <row r="164" spans="1:11" ht="30" customHeight="1" x14ac:dyDescent="0.2">
      <c r="A164" s="364" t="s">
        <v>1082</v>
      </c>
      <c r="B164" s="174" t="s">
        <v>1083</v>
      </c>
      <c r="C164" s="175"/>
      <c r="D164" s="176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65"/>
      <c r="B165" s="213" t="s">
        <v>1084</v>
      </c>
      <c r="C165" s="367"/>
      <c r="D165" s="41" t="s">
        <v>1085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65"/>
      <c r="B166" s="214"/>
      <c r="C166" s="368"/>
      <c r="D166" s="41" t="s">
        <v>1086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65"/>
      <c r="B167" s="174" t="s">
        <v>1087</v>
      </c>
      <c r="C167" s="175"/>
      <c r="D167" s="176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65"/>
      <c r="B168" s="174" t="s">
        <v>1097</v>
      </c>
      <c r="C168" s="175"/>
      <c r="D168" s="176"/>
      <c r="E168" s="90">
        <v>20</v>
      </c>
      <c r="F168" s="93">
        <v>3</v>
      </c>
      <c r="G168" s="93">
        <v>3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65"/>
      <c r="B169" s="174" t="s">
        <v>1098</v>
      </c>
      <c r="C169" s="175"/>
      <c r="D169" s="176"/>
      <c r="E169" s="90">
        <v>21</v>
      </c>
      <c r="F169" s="93">
        <v>89991.506699999998</v>
      </c>
      <c r="G169" s="93">
        <v>89751.108699999997</v>
      </c>
      <c r="H169" s="93">
        <v>57.53</v>
      </c>
      <c r="I169" s="93">
        <v>0</v>
      </c>
      <c r="J169" s="93">
        <v>182.86799999999999</v>
      </c>
      <c r="K169" s="93">
        <v>0</v>
      </c>
    </row>
    <row r="170" spans="1:11" ht="27" customHeight="1" x14ac:dyDescent="0.2">
      <c r="A170" s="365"/>
      <c r="B170" s="190" t="s">
        <v>34</v>
      </c>
      <c r="C170" s="174" t="s">
        <v>1099</v>
      </c>
      <c r="D170" s="176"/>
      <c r="E170" s="90">
        <v>22</v>
      </c>
      <c r="F170" s="93">
        <v>3.6757</v>
      </c>
      <c r="G170" s="93">
        <v>3.6757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65"/>
      <c r="B171" s="339"/>
      <c r="C171" s="174" t="s">
        <v>1100</v>
      </c>
      <c r="D171" s="176"/>
      <c r="E171" s="90">
        <v>23</v>
      </c>
      <c r="F171" s="93">
        <v>0.21729999999999999</v>
      </c>
      <c r="G171" s="93">
        <v>0.21729999999999999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65"/>
      <c r="B172" s="339"/>
      <c r="C172" s="277" t="s">
        <v>1101</v>
      </c>
      <c r="D172" s="257"/>
      <c r="E172" s="90">
        <v>24</v>
      </c>
      <c r="F172" s="93">
        <v>7.4791999999999996</v>
      </c>
      <c r="G172" s="93">
        <v>7.4791999999999996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65"/>
      <c r="B173" s="339"/>
      <c r="C173" s="277" t="s">
        <v>1102</v>
      </c>
      <c r="D173" s="257"/>
      <c r="E173" s="90">
        <v>25</v>
      </c>
      <c r="F173" s="93">
        <v>158.0247</v>
      </c>
      <c r="G173" s="93">
        <v>157.8417</v>
      </c>
      <c r="H173" s="93">
        <v>0</v>
      </c>
      <c r="I173" s="93">
        <v>0</v>
      </c>
      <c r="J173" s="93">
        <v>0.183</v>
      </c>
      <c r="K173" s="93">
        <v>0</v>
      </c>
    </row>
    <row r="174" spans="1:11" ht="27" customHeight="1" x14ac:dyDescent="0.2">
      <c r="A174" s="365"/>
      <c r="B174" s="339"/>
      <c r="C174" s="277" t="s">
        <v>1103</v>
      </c>
      <c r="D174" s="257"/>
      <c r="E174" s="90">
        <v>26</v>
      </c>
      <c r="F174" s="93">
        <v>6.7839999999999998</v>
      </c>
      <c r="G174" s="93">
        <v>6.7839999999999998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65"/>
      <c r="B175" s="339"/>
      <c r="C175" s="277" t="s">
        <v>1104</v>
      </c>
      <c r="D175" s="257"/>
      <c r="E175" s="90">
        <v>27</v>
      </c>
      <c r="F175" s="93">
        <v>88953.341799999995</v>
      </c>
      <c r="G175" s="93">
        <v>88714.713799999998</v>
      </c>
      <c r="H175" s="93">
        <v>57.53</v>
      </c>
      <c r="I175" s="93">
        <v>0</v>
      </c>
      <c r="J175" s="93">
        <v>181.09800000000001</v>
      </c>
      <c r="K175" s="93">
        <v>0</v>
      </c>
    </row>
    <row r="176" spans="1:11" ht="27" customHeight="1" x14ac:dyDescent="0.2">
      <c r="A176" s="365"/>
      <c r="B176" s="191"/>
      <c r="C176" s="277" t="s">
        <v>1105</v>
      </c>
      <c r="D176" s="257"/>
      <c r="E176" s="90">
        <v>28</v>
      </c>
      <c r="F176" s="93">
        <v>438.69749999999999</v>
      </c>
      <c r="G176" s="93">
        <v>438.69749999999999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65"/>
      <c r="B177" s="174" t="s">
        <v>1106</v>
      </c>
      <c r="C177" s="175"/>
      <c r="D177" s="176"/>
      <c r="E177" s="90">
        <v>29</v>
      </c>
      <c r="F177" s="93">
        <v>2069.6860999999999</v>
      </c>
      <c r="G177" s="93">
        <v>2054.4423000000002</v>
      </c>
      <c r="H177" s="93">
        <v>1.2040999999999999</v>
      </c>
      <c r="I177" s="93">
        <v>0</v>
      </c>
      <c r="J177" s="93">
        <v>14.0397</v>
      </c>
      <c r="K177" s="93">
        <v>0</v>
      </c>
    </row>
    <row r="178" spans="1:11" ht="27" customHeight="1" x14ac:dyDescent="0.2">
      <c r="A178" s="365"/>
      <c r="B178" s="190" t="s">
        <v>34</v>
      </c>
      <c r="C178" s="174" t="s">
        <v>1107</v>
      </c>
      <c r="D178" s="176"/>
      <c r="E178" s="90">
        <v>30</v>
      </c>
      <c r="F178" s="93">
        <v>399.15</v>
      </c>
      <c r="G178" s="93">
        <v>393.19389999999999</v>
      </c>
      <c r="H178" s="93">
        <v>0</v>
      </c>
      <c r="I178" s="93">
        <v>0</v>
      </c>
      <c r="J178" s="93">
        <v>5.9561000000000002</v>
      </c>
      <c r="K178" s="93">
        <v>0</v>
      </c>
    </row>
    <row r="179" spans="1:11" ht="27" customHeight="1" x14ac:dyDescent="0.2">
      <c r="A179" s="365"/>
      <c r="B179" s="191"/>
      <c r="C179" s="174" t="s">
        <v>1108</v>
      </c>
      <c r="D179" s="176"/>
      <c r="E179" s="90">
        <v>31</v>
      </c>
      <c r="F179" s="93">
        <v>5.9999999999999995E-4</v>
      </c>
      <c r="G179" s="93">
        <v>5.9999999999999995E-4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65"/>
      <c r="B180" s="174" t="s">
        <v>1109</v>
      </c>
      <c r="C180" s="175"/>
      <c r="D180" s="176"/>
      <c r="E180" s="90">
        <v>32</v>
      </c>
      <c r="F180" s="93">
        <v>1.8119000000000001</v>
      </c>
      <c r="G180" s="93">
        <v>1.8119000000000001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65"/>
      <c r="B181" s="190" t="s">
        <v>34</v>
      </c>
      <c r="C181" s="165" t="s">
        <v>1110</v>
      </c>
      <c r="D181" s="167"/>
      <c r="E181" s="90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65"/>
      <c r="B182" s="339"/>
      <c r="C182" s="165" t="s">
        <v>1111</v>
      </c>
      <c r="D182" s="167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65"/>
      <c r="B183" s="339"/>
      <c r="C183" s="165" t="s">
        <v>1112</v>
      </c>
      <c r="D183" s="167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65"/>
      <c r="B184" s="191"/>
      <c r="C184" s="165" t="s">
        <v>1113</v>
      </c>
      <c r="D184" s="167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65"/>
      <c r="B185" s="174" t="s">
        <v>1114</v>
      </c>
      <c r="C185" s="175"/>
      <c r="D185" s="176"/>
      <c r="E185" s="90">
        <v>37</v>
      </c>
      <c r="F185" s="93">
        <v>25.235600000000002</v>
      </c>
      <c r="G185" s="93">
        <v>25.235600000000002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65"/>
      <c r="B186" s="190" t="s">
        <v>34</v>
      </c>
      <c r="C186" s="174" t="s">
        <v>1115</v>
      </c>
      <c r="D186" s="176"/>
      <c r="E186" s="90">
        <v>38</v>
      </c>
      <c r="F186" s="93">
        <v>8.7279999999999998</v>
      </c>
      <c r="G186" s="93">
        <v>8.7279999999999998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65"/>
      <c r="B187" s="339"/>
      <c r="C187" s="174" t="s">
        <v>1116</v>
      </c>
      <c r="D187" s="176"/>
      <c r="E187" s="90">
        <v>39</v>
      </c>
      <c r="F187" s="93">
        <v>9.8339999999999996</v>
      </c>
      <c r="G187" s="93">
        <v>9.8339999999999996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65"/>
      <c r="B188" s="339"/>
      <c r="C188" s="165" t="s">
        <v>1117</v>
      </c>
      <c r="D188" s="167"/>
      <c r="E188" s="90">
        <v>40</v>
      </c>
      <c r="F188" s="93">
        <v>6.6539999999999999</v>
      </c>
      <c r="G188" s="93">
        <v>6.6539999999999999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65"/>
      <c r="B189" s="339"/>
      <c r="C189" s="165" t="s">
        <v>1118</v>
      </c>
      <c r="D189" s="167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65"/>
      <c r="B190" s="191"/>
      <c r="C190" s="165" t="s">
        <v>1119</v>
      </c>
      <c r="D190" s="167"/>
      <c r="E190" s="90">
        <v>42</v>
      </c>
      <c r="F190" s="93">
        <v>1.9599999999999999E-2</v>
      </c>
      <c r="G190" s="93">
        <v>1.9599999999999999E-2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65"/>
      <c r="B191" s="174" t="s">
        <v>1120</v>
      </c>
      <c r="C191" s="175"/>
      <c r="D191" s="176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66"/>
      <c r="B192" s="174" t="s">
        <v>1121</v>
      </c>
      <c r="C192" s="175"/>
      <c r="D192" s="176"/>
      <c r="E192" s="90">
        <v>44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4" t="s">
        <v>115</v>
      </c>
      <c r="B193" s="305"/>
      <c r="C193" s="305"/>
      <c r="D193" s="306"/>
      <c r="E193" s="90">
        <v>45</v>
      </c>
      <c r="F193" s="93">
        <f t="shared" ref="F193:K193" si="2">SUM(F149:F192)</f>
        <v>690135.03669999994</v>
      </c>
      <c r="G193" s="93">
        <f t="shared" si="2"/>
        <v>662636.93779999996</v>
      </c>
      <c r="H193" s="93">
        <f t="shared" si="2"/>
        <v>173.26410000000001</v>
      </c>
      <c r="I193" s="93">
        <f t="shared" si="2"/>
        <v>0</v>
      </c>
      <c r="J193" s="93">
        <f t="shared" si="2"/>
        <v>27324.834800000004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41" t="s">
        <v>1124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</row>
    <row r="2" spans="1:29" ht="19.5" customHeight="1" x14ac:dyDescent="0.25">
      <c r="A2" s="14" t="s">
        <v>1125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23"/>
      <c r="B3" s="424"/>
      <c r="C3" s="424"/>
      <c r="D3" s="424"/>
      <c r="E3" s="424"/>
      <c r="F3" s="424"/>
      <c r="G3" s="424"/>
      <c r="H3" s="348" t="s">
        <v>15</v>
      </c>
      <c r="I3" s="429" t="s">
        <v>1126</v>
      </c>
      <c r="J3" s="429" t="s">
        <v>1127</v>
      </c>
      <c r="K3" s="168" t="s">
        <v>16</v>
      </c>
      <c r="L3" s="168" t="s">
        <v>1128</v>
      </c>
      <c r="M3" s="171" t="s">
        <v>1129</v>
      </c>
      <c r="N3" s="172"/>
      <c r="O3" s="173"/>
      <c r="P3" s="168" t="s">
        <v>19</v>
      </c>
      <c r="Q3" s="171" t="s">
        <v>20</v>
      </c>
      <c r="R3" s="172"/>
      <c r="S3" s="172"/>
      <c r="T3" s="172"/>
      <c r="U3" s="168" t="s">
        <v>21</v>
      </c>
      <c r="V3" s="419" t="s">
        <v>22</v>
      </c>
      <c r="W3" s="421"/>
      <c r="X3" s="421"/>
      <c r="Y3" s="422"/>
      <c r="Z3" s="171" t="s">
        <v>23</v>
      </c>
      <c r="AA3" s="172"/>
      <c r="AB3" s="172"/>
      <c r="AC3" s="168" t="s">
        <v>24</v>
      </c>
    </row>
    <row r="4" spans="1:29" ht="19.5" customHeight="1" x14ac:dyDescent="0.2">
      <c r="A4" s="425"/>
      <c r="B4" s="426"/>
      <c r="C4" s="426"/>
      <c r="D4" s="426"/>
      <c r="E4" s="426"/>
      <c r="F4" s="426"/>
      <c r="G4" s="426"/>
      <c r="H4" s="349"/>
      <c r="I4" s="430"/>
      <c r="J4" s="430"/>
      <c r="K4" s="170"/>
      <c r="L4" s="170"/>
      <c r="M4" s="168" t="s">
        <v>25</v>
      </c>
      <c r="N4" s="168" t="s">
        <v>26</v>
      </c>
      <c r="O4" s="168" t="s">
        <v>27</v>
      </c>
      <c r="P4" s="170"/>
      <c r="Q4" s="168" t="s">
        <v>28</v>
      </c>
      <c r="R4" s="168" t="s">
        <v>29</v>
      </c>
      <c r="S4" s="168" t="s">
        <v>30</v>
      </c>
      <c r="T4" s="419" t="s">
        <v>31</v>
      </c>
      <c r="U4" s="170"/>
      <c r="V4" s="171" t="s">
        <v>32</v>
      </c>
      <c r="W4" s="172"/>
      <c r="X4" s="172"/>
      <c r="Y4" s="173"/>
      <c r="Z4" s="168" t="s">
        <v>33</v>
      </c>
      <c r="AA4" s="171" t="s">
        <v>34</v>
      </c>
      <c r="AB4" s="172"/>
      <c r="AC4" s="170"/>
    </row>
    <row r="5" spans="1:29" ht="87.75" customHeight="1" x14ac:dyDescent="0.2">
      <c r="A5" s="427"/>
      <c r="B5" s="428"/>
      <c r="C5" s="428"/>
      <c r="D5" s="428"/>
      <c r="E5" s="428"/>
      <c r="F5" s="428"/>
      <c r="G5" s="428"/>
      <c r="H5" s="350"/>
      <c r="I5" s="431"/>
      <c r="J5" s="431"/>
      <c r="K5" s="169"/>
      <c r="L5" s="169"/>
      <c r="M5" s="169"/>
      <c r="N5" s="169"/>
      <c r="O5" s="169"/>
      <c r="P5" s="169"/>
      <c r="Q5" s="169"/>
      <c r="R5" s="169"/>
      <c r="S5" s="169"/>
      <c r="T5" s="420"/>
      <c r="U5" s="169"/>
      <c r="V5" s="19" t="s">
        <v>35</v>
      </c>
      <c r="W5" s="16" t="s">
        <v>36</v>
      </c>
      <c r="X5" s="16" t="s">
        <v>37</v>
      </c>
      <c r="Y5" s="16" t="s">
        <v>38</v>
      </c>
      <c r="Z5" s="169"/>
      <c r="AA5" s="18" t="s">
        <v>1130</v>
      </c>
      <c r="AB5" s="17" t="s">
        <v>1131</v>
      </c>
      <c r="AC5" s="170"/>
    </row>
    <row r="6" spans="1:29" ht="15.75" customHeight="1" x14ac:dyDescent="0.2">
      <c r="A6" s="192" t="s">
        <v>41</v>
      </c>
      <c r="B6" s="193"/>
      <c r="C6" s="193"/>
      <c r="D6" s="193"/>
      <c r="E6" s="193"/>
      <c r="F6" s="193"/>
      <c r="G6" s="194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73" t="s">
        <v>43</v>
      </c>
      <c r="B7" s="274"/>
      <c r="C7" s="274"/>
      <c r="D7" s="274"/>
      <c r="E7" s="274"/>
      <c r="F7" s="274"/>
      <c r="G7" s="275"/>
      <c r="H7" s="98">
        <v>1</v>
      </c>
      <c r="I7" s="24">
        <v>1526262</v>
      </c>
      <c r="J7" s="24">
        <v>14636</v>
      </c>
      <c r="K7" s="24">
        <v>15814</v>
      </c>
      <c r="L7" s="24">
        <v>4496</v>
      </c>
      <c r="M7" s="24">
        <v>16</v>
      </c>
      <c r="N7" s="24">
        <v>4111</v>
      </c>
      <c r="O7" s="24">
        <v>203</v>
      </c>
      <c r="P7" s="24">
        <v>32143</v>
      </c>
      <c r="Q7" s="24">
        <v>28231</v>
      </c>
      <c r="R7" s="24">
        <v>3508</v>
      </c>
      <c r="S7" s="24">
        <v>336</v>
      </c>
      <c r="T7" s="24">
        <v>68</v>
      </c>
      <c r="U7" s="24">
        <v>10227</v>
      </c>
      <c r="V7" s="24">
        <v>4132</v>
      </c>
      <c r="W7" s="24">
        <v>5547</v>
      </c>
      <c r="X7" s="24">
        <v>952</v>
      </c>
      <c r="Y7" s="24">
        <v>554</v>
      </c>
      <c r="Z7" s="24">
        <v>49584</v>
      </c>
      <c r="AA7" s="24">
        <v>49236</v>
      </c>
      <c r="AB7" s="31">
        <v>1</v>
      </c>
      <c r="AC7" s="31">
        <v>1493677</v>
      </c>
    </row>
    <row r="8" spans="1:29" ht="18.95" customHeight="1" x14ac:dyDescent="0.2">
      <c r="A8" s="295" t="s">
        <v>20</v>
      </c>
      <c r="B8" s="413" t="s">
        <v>45</v>
      </c>
      <c r="C8" s="414"/>
      <c r="D8" s="414"/>
      <c r="E8" s="414"/>
      <c r="F8" s="414"/>
      <c r="G8" s="415"/>
      <c r="H8" s="98">
        <v>2</v>
      </c>
      <c r="I8" s="24">
        <v>1064</v>
      </c>
      <c r="J8" s="24">
        <v>339</v>
      </c>
      <c r="K8" s="24">
        <v>632</v>
      </c>
      <c r="L8" s="24">
        <v>8</v>
      </c>
      <c r="M8" s="24">
        <v>0</v>
      </c>
      <c r="N8" s="24">
        <v>5</v>
      </c>
      <c r="O8" s="24">
        <v>3</v>
      </c>
      <c r="P8" s="24">
        <v>1297</v>
      </c>
      <c r="Q8" s="24">
        <v>1294</v>
      </c>
      <c r="R8" s="24">
        <v>1</v>
      </c>
      <c r="S8" s="24">
        <v>2</v>
      </c>
      <c r="T8" s="24">
        <v>0</v>
      </c>
      <c r="U8" s="24">
        <v>0</v>
      </c>
      <c r="V8" s="24">
        <v>50</v>
      </c>
      <c r="W8" s="24">
        <v>141</v>
      </c>
      <c r="X8" s="24">
        <v>1</v>
      </c>
      <c r="Y8" s="24">
        <v>0</v>
      </c>
      <c r="Z8" s="24">
        <v>0</v>
      </c>
      <c r="AA8" s="24">
        <v>0</v>
      </c>
      <c r="AB8" s="31">
        <v>0</v>
      </c>
      <c r="AC8" s="31">
        <v>98</v>
      </c>
    </row>
    <row r="9" spans="1:29" ht="18.95" customHeight="1" x14ac:dyDescent="0.2">
      <c r="A9" s="296"/>
      <c r="B9" s="413" t="s">
        <v>46</v>
      </c>
      <c r="C9" s="414"/>
      <c r="D9" s="414"/>
      <c r="E9" s="414"/>
      <c r="F9" s="414"/>
      <c r="G9" s="415"/>
      <c r="H9" s="98">
        <v>3</v>
      </c>
      <c r="I9" s="24">
        <v>365332</v>
      </c>
      <c r="J9" s="24">
        <v>2402</v>
      </c>
      <c r="K9" s="24">
        <v>1520</v>
      </c>
      <c r="L9" s="24">
        <v>1231</v>
      </c>
      <c r="M9" s="24">
        <v>4</v>
      </c>
      <c r="N9" s="24">
        <v>1115</v>
      </c>
      <c r="O9" s="24">
        <v>97</v>
      </c>
      <c r="P9" s="24">
        <v>4964</v>
      </c>
      <c r="Q9" s="24">
        <v>4837</v>
      </c>
      <c r="R9" s="24">
        <v>89</v>
      </c>
      <c r="S9" s="24">
        <v>36</v>
      </c>
      <c r="T9" s="24">
        <v>2</v>
      </c>
      <c r="U9" s="24">
        <v>10</v>
      </c>
      <c r="V9" s="24">
        <v>645</v>
      </c>
      <c r="W9" s="24">
        <v>2735</v>
      </c>
      <c r="X9" s="24">
        <v>175</v>
      </c>
      <c r="Y9" s="24">
        <v>84</v>
      </c>
      <c r="Z9" s="24">
        <v>5192</v>
      </c>
      <c r="AA9" s="24">
        <v>5170</v>
      </c>
      <c r="AB9" s="31">
        <v>0</v>
      </c>
      <c r="AC9" s="31">
        <v>361507</v>
      </c>
    </row>
    <row r="10" spans="1:29" ht="18.95" customHeight="1" x14ac:dyDescent="0.2">
      <c r="A10" s="296"/>
      <c r="B10" s="413" t="s">
        <v>47</v>
      </c>
      <c r="C10" s="414"/>
      <c r="D10" s="414"/>
      <c r="E10" s="414"/>
      <c r="F10" s="414"/>
      <c r="G10" s="415"/>
      <c r="H10" s="98">
        <v>4</v>
      </c>
      <c r="I10" s="24">
        <v>793119</v>
      </c>
      <c r="J10" s="24">
        <v>5195</v>
      </c>
      <c r="K10" s="24">
        <v>8456</v>
      </c>
      <c r="L10" s="24">
        <v>2010</v>
      </c>
      <c r="M10" s="24">
        <v>8</v>
      </c>
      <c r="N10" s="24">
        <v>1846</v>
      </c>
      <c r="O10" s="24">
        <v>41</v>
      </c>
      <c r="P10" s="24">
        <v>16187</v>
      </c>
      <c r="Q10" s="24">
        <v>12725</v>
      </c>
      <c r="R10" s="24">
        <v>3252</v>
      </c>
      <c r="S10" s="24">
        <v>192</v>
      </c>
      <c r="T10" s="24">
        <v>18</v>
      </c>
      <c r="U10" s="24">
        <v>6379</v>
      </c>
      <c r="V10" s="24">
        <v>2061</v>
      </c>
      <c r="W10" s="24">
        <v>1769</v>
      </c>
      <c r="X10" s="24">
        <v>316</v>
      </c>
      <c r="Y10" s="24">
        <v>305</v>
      </c>
      <c r="Z10" s="24">
        <v>23520</v>
      </c>
      <c r="AA10" s="24">
        <v>23320</v>
      </c>
      <c r="AB10" s="31">
        <v>1</v>
      </c>
      <c r="AC10" s="31">
        <v>773531</v>
      </c>
    </row>
    <row r="11" spans="1:29" ht="18.95" customHeight="1" x14ac:dyDescent="0.2">
      <c r="A11" s="296"/>
      <c r="B11" s="413" t="s">
        <v>48</v>
      </c>
      <c r="C11" s="414"/>
      <c r="D11" s="414"/>
      <c r="E11" s="414"/>
      <c r="F11" s="414"/>
      <c r="G11" s="415"/>
      <c r="H11" s="98">
        <v>5</v>
      </c>
      <c r="I11" s="24">
        <v>97638</v>
      </c>
      <c r="J11" s="24">
        <v>2593</v>
      </c>
      <c r="K11" s="24">
        <v>3660</v>
      </c>
      <c r="L11" s="24">
        <v>637</v>
      </c>
      <c r="M11" s="24">
        <v>3</v>
      </c>
      <c r="N11" s="24">
        <v>564</v>
      </c>
      <c r="O11" s="24">
        <v>52</v>
      </c>
      <c r="P11" s="24">
        <v>7742</v>
      </c>
      <c r="Q11" s="24">
        <v>7542</v>
      </c>
      <c r="R11" s="24">
        <v>123</v>
      </c>
      <c r="S11" s="24">
        <v>52</v>
      </c>
      <c r="T11" s="24">
        <v>25</v>
      </c>
      <c r="U11" s="24">
        <v>324</v>
      </c>
      <c r="V11" s="24">
        <v>988</v>
      </c>
      <c r="W11" s="24">
        <v>896</v>
      </c>
      <c r="X11" s="24">
        <v>345</v>
      </c>
      <c r="Y11" s="24">
        <v>108</v>
      </c>
      <c r="Z11" s="24">
        <v>7423</v>
      </c>
      <c r="AA11" s="24">
        <v>7358</v>
      </c>
      <c r="AB11" s="31">
        <v>0</v>
      </c>
      <c r="AC11" s="31">
        <v>91463</v>
      </c>
    </row>
    <row r="12" spans="1:29" ht="18.95" customHeight="1" x14ac:dyDescent="0.2">
      <c r="A12" s="296"/>
      <c r="B12" s="413" t="s">
        <v>49</v>
      </c>
      <c r="C12" s="414"/>
      <c r="D12" s="414"/>
      <c r="E12" s="414"/>
      <c r="F12" s="414"/>
      <c r="G12" s="415"/>
      <c r="H12" s="98">
        <v>6</v>
      </c>
      <c r="I12" s="24">
        <v>143215</v>
      </c>
      <c r="J12" s="24">
        <v>3705</v>
      </c>
      <c r="K12" s="24">
        <v>2126</v>
      </c>
      <c r="L12" s="24">
        <v>301</v>
      </c>
      <c r="M12" s="24">
        <v>1</v>
      </c>
      <c r="N12" s="24">
        <v>279</v>
      </c>
      <c r="O12" s="24">
        <v>7</v>
      </c>
      <c r="P12" s="24">
        <v>3032</v>
      </c>
      <c r="Q12" s="24">
        <v>2931</v>
      </c>
      <c r="R12" s="24">
        <v>22</v>
      </c>
      <c r="S12" s="24">
        <v>56</v>
      </c>
      <c r="T12" s="24">
        <v>23</v>
      </c>
      <c r="U12" s="24">
        <v>2608</v>
      </c>
      <c r="V12" s="24">
        <v>426</v>
      </c>
      <c r="W12" s="24">
        <v>88</v>
      </c>
      <c r="X12" s="24">
        <v>115</v>
      </c>
      <c r="Y12" s="24">
        <v>57</v>
      </c>
      <c r="Z12" s="24">
        <v>12207</v>
      </c>
      <c r="AA12" s="24">
        <v>12168</v>
      </c>
      <c r="AB12" s="31">
        <v>0</v>
      </c>
      <c r="AC12" s="31">
        <v>140940</v>
      </c>
    </row>
    <row r="13" spans="1:29" ht="18.95" customHeight="1" x14ac:dyDescent="0.2">
      <c r="A13" s="296"/>
      <c r="B13" s="165" t="s">
        <v>50</v>
      </c>
      <c r="C13" s="166"/>
      <c r="D13" s="166"/>
      <c r="E13" s="166"/>
      <c r="F13" s="166"/>
      <c r="G13" s="167"/>
      <c r="H13" s="98">
        <v>7</v>
      </c>
      <c r="I13" s="24">
        <v>1558</v>
      </c>
      <c r="J13" s="24">
        <v>18</v>
      </c>
      <c r="K13" s="24">
        <v>22</v>
      </c>
      <c r="L13" s="24">
        <v>10</v>
      </c>
      <c r="M13" s="24">
        <v>0</v>
      </c>
      <c r="N13" s="24">
        <v>10</v>
      </c>
      <c r="O13" s="24">
        <v>0</v>
      </c>
      <c r="P13" s="24">
        <v>62</v>
      </c>
      <c r="Q13" s="24">
        <v>60</v>
      </c>
      <c r="R13" s="24">
        <v>2</v>
      </c>
      <c r="S13" s="24">
        <v>0</v>
      </c>
      <c r="T13" s="24">
        <v>0</v>
      </c>
      <c r="U13" s="24">
        <v>3</v>
      </c>
      <c r="V13" s="24">
        <v>6</v>
      </c>
      <c r="W13" s="24">
        <v>15</v>
      </c>
      <c r="X13" s="24">
        <v>4</v>
      </c>
      <c r="Y13" s="24">
        <v>3</v>
      </c>
      <c r="Z13" s="24">
        <v>57</v>
      </c>
      <c r="AA13" s="24">
        <v>57</v>
      </c>
      <c r="AB13" s="31">
        <v>0</v>
      </c>
      <c r="AC13" s="31">
        <v>1501</v>
      </c>
    </row>
    <row r="14" spans="1:29" ht="18.95" customHeight="1" x14ac:dyDescent="0.2">
      <c r="A14" s="296"/>
      <c r="B14" s="224" t="s">
        <v>32</v>
      </c>
      <c r="C14" s="413" t="s">
        <v>1132</v>
      </c>
      <c r="D14" s="414"/>
      <c r="E14" s="414"/>
      <c r="F14" s="414"/>
      <c r="G14" s="415"/>
      <c r="H14" s="98">
        <v>8</v>
      </c>
      <c r="I14" s="24">
        <v>509</v>
      </c>
      <c r="J14" s="24">
        <v>3</v>
      </c>
      <c r="K14" s="24">
        <v>6</v>
      </c>
      <c r="L14" s="24">
        <v>1</v>
      </c>
      <c r="M14" s="24">
        <v>0</v>
      </c>
      <c r="N14" s="24">
        <v>1</v>
      </c>
      <c r="O14" s="24">
        <v>0</v>
      </c>
      <c r="P14" s="24">
        <v>24</v>
      </c>
      <c r="Q14" s="24">
        <v>22</v>
      </c>
      <c r="R14" s="24">
        <v>2</v>
      </c>
      <c r="S14" s="24">
        <v>0</v>
      </c>
      <c r="T14" s="24">
        <v>0</v>
      </c>
      <c r="U14" s="24">
        <v>0</v>
      </c>
      <c r="V14" s="24">
        <v>3</v>
      </c>
      <c r="W14" s="24">
        <v>9</v>
      </c>
      <c r="X14" s="24">
        <v>4</v>
      </c>
      <c r="Y14" s="24">
        <v>2</v>
      </c>
      <c r="Z14" s="24">
        <v>8</v>
      </c>
      <c r="AA14" s="24">
        <v>8</v>
      </c>
      <c r="AB14" s="31">
        <v>0</v>
      </c>
      <c r="AC14" s="31">
        <v>487</v>
      </c>
    </row>
    <row r="15" spans="1:29" ht="18.95" customHeight="1" x14ac:dyDescent="0.2">
      <c r="A15" s="296"/>
      <c r="B15" s="225"/>
      <c r="C15" s="413" t="s">
        <v>52</v>
      </c>
      <c r="D15" s="414"/>
      <c r="E15" s="414"/>
      <c r="F15" s="414"/>
      <c r="G15" s="415"/>
      <c r="H15" s="98">
        <v>9</v>
      </c>
      <c r="I15" s="24">
        <v>713</v>
      </c>
      <c r="J15" s="24">
        <v>4</v>
      </c>
      <c r="K15" s="24">
        <v>14</v>
      </c>
      <c r="L15" s="24">
        <v>2</v>
      </c>
      <c r="M15" s="24">
        <v>0</v>
      </c>
      <c r="N15" s="24">
        <v>2</v>
      </c>
      <c r="O15" s="24">
        <v>0</v>
      </c>
      <c r="P15" s="24">
        <v>31</v>
      </c>
      <c r="Q15" s="24">
        <v>31</v>
      </c>
      <c r="R15" s="24">
        <v>0</v>
      </c>
      <c r="S15" s="24">
        <v>0</v>
      </c>
      <c r="T15" s="24">
        <v>0</v>
      </c>
      <c r="U15" s="24">
        <v>3</v>
      </c>
      <c r="V15" s="24">
        <v>3</v>
      </c>
      <c r="W15" s="24">
        <v>6</v>
      </c>
      <c r="X15" s="24">
        <v>0</v>
      </c>
      <c r="Y15" s="24">
        <v>1</v>
      </c>
      <c r="Z15" s="24">
        <v>35</v>
      </c>
      <c r="AA15" s="24">
        <v>35</v>
      </c>
      <c r="AB15" s="31">
        <v>0</v>
      </c>
      <c r="AC15" s="31">
        <v>681</v>
      </c>
    </row>
    <row r="16" spans="1:29" ht="18.95" customHeight="1" x14ac:dyDescent="0.2">
      <c r="A16" s="296"/>
      <c r="B16" s="226"/>
      <c r="C16" s="165" t="s">
        <v>53</v>
      </c>
      <c r="D16" s="166"/>
      <c r="E16" s="166"/>
      <c r="F16" s="166"/>
      <c r="G16" s="167"/>
      <c r="H16" s="98">
        <v>10</v>
      </c>
      <c r="I16" s="24">
        <v>353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9</v>
      </c>
      <c r="Q16" s="24">
        <v>9</v>
      </c>
      <c r="R16" s="24">
        <v>0</v>
      </c>
      <c r="S16" s="24">
        <v>0</v>
      </c>
      <c r="T16" s="24">
        <v>0</v>
      </c>
      <c r="U16" s="24">
        <v>0</v>
      </c>
      <c r="V16" s="24">
        <v>2</v>
      </c>
      <c r="W16" s="24">
        <v>0</v>
      </c>
      <c r="X16" s="24">
        <v>3</v>
      </c>
      <c r="Y16" s="24">
        <v>0</v>
      </c>
      <c r="Z16" s="24">
        <v>1</v>
      </c>
      <c r="AA16" s="24">
        <v>1</v>
      </c>
      <c r="AB16" s="31">
        <v>0</v>
      </c>
      <c r="AC16" s="31">
        <v>344</v>
      </c>
    </row>
    <row r="17" spans="1:29" ht="18.95" customHeight="1" x14ac:dyDescent="0.2">
      <c r="A17" s="296"/>
      <c r="B17" s="224" t="s">
        <v>1133</v>
      </c>
      <c r="C17" s="165" t="s">
        <v>55</v>
      </c>
      <c r="D17" s="166"/>
      <c r="E17" s="166"/>
      <c r="F17" s="166"/>
      <c r="G17" s="167"/>
      <c r="H17" s="98">
        <v>11</v>
      </c>
      <c r="I17" s="24">
        <v>1121464</v>
      </c>
      <c r="J17" s="24">
        <v>11946</v>
      </c>
      <c r="K17" s="24">
        <v>11018</v>
      </c>
      <c r="L17" s="24">
        <v>3738</v>
      </c>
      <c r="M17" s="24">
        <v>8</v>
      </c>
      <c r="N17" s="24">
        <v>3419</v>
      </c>
      <c r="O17" s="24">
        <v>195</v>
      </c>
      <c r="P17" s="24">
        <v>24425</v>
      </c>
      <c r="Q17" s="24">
        <v>22308</v>
      </c>
      <c r="R17" s="24">
        <v>1806</v>
      </c>
      <c r="S17" s="24">
        <v>271</v>
      </c>
      <c r="T17" s="24">
        <v>40</v>
      </c>
      <c r="U17" s="24">
        <v>6897</v>
      </c>
      <c r="V17" s="24">
        <v>3366</v>
      </c>
      <c r="W17" s="24">
        <v>4801</v>
      </c>
      <c r="X17" s="24">
        <v>515</v>
      </c>
      <c r="Y17" s="24">
        <v>418</v>
      </c>
      <c r="Z17" s="24">
        <v>37486</v>
      </c>
      <c r="AA17" s="24">
        <v>37286</v>
      </c>
      <c r="AB17" s="31">
        <v>1</v>
      </c>
      <c r="AC17" s="31">
        <v>1098144</v>
      </c>
    </row>
    <row r="18" spans="1:29" ht="18.95" customHeight="1" x14ac:dyDescent="0.2">
      <c r="A18" s="296"/>
      <c r="B18" s="225"/>
      <c r="C18" s="23" t="s">
        <v>32</v>
      </c>
      <c r="D18" s="413" t="s">
        <v>56</v>
      </c>
      <c r="E18" s="414"/>
      <c r="F18" s="414"/>
      <c r="G18" s="415"/>
      <c r="H18" s="98">
        <v>12</v>
      </c>
      <c r="I18" s="24">
        <v>359643</v>
      </c>
      <c r="J18" s="24">
        <v>4481</v>
      </c>
      <c r="K18" s="24">
        <v>3557</v>
      </c>
      <c r="L18" s="24">
        <v>851</v>
      </c>
      <c r="M18" s="24">
        <v>4</v>
      </c>
      <c r="N18" s="24">
        <v>769</v>
      </c>
      <c r="O18" s="24">
        <v>42</v>
      </c>
      <c r="P18" s="24">
        <v>8157</v>
      </c>
      <c r="Q18" s="24">
        <v>7657</v>
      </c>
      <c r="R18" s="24">
        <v>408</v>
      </c>
      <c r="S18" s="24">
        <v>83</v>
      </c>
      <c r="T18" s="24">
        <v>9</v>
      </c>
      <c r="U18" s="24">
        <v>1754</v>
      </c>
      <c r="V18" s="24">
        <v>1414</v>
      </c>
      <c r="W18" s="24">
        <v>1919</v>
      </c>
      <c r="X18" s="24">
        <v>149</v>
      </c>
      <c r="Y18" s="24">
        <v>157</v>
      </c>
      <c r="Z18" s="24">
        <v>14281</v>
      </c>
      <c r="AA18" s="24">
        <v>14213</v>
      </c>
      <c r="AB18" s="31">
        <v>0</v>
      </c>
      <c r="AC18" s="31">
        <v>353292</v>
      </c>
    </row>
    <row r="19" spans="1:29" ht="18.95" customHeight="1" x14ac:dyDescent="0.2">
      <c r="A19" s="296"/>
      <c r="B19" s="225"/>
      <c r="C19" s="413" t="s">
        <v>57</v>
      </c>
      <c r="D19" s="414"/>
      <c r="E19" s="414"/>
      <c r="F19" s="414"/>
      <c r="G19" s="415"/>
      <c r="H19" s="98">
        <v>13</v>
      </c>
      <c r="I19" s="24">
        <v>355769</v>
      </c>
      <c r="J19" s="24">
        <v>2300</v>
      </c>
      <c r="K19" s="24">
        <v>4064</v>
      </c>
      <c r="L19" s="24">
        <v>584</v>
      </c>
      <c r="M19" s="24">
        <v>3</v>
      </c>
      <c r="N19" s="24">
        <v>531</v>
      </c>
      <c r="O19" s="24">
        <v>6</v>
      </c>
      <c r="P19" s="24">
        <v>6493</v>
      </c>
      <c r="Q19" s="24">
        <v>4777</v>
      </c>
      <c r="R19" s="24">
        <v>1629</v>
      </c>
      <c r="S19" s="24">
        <v>62</v>
      </c>
      <c r="T19" s="24">
        <v>25</v>
      </c>
      <c r="U19" s="24">
        <v>3085</v>
      </c>
      <c r="V19" s="24">
        <v>605</v>
      </c>
      <c r="W19" s="24">
        <v>522</v>
      </c>
      <c r="X19" s="24">
        <v>355</v>
      </c>
      <c r="Y19" s="24">
        <v>126</v>
      </c>
      <c r="Z19" s="24">
        <v>10615</v>
      </c>
      <c r="AA19" s="24">
        <v>10534</v>
      </c>
      <c r="AB19" s="31">
        <v>0</v>
      </c>
      <c r="AC19" s="31">
        <v>347825</v>
      </c>
    </row>
    <row r="20" spans="1:29" ht="18.95" customHeight="1" x14ac:dyDescent="0.2">
      <c r="A20" s="296"/>
      <c r="B20" s="225"/>
      <c r="C20" s="165" t="s">
        <v>58</v>
      </c>
      <c r="D20" s="166"/>
      <c r="E20" s="166"/>
      <c r="F20" s="166"/>
      <c r="G20" s="167"/>
      <c r="H20" s="98">
        <v>14</v>
      </c>
      <c r="I20" s="24">
        <v>35968</v>
      </c>
      <c r="J20" s="24">
        <v>215</v>
      </c>
      <c r="K20" s="24">
        <v>644</v>
      </c>
      <c r="L20" s="24">
        <v>75</v>
      </c>
      <c r="M20" s="24">
        <v>4</v>
      </c>
      <c r="N20" s="24">
        <v>67</v>
      </c>
      <c r="O20" s="24">
        <v>1</v>
      </c>
      <c r="P20" s="24">
        <v>1028</v>
      </c>
      <c r="Q20" s="24">
        <v>952</v>
      </c>
      <c r="R20" s="24">
        <v>73</v>
      </c>
      <c r="S20" s="24">
        <v>0</v>
      </c>
      <c r="T20" s="24">
        <v>3</v>
      </c>
      <c r="U20" s="24">
        <v>170</v>
      </c>
      <c r="V20" s="24">
        <v>72</v>
      </c>
      <c r="W20" s="24">
        <v>140</v>
      </c>
      <c r="X20" s="24">
        <v>81</v>
      </c>
      <c r="Y20" s="24">
        <v>10</v>
      </c>
      <c r="Z20" s="24">
        <v>1077</v>
      </c>
      <c r="AA20" s="24">
        <v>1014</v>
      </c>
      <c r="AB20" s="31">
        <v>0</v>
      </c>
      <c r="AC20" s="31">
        <v>34847</v>
      </c>
    </row>
    <row r="21" spans="1:29" ht="18.95" customHeight="1" x14ac:dyDescent="0.2">
      <c r="A21" s="296"/>
      <c r="B21" s="225"/>
      <c r="C21" s="165" t="s">
        <v>59</v>
      </c>
      <c r="D21" s="166"/>
      <c r="E21" s="166"/>
      <c r="F21" s="166"/>
      <c r="G21" s="167"/>
      <c r="H21" s="98">
        <v>15</v>
      </c>
      <c r="I21" s="24">
        <v>138094</v>
      </c>
      <c r="J21" s="24">
        <v>1015</v>
      </c>
      <c r="K21" s="24">
        <v>1524</v>
      </c>
      <c r="L21" s="24">
        <v>206</v>
      </c>
      <c r="M21" s="24">
        <v>0</v>
      </c>
      <c r="N21" s="24">
        <v>189</v>
      </c>
      <c r="O21" s="24">
        <v>1</v>
      </c>
      <c r="P21" s="24">
        <v>3167</v>
      </c>
      <c r="Q21" s="24">
        <v>3014</v>
      </c>
      <c r="R21" s="24">
        <v>47</v>
      </c>
      <c r="S21" s="24">
        <v>72</v>
      </c>
      <c r="T21" s="24">
        <v>34</v>
      </c>
      <c r="U21" s="24">
        <v>1364</v>
      </c>
      <c r="V21" s="24">
        <v>661</v>
      </c>
      <c r="W21" s="24">
        <v>373</v>
      </c>
      <c r="X21" s="24">
        <v>244</v>
      </c>
      <c r="Y21" s="24">
        <v>135</v>
      </c>
      <c r="Z21" s="24">
        <v>3405</v>
      </c>
      <c r="AA21" s="24">
        <v>3338</v>
      </c>
      <c r="AB21" s="31">
        <v>1</v>
      </c>
      <c r="AC21" s="31">
        <v>134304</v>
      </c>
    </row>
    <row r="22" spans="1:29" ht="27" customHeight="1" x14ac:dyDescent="0.2">
      <c r="A22" s="296"/>
      <c r="B22" s="226"/>
      <c r="C22" s="30" t="s">
        <v>32</v>
      </c>
      <c r="D22" s="165" t="s">
        <v>60</v>
      </c>
      <c r="E22" s="166"/>
      <c r="F22" s="166"/>
      <c r="G22" s="167"/>
      <c r="H22" s="98">
        <v>16</v>
      </c>
      <c r="I22" s="24">
        <v>87774</v>
      </c>
      <c r="J22" s="24">
        <v>663</v>
      </c>
      <c r="K22" s="24">
        <v>1274</v>
      </c>
      <c r="L22" s="24">
        <v>138</v>
      </c>
      <c r="M22" s="24">
        <v>0</v>
      </c>
      <c r="N22" s="24">
        <v>125</v>
      </c>
      <c r="O22" s="24">
        <v>1</v>
      </c>
      <c r="P22" s="24">
        <v>2442</v>
      </c>
      <c r="Q22" s="24">
        <v>2333</v>
      </c>
      <c r="R22" s="24">
        <v>40</v>
      </c>
      <c r="S22" s="24">
        <v>40</v>
      </c>
      <c r="T22" s="24">
        <v>29</v>
      </c>
      <c r="U22" s="24">
        <v>891</v>
      </c>
      <c r="V22" s="24">
        <v>435</v>
      </c>
      <c r="W22" s="24">
        <v>273</v>
      </c>
      <c r="X22" s="24">
        <v>204</v>
      </c>
      <c r="Y22" s="24">
        <v>99</v>
      </c>
      <c r="Z22" s="24">
        <v>2120</v>
      </c>
      <c r="AA22" s="24">
        <v>2061</v>
      </c>
      <c r="AB22" s="31">
        <v>0</v>
      </c>
      <c r="AC22" s="31">
        <v>84907</v>
      </c>
    </row>
    <row r="23" spans="1:29" ht="27" customHeight="1" x14ac:dyDescent="0.2">
      <c r="A23" s="296"/>
      <c r="B23" s="165" t="s">
        <v>61</v>
      </c>
      <c r="C23" s="166"/>
      <c r="D23" s="166"/>
      <c r="E23" s="166"/>
      <c r="F23" s="166"/>
      <c r="G23" s="167"/>
      <c r="H23" s="98">
        <v>17</v>
      </c>
      <c r="I23" s="24">
        <v>259</v>
      </c>
      <c r="J23" s="24">
        <v>13</v>
      </c>
      <c r="K23" s="24">
        <v>26</v>
      </c>
      <c r="L23" s="24">
        <v>3</v>
      </c>
      <c r="M23" s="24">
        <v>0</v>
      </c>
      <c r="N23" s="24">
        <v>1</v>
      </c>
      <c r="O23" s="24">
        <v>2</v>
      </c>
      <c r="P23" s="24">
        <v>54</v>
      </c>
      <c r="Q23" s="24">
        <v>51</v>
      </c>
      <c r="R23" s="24">
        <v>1</v>
      </c>
      <c r="S23" s="24">
        <v>2</v>
      </c>
      <c r="T23" s="24">
        <v>0</v>
      </c>
      <c r="U23" s="24">
        <v>1</v>
      </c>
      <c r="V23" s="24">
        <v>8</v>
      </c>
      <c r="W23" s="24">
        <v>3</v>
      </c>
      <c r="X23" s="24">
        <v>0</v>
      </c>
      <c r="Y23" s="24">
        <v>0</v>
      </c>
      <c r="Z23" s="24">
        <v>15</v>
      </c>
      <c r="AA23" s="24">
        <v>15</v>
      </c>
      <c r="AB23" s="31">
        <v>0</v>
      </c>
      <c r="AC23" s="31">
        <v>214</v>
      </c>
    </row>
    <row r="24" spans="1:29" ht="18.95" customHeight="1" x14ac:dyDescent="0.2">
      <c r="A24" s="296"/>
      <c r="B24" s="201" t="s">
        <v>62</v>
      </c>
      <c r="C24" s="202"/>
      <c r="D24" s="202"/>
      <c r="E24" s="202"/>
      <c r="F24" s="202"/>
      <c r="G24" s="203"/>
      <c r="H24" s="98">
        <v>18</v>
      </c>
      <c r="I24" s="24">
        <v>1305</v>
      </c>
      <c r="J24" s="24">
        <v>208</v>
      </c>
      <c r="K24" s="24">
        <v>279</v>
      </c>
      <c r="L24" s="24">
        <v>12</v>
      </c>
      <c r="M24" s="24">
        <v>1</v>
      </c>
      <c r="N24" s="24">
        <v>7</v>
      </c>
      <c r="O24" s="24">
        <v>1</v>
      </c>
      <c r="P24" s="24">
        <v>566</v>
      </c>
      <c r="Q24" s="24">
        <v>542</v>
      </c>
      <c r="R24" s="24">
        <v>1</v>
      </c>
      <c r="S24" s="24">
        <v>21</v>
      </c>
      <c r="T24" s="24">
        <v>2</v>
      </c>
      <c r="U24" s="24">
        <v>2</v>
      </c>
      <c r="V24" s="24">
        <v>148</v>
      </c>
      <c r="W24" s="24">
        <v>2</v>
      </c>
      <c r="X24" s="24">
        <v>166</v>
      </c>
      <c r="Y24" s="24">
        <v>6</v>
      </c>
      <c r="Z24" s="24">
        <v>567</v>
      </c>
      <c r="AA24" s="24">
        <v>558</v>
      </c>
      <c r="AB24" s="31">
        <v>0</v>
      </c>
      <c r="AC24" s="31">
        <v>924</v>
      </c>
    </row>
    <row r="25" spans="1:29" ht="18.95" customHeight="1" x14ac:dyDescent="0.2">
      <c r="A25" s="296"/>
      <c r="B25" s="165" t="s">
        <v>63</v>
      </c>
      <c r="C25" s="166"/>
      <c r="D25" s="166"/>
      <c r="E25" s="166"/>
      <c r="F25" s="166"/>
      <c r="G25" s="167"/>
      <c r="H25" s="98">
        <v>19</v>
      </c>
      <c r="I25" s="24">
        <v>68837</v>
      </c>
      <c r="J25" s="24">
        <v>77</v>
      </c>
      <c r="K25" s="24">
        <v>41</v>
      </c>
      <c r="L25" s="24">
        <v>39</v>
      </c>
      <c r="M25" s="24">
        <v>0</v>
      </c>
      <c r="N25" s="24">
        <v>37</v>
      </c>
      <c r="O25" s="24">
        <v>1</v>
      </c>
      <c r="P25" s="24">
        <v>252</v>
      </c>
      <c r="Q25" s="24">
        <v>243</v>
      </c>
      <c r="R25" s="24">
        <v>0</v>
      </c>
      <c r="S25" s="24">
        <v>9</v>
      </c>
      <c r="T25" s="24">
        <v>0</v>
      </c>
      <c r="U25" s="24">
        <v>17</v>
      </c>
      <c r="V25" s="24">
        <v>41</v>
      </c>
      <c r="W25" s="24">
        <v>36</v>
      </c>
      <c r="X25" s="24">
        <v>63</v>
      </c>
      <c r="Y25" s="24">
        <v>1</v>
      </c>
      <c r="Z25" s="24">
        <v>100</v>
      </c>
      <c r="AA25" s="24">
        <v>97</v>
      </c>
      <c r="AB25" s="31">
        <v>0</v>
      </c>
      <c r="AC25" s="31">
        <v>68603</v>
      </c>
    </row>
    <row r="26" spans="1:29" ht="18.95" customHeight="1" x14ac:dyDescent="0.2">
      <c r="A26" s="296"/>
      <c r="B26" s="156" t="s">
        <v>32</v>
      </c>
      <c r="C26" s="158"/>
      <c r="D26" s="410" t="s">
        <v>64</v>
      </c>
      <c r="E26" s="411"/>
      <c r="F26" s="411"/>
      <c r="G26" s="412"/>
      <c r="H26" s="98">
        <v>20</v>
      </c>
      <c r="I26" s="24">
        <v>6176</v>
      </c>
      <c r="J26" s="24">
        <v>52</v>
      </c>
      <c r="K26" s="24">
        <v>16</v>
      </c>
      <c r="L26" s="24">
        <v>22</v>
      </c>
      <c r="M26" s="24">
        <v>0</v>
      </c>
      <c r="N26" s="24">
        <v>21</v>
      </c>
      <c r="O26" s="24">
        <v>1</v>
      </c>
      <c r="P26" s="24">
        <v>105</v>
      </c>
      <c r="Q26" s="24">
        <v>101</v>
      </c>
      <c r="R26" s="24">
        <v>0</v>
      </c>
      <c r="S26" s="24">
        <v>4</v>
      </c>
      <c r="T26" s="24">
        <v>0</v>
      </c>
      <c r="U26" s="24">
        <v>9</v>
      </c>
      <c r="V26" s="24">
        <v>10</v>
      </c>
      <c r="W26" s="24">
        <v>18</v>
      </c>
      <c r="X26" s="24">
        <v>31</v>
      </c>
      <c r="Y26" s="24">
        <v>0</v>
      </c>
      <c r="Z26" s="24">
        <v>57</v>
      </c>
      <c r="AA26" s="24">
        <v>57</v>
      </c>
      <c r="AB26" s="31">
        <v>0</v>
      </c>
      <c r="AC26" s="31">
        <v>6092</v>
      </c>
    </row>
    <row r="27" spans="1:29" ht="18.95" customHeight="1" x14ac:dyDescent="0.2">
      <c r="A27" s="296"/>
      <c r="B27" s="159"/>
      <c r="C27" s="161"/>
      <c r="D27" s="416" t="s">
        <v>32</v>
      </c>
      <c r="E27" s="410" t="s">
        <v>65</v>
      </c>
      <c r="F27" s="411"/>
      <c r="G27" s="412"/>
      <c r="H27" s="98">
        <v>21</v>
      </c>
      <c r="I27" s="24">
        <v>227</v>
      </c>
      <c r="J27" s="24">
        <v>0</v>
      </c>
      <c r="K27" s="24">
        <v>2</v>
      </c>
      <c r="L27" s="24">
        <v>1</v>
      </c>
      <c r="M27" s="24">
        <v>0</v>
      </c>
      <c r="N27" s="24">
        <v>1</v>
      </c>
      <c r="O27" s="24">
        <v>0</v>
      </c>
      <c r="P27" s="24">
        <v>11</v>
      </c>
      <c r="Q27" s="24">
        <v>8</v>
      </c>
      <c r="R27" s="24">
        <v>0</v>
      </c>
      <c r="S27" s="24">
        <v>3</v>
      </c>
      <c r="T27" s="24">
        <v>0</v>
      </c>
      <c r="U27" s="24">
        <v>1</v>
      </c>
      <c r="V27" s="24">
        <v>0</v>
      </c>
      <c r="W27" s="24">
        <v>0</v>
      </c>
      <c r="X27" s="24">
        <v>4</v>
      </c>
      <c r="Y27" s="24">
        <v>0</v>
      </c>
      <c r="Z27" s="24">
        <v>5</v>
      </c>
      <c r="AA27" s="24">
        <v>5</v>
      </c>
      <c r="AB27" s="31">
        <v>0</v>
      </c>
      <c r="AC27" s="31">
        <v>214</v>
      </c>
    </row>
    <row r="28" spans="1:29" ht="18.95" customHeight="1" x14ac:dyDescent="0.2">
      <c r="A28" s="296"/>
      <c r="B28" s="159"/>
      <c r="C28" s="161"/>
      <c r="D28" s="418"/>
      <c r="E28" s="413" t="s">
        <v>53</v>
      </c>
      <c r="F28" s="414"/>
      <c r="G28" s="415"/>
      <c r="H28" s="98">
        <v>22</v>
      </c>
      <c r="I28" s="24">
        <v>2000</v>
      </c>
      <c r="J28" s="24">
        <v>3</v>
      </c>
      <c r="K28" s="24">
        <v>1</v>
      </c>
      <c r="L28" s="24">
        <v>4</v>
      </c>
      <c r="M28" s="24">
        <v>0</v>
      </c>
      <c r="N28" s="24">
        <v>3</v>
      </c>
      <c r="O28" s="24">
        <v>1</v>
      </c>
      <c r="P28" s="24">
        <v>47</v>
      </c>
      <c r="Q28" s="24">
        <v>46</v>
      </c>
      <c r="R28" s="24">
        <v>0</v>
      </c>
      <c r="S28" s="24">
        <v>1</v>
      </c>
      <c r="T28" s="24">
        <v>0</v>
      </c>
      <c r="U28" s="24">
        <v>0</v>
      </c>
      <c r="V28" s="24">
        <v>7</v>
      </c>
      <c r="W28" s="24">
        <v>4</v>
      </c>
      <c r="X28" s="24">
        <v>23</v>
      </c>
      <c r="Y28" s="24">
        <v>0</v>
      </c>
      <c r="Z28" s="24">
        <v>2</v>
      </c>
      <c r="AA28" s="24">
        <v>2</v>
      </c>
      <c r="AB28" s="31">
        <v>0</v>
      </c>
      <c r="AC28" s="31">
        <v>1952</v>
      </c>
    </row>
    <row r="29" spans="1:29" ht="18.95" customHeight="1" x14ac:dyDescent="0.2">
      <c r="A29" s="296"/>
      <c r="B29" s="159"/>
      <c r="C29" s="161"/>
      <c r="D29" s="418"/>
      <c r="E29" s="165" t="s">
        <v>66</v>
      </c>
      <c r="F29" s="166"/>
      <c r="G29" s="167"/>
      <c r="H29" s="98">
        <v>23</v>
      </c>
      <c r="I29" s="24">
        <v>32</v>
      </c>
      <c r="J29" s="24">
        <v>1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3</v>
      </c>
      <c r="Q29" s="24">
        <v>3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1</v>
      </c>
      <c r="Y29" s="24">
        <v>0</v>
      </c>
      <c r="Z29" s="24">
        <v>1</v>
      </c>
      <c r="AA29" s="24">
        <v>1</v>
      </c>
      <c r="AB29" s="31">
        <v>0</v>
      </c>
      <c r="AC29" s="31">
        <v>30</v>
      </c>
    </row>
    <row r="30" spans="1:29" ht="18.95" customHeight="1" x14ac:dyDescent="0.2">
      <c r="A30" s="296"/>
      <c r="B30" s="159"/>
      <c r="C30" s="161"/>
      <c r="D30" s="417"/>
      <c r="E30" s="413" t="s">
        <v>67</v>
      </c>
      <c r="F30" s="414"/>
      <c r="G30" s="415"/>
      <c r="H30" s="98">
        <v>24</v>
      </c>
      <c r="I30" s="24">
        <v>743</v>
      </c>
      <c r="J30" s="24">
        <v>2</v>
      </c>
      <c r="K30" s="24">
        <v>0</v>
      </c>
      <c r="L30" s="24">
        <v>2</v>
      </c>
      <c r="M30" s="24">
        <v>0</v>
      </c>
      <c r="N30" s="24">
        <v>2</v>
      </c>
      <c r="O30" s="24">
        <v>0</v>
      </c>
      <c r="P30" s="24">
        <v>7</v>
      </c>
      <c r="Q30" s="24">
        <v>6</v>
      </c>
      <c r="R30" s="24">
        <v>0</v>
      </c>
      <c r="S30" s="24">
        <v>1</v>
      </c>
      <c r="T30" s="24">
        <v>0</v>
      </c>
      <c r="U30" s="24">
        <v>5</v>
      </c>
      <c r="V30" s="24">
        <v>0</v>
      </c>
      <c r="W30" s="24">
        <v>4</v>
      </c>
      <c r="X30" s="24">
        <v>1</v>
      </c>
      <c r="Y30" s="24">
        <v>0</v>
      </c>
      <c r="Z30" s="24">
        <v>0</v>
      </c>
      <c r="AA30" s="24">
        <v>0</v>
      </c>
      <c r="AB30" s="31">
        <v>0</v>
      </c>
      <c r="AC30" s="31">
        <v>731</v>
      </c>
    </row>
    <row r="31" spans="1:29" ht="18.95" customHeight="1" x14ac:dyDescent="0.2">
      <c r="A31" s="296"/>
      <c r="B31" s="159"/>
      <c r="C31" s="161"/>
      <c r="D31" s="258" t="s">
        <v>68</v>
      </c>
      <c r="E31" s="259"/>
      <c r="F31" s="259"/>
      <c r="G31" s="260"/>
      <c r="H31" s="98">
        <v>25</v>
      </c>
      <c r="I31" s="24">
        <v>692</v>
      </c>
      <c r="J31" s="24">
        <v>8</v>
      </c>
      <c r="K31" s="24">
        <v>3</v>
      </c>
      <c r="L31" s="24">
        <v>7</v>
      </c>
      <c r="M31" s="24">
        <v>0</v>
      </c>
      <c r="N31" s="24">
        <v>7</v>
      </c>
      <c r="O31" s="24">
        <v>0</v>
      </c>
      <c r="P31" s="24">
        <v>45</v>
      </c>
      <c r="Q31" s="24">
        <v>44</v>
      </c>
      <c r="R31" s="24">
        <v>0</v>
      </c>
      <c r="S31" s="24">
        <v>1</v>
      </c>
      <c r="T31" s="24">
        <v>0</v>
      </c>
      <c r="U31" s="24">
        <v>3</v>
      </c>
      <c r="V31" s="24">
        <v>9</v>
      </c>
      <c r="W31" s="24">
        <v>6</v>
      </c>
      <c r="X31" s="24">
        <v>15</v>
      </c>
      <c r="Y31" s="24">
        <v>0</v>
      </c>
      <c r="Z31" s="24">
        <v>9</v>
      </c>
      <c r="AA31" s="24">
        <v>9</v>
      </c>
      <c r="AB31" s="31">
        <v>0</v>
      </c>
      <c r="AC31" s="31">
        <v>645</v>
      </c>
    </row>
    <row r="32" spans="1:29" ht="18.95" customHeight="1" x14ac:dyDescent="0.2">
      <c r="A32" s="296"/>
      <c r="B32" s="159"/>
      <c r="C32" s="161"/>
      <c r="D32" s="224" t="s">
        <v>32</v>
      </c>
      <c r="E32" s="165" t="s">
        <v>53</v>
      </c>
      <c r="F32" s="166"/>
      <c r="G32" s="167"/>
      <c r="H32" s="98">
        <v>26</v>
      </c>
      <c r="I32" s="24">
        <v>282</v>
      </c>
      <c r="J32" s="24">
        <v>2</v>
      </c>
      <c r="K32" s="24">
        <v>0</v>
      </c>
      <c r="L32" s="24">
        <v>1</v>
      </c>
      <c r="M32" s="24">
        <v>0</v>
      </c>
      <c r="N32" s="24">
        <v>1</v>
      </c>
      <c r="O32" s="24">
        <v>0</v>
      </c>
      <c r="P32" s="24">
        <v>17</v>
      </c>
      <c r="Q32" s="24">
        <v>17</v>
      </c>
      <c r="R32" s="24">
        <v>0</v>
      </c>
      <c r="S32" s="24">
        <v>0</v>
      </c>
      <c r="T32" s="24">
        <v>0</v>
      </c>
      <c r="U32" s="24">
        <v>0</v>
      </c>
      <c r="V32" s="24">
        <v>1</v>
      </c>
      <c r="W32" s="24">
        <v>0</v>
      </c>
      <c r="X32" s="24">
        <v>8</v>
      </c>
      <c r="Y32" s="24">
        <v>0</v>
      </c>
      <c r="Z32" s="24">
        <v>0</v>
      </c>
      <c r="AA32" s="24">
        <v>0</v>
      </c>
      <c r="AB32" s="31">
        <v>0</v>
      </c>
      <c r="AC32" s="31">
        <v>266</v>
      </c>
    </row>
    <row r="33" spans="1:29" ht="18.95" customHeight="1" x14ac:dyDescent="0.2">
      <c r="A33" s="296"/>
      <c r="B33" s="159"/>
      <c r="C33" s="161"/>
      <c r="D33" s="225"/>
      <c r="E33" s="165" t="s">
        <v>66</v>
      </c>
      <c r="F33" s="166"/>
      <c r="G33" s="167"/>
      <c r="H33" s="98">
        <v>27</v>
      </c>
      <c r="I33" s="24">
        <v>57</v>
      </c>
      <c r="J33" s="24">
        <v>1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11</v>
      </c>
      <c r="Q33" s="24">
        <v>11</v>
      </c>
      <c r="R33" s="24">
        <v>0</v>
      </c>
      <c r="S33" s="24">
        <v>0</v>
      </c>
      <c r="T33" s="24">
        <v>0</v>
      </c>
      <c r="U33" s="24">
        <v>1</v>
      </c>
      <c r="V33" s="24">
        <v>3</v>
      </c>
      <c r="W33" s="24">
        <v>2</v>
      </c>
      <c r="X33" s="24">
        <v>4</v>
      </c>
      <c r="Y33" s="24">
        <v>0</v>
      </c>
      <c r="Z33" s="24">
        <v>0</v>
      </c>
      <c r="AA33" s="24">
        <v>0</v>
      </c>
      <c r="AB33" s="31">
        <v>0</v>
      </c>
      <c r="AC33" s="31">
        <v>46</v>
      </c>
    </row>
    <row r="34" spans="1:29" ht="18.95" customHeight="1" x14ac:dyDescent="0.2">
      <c r="A34" s="296"/>
      <c r="B34" s="159"/>
      <c r="C34" s="161"/>
      <c r="D34" s="226"/>
      <c r="E34" s="165" t="s">
        <v>67</v>
      </c>
      <c r="F34" s="166"/>
      <c r="G34" s="167"/>
      <c r="H34" s="98">
        <v>28</v>
      </c>
      <c r="I34" s="24">
        <v>184</v>
      </c>
      <c r="J34" s="24">
        <v>2</v>
      </c>
      <c r="K34" s="24">
        <v>0</v>
      </c>
      <c r="L34" s="24">
        <v>1</v>
      </c>
      <c r="M34" s="24">
        <v>0</v>
      </c>
      <c r="N34" s="24">
        <v>1</v>
      </c>
      <c r="O34" s="24">
        <v>0</v>
      </c>
      <c r="P34" s="24">
        <v>5</v>
      </c>
      <c r="Q34" s="24">
        <v>5</v>
      </c>
      <c r="R34" s="24">
        <v>0</v>
      </c>
      <c r="S34" s="24">
        <v>0</v>
      </c>
      <c r="T34" s="24">
        <v>0</v>
      </c>
      <c r="U34" s="24">
        <v>2</v>
      </c>
      <c r="V34" s="24">
        <v>0</v>
      </c>
      <c r="W34" s="24">
        <v>4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178</v>
      </c>
    </row>
    <row r="35" spans="1:29" ht="18.95" customHeight="1" x14ac:dyDescent="0.2">
      <c r="A35" s="296"/>
      <c r="B35" s="159"/>
      <c r="C35" s="161"/>
      <c r="D35" s="258" t="s">
        <v>69</v>
      </c>
      <c r="E35" s="259"/>
      <c r="F35" s="259"/>
      <c r="G35" s="260"/>
      <c r="H35" s="98">
        <v>29</v>
      </c>
      <c r="I35" s="24">
        <v>465</v>
      </c>
      <c r="J35" s="24">
        <v>4</v>
      </c>
      <c r="K35" s="24">
        <v>5</v>
      </c>
      <c r="L35" s="24">
        <v>2</v>
      </c>
      <c r="M35" s="24">
        <v>0</v>
      </c>
      <c r="N35" s="24">
        <v>2</v>
      </c>
      <c r="O35" s="24">
        <v>0</v>
      </c>
      <c r="P35" s="24">
        <v>23</v>
      </c>
      <c r="Q35" s="24">
        <v>21</v>
      </c>
      <c r="R35" s="24">
        <v>0</v>
      </c>
      <c r="S35" s="24">
        <v>2</v>
      </c>
      <c r="T35" s="24">
        <v>0</v>
      </c>
      <c r="U35" s="24">
        <v>4</v>
      </c>
      <c r="V35" s="24">
        <v>2</v>
      </c>
      <c r="W35" s="24">
        <v>2</v>
      </c>
      <c r="X35" s="24">
        <v>7</v>
      </c>
      <c r="Y35" s="24">
        <v>0</v>
      </c>
      <c r="Z35" s="24">
        <v>12</v>
      </c>
      <c r="AA35" s="24">
        <v>12</v>
      </c>
      <c r="AB35" s="31">
        <v>0</v>
      </c>
      <c r="AC35" s="31">
        <v>440</v>
      </c>
    </row>
    <row r="36" spans="1:29" ht="18.95" customHeight="1" x14ac:dyDescent="0.2">
      <c r="A36" s="296"/>
      <c r="B36" s="159"/>
      <c r="C36" s="161"/>
      <c r="D36" s="410" t="s">
        <v>70</v>
      </c>
      <c r="E36" s="411"/>
      <c r="F36" s="411"/>
      <c r="G36" s="412"/>
      <c r="H36" s="98">
        <v>30</v>
      </c>
      <c r="I36" s="24">
        <v>216</v>
      </c>
      <c r="J36" s="24">
        <v>2</v>
      </c>
      <c r="K36" s="24">
        <v>1</v>
      </c>
      <c r="L36" s="24">
        <v>0</v>
      </c>
      <c r="M36" s="24">
        <v>0</v>
      </c>
      <c r="N36" s="24">
        <v>0</v>
      </c>
      <c r="O36" s="24">
        <v>0</v>
      </c>
      <c r="P36" s="24">
        <v>6</v>
      </c>
      <c r="Q36" s="24">
        <v>6</v>
      </c>
      <c r="R36" s="24">
        <v>0</v>
      </c>
      <c r="S36" s="24">
        <v>0</v>
      </c>
      <c r="T36" s="24">
        <v>0</v>
      </c>
      <c r="U36" s="24">
        <v>0</v>
      </c>
      <c r="V36" s="24">
        <v>1</v>
      </c>
      <c r="W36" s="24">
        <v>0</v>
      </c>
      <c r="X36" s="24">
        <v>0</v>
      </c>
      <c r="Y36" s="24">
        <v>0</v>
      </c>
      <c r="Z36" s="24">
        <v>2</v>
      </c>
      <c r="AA36" s="24">
        <v>2</v>
      </c>
      <c r="AB36" s="31">
        <v>0</v>
      </c>
      <c r="AC36" s="31">
        <v>212</v>
      </c>
    </row>
    <row r="37" spans="1:29" ht="18.95" customHeight="1" x14ac:dyDescent="0.2">
      <c r="A37" s="296"/>
      <c r="B37" s="159"/>
      <c r="C37" s="161"/>
      <c r="D37" s="416" t="s">
        <v>32</v>
      </c>
      <c r="E37" s="413" t="s">
        <v>53</v>
      </c>
      <c r="F37" s="414"/>
      <c r="G37" s="415"/>
      <c r="H37" s="98">
        <v>31</v>
      </c>
      <c r="I37" s="24">
        <v>96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1</v>
      </c>
      <c r="AA37" s="24">
        <v>1</v>
      </c>
      <c r="AB37" s="31">
        <v>0</v>
      </c>
      <c r="AC37" s="31">
        <v>96</v>
      </c>
    </row>
    <row r="38" spans="1:29" ht="18.95" customHeight="1" x14ac:dyDescent="0.2">
      <c r="A38" s="296"/>
      <c r="B38" s="159"/>
      <c r="C38" s="161"/>
      <c r="D38" s="417"/>
      <c r="E38" s="165" t="s">
        <v>66</v>
      </c>
      <c r="F38" s="166"/>
      <c r="G38" s="167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6"/>
      <c r="B39" s="159"/>
      <c r="C39" s="161"/>
      <c r="D39" s="287" t="s">
        <v>71</v>
      </c>
      <c r="E39" s="288"/>
      <c r="F39" s="165" t="s">
        <v>72</v>
      </c>
      <c r="G39" s="167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6"/>
      <c r="B40" s="162"/>
      <c r="C40" s="164"/>
      <c r="D40" s="258" t="s">
        <v>73</v>
      </c>
      <c r="E40" s="259"/>
      <c r="F40" s="259"/>
      <c r="G40" s="260"/>
      <c r="H40" s="98">
        <v>34</v>
      </c>
      <c r="I40" s="24">
        <v>61288</v>
      </c>
      <c r="J40" s="24">
        <v>11</v>
      </c>
      <c r="K40" s="24">
        <v>16</v>
      </c>
      <c r="L40" s="24">
        <v>8</v>
      </c>
      <c r="M40" s="24">
        <v>0</v>
      </c>
      <c r="N40" s="24">
        <v>7</v>
      </c>
      <c r="O40" s="24">
        <v>0</v>
      </c>
      <c r="P40" s="24">
        <v>73</v>
      </c>
      <c r="Q40" s="24">
        <v>71</v>
      </c>
      <c r="R40" s="24">
        <v>0</v>
      </c>
      <c r="S40" s="24">
        <v>2</v>
      </c>
      <c r="T40" s="24">
        <v>0</v>
      </c>
      <c r="U40" s="24">
        <v>1</v>
      </c>
      <c r="V40" s="24">
        <v>19</v>
      </c>
      <c r="W40" s="24">
        <v>10</v>
      </c>
      <c r="X40" s="24">
        <v>10</v>
      </c>
      <c r="Y40" s="24">
        <v>1</v>
      </c>
      <c r="Z40" s="24">
        <v>20</v>
      </c>
      <c r="AA40" s="24">
        <v>17</v>
      </c>
      <c r="AB40" s="31">
        <v>0</v>
      </c>
      <c r="AC40" s="31">
        <v>61214</v>
      </c>
    </row>
    <row r="41" spans="1:29" ht="18.95" customHeight="1" x14ac:dyDescent="0.2">
      <c r="A41" s="296"/>
      <c r="B41" s="404" t="s">
        <v>74</v>
      </c>
      <c r="C41" s="405"/>
      <c r="D41" s="410" t="s">
        <v>75</v>
      </c>
      <c r="E41" s="411"/>
      <c r="F41" s="411"/>
      <c r="G41" s="412"/>
      <c r="H41" s="98">
        <v>35</v>
      </c>
      <c r="I41" s="24">
        <v>5801</v>
      </c>
      <c r="J41" s="24">
        <v>25</v>
      </c>
      <c r="K41" s="24">
        <v>16</v>
      </c>
      <c r="L41" s="24">
        <v>7</v>
      </c>
      <c r="M41" s="24">
        <v>0</v>
      </c>
      <c r="N41" s="24">
        <v>6</v>
      </c>
      <c r="O41" s="24">
        <v>1</v>
      </c>
      <c r="P41" s="24">
        <v>82</v>
      </c>
      <c r="Q41" s="24">
        <v>81</v>
      </c>
      <c r="R41" s="24">
        <v>0</v>
      </c>
      <c r="S41" s="24">
        <v>1</v>
      </c>
      <c r="T41" s="24">
        <v>0</v>
      </c>
      <c r="U41" s="24">
        <v>21</v>
      </c>
      <c r="V41" s="24">
        <v>18</v>
      </c>
      <c r="W41" s="24">
        <v>39</v>
      </c>
      <c r="X41" s="24">
        <v>1</v>
      </c>
      <c r="Y41" s="24">
        <v>1</v>
      </c>
      <c r="Z41" s="24">
        <v>58</v>
      </c>
      <c r="AA41" s="24">
        <v>58</v>
      </c>
      <c r="AB41" s="31">
        <v>0</v>
      </c>
      <c r="AC41" s="31">
        <v>5716</v>
      </c>
    </row>
    <row r="42" spans="1:29" ht="18.95" customHeight="1" x14ac:dyDescent="0.2">
      <c r="A42" s="296"/>
      <c r="B42" s="406"/>
      <c r="C42" s="407"/>
      <c r="D42" s="413" t="s">
        <v>76</v>
      </c>
      <c r="E42" s="414"/>
      <c r="F42" s="414"/>
      <c r="G42" s="415"/>
      <c r="H42" s="98">
        <v>36</v>
      </c>
      <c r="I42" s="24">
        <v>608</v>
      </c>
      <c r="J42" s="24">
        <v>90</v>
      </c>
      <c r="K42" s="24">
        <v>121</v>
      </c>
      <c r="L42" s="24">
        <v>0</v>
      </c>
      <c r="M42" s="24">
        <v>0</v>
      </c>
      <c r="N42" s="24">
        <v>0</v>
      </c>
      <c r="O42" s="24">
        <v>0</v>
      </c>
      <c r="P42" s="24">
        <v>697</v>
      </c>
      <c r="Q42" s="24">
        <v>694</v>
      </c>
      <c r="R42" s="24">
        <v>3</v>
      </c>
      <c r="S42" s="24">
        <v>0</v>
      </c>
      <c r="T42" s="24">
        <v>0</v>
      </c>
      <c r="U42" s="24">
        <v>0</v>
      </c>
      <c r="V42" s="24">
        <v>53</v>
      </c>
      <c r="W42" s="24">
        <v>413</v>
      </c>
      <c r="X42" s="24">
        <v>13</v>
      </c>
      <c r="Y42" s="24">
        <v>18</v>
      </c>
      <c r="Z42" s="24">
        <v>1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6"/>
      <c r="B43" s="406"/>
      <c r="C43" s="407"/>
      <c r="D43" s="165" t="s">
        <v>77</v>
      </c>
      <c r="E43" s="166"/>
      <c r="F43" s="166"/>
      <c r="G43" s="167"/>
      <c r="H43" s="98">
        <v>37</v>
      </c>
      <c r="I43" s="24">
        <v>8288</v>
      </c>
      <c r="J43" s="24">
        <v>246</v>
      </c>
      <c r="K43" s="24">
        <v>375</v>
      </c>
      <c r="L43" s="24">
        <v>37</v>
      </c>
      <c r="M43" s="24">
        <v>1</v>
      </c>
      <c r="N43" s="24">
        <v>35</v>
      </c>
      <c r="O43" s="24">
        <v>1</v>
      </c>
      <c r="P43" s="24">
        <v>732</v>
      </c>
      <c r="Q43" s="24">
        <v>680</v>
      </c>
      <c r="R43" s="24">
        <v>9</v>
      </c>
      <c r="S43" s="24">
        <v>4</v>
      </c>
      <c r="T43" s="24">
        <v>39</v>
      </c>
      <c r="U43" s="24">
        <v>108</v>
      </c>
      <c r="V43" s="24">
        <v>64</v>
      </c>
      <c r="W43" s="24">
        <v>17</v>
      </c>
      <c r="X43" s="24">
        <v>95</v>
      </c>
      <c r="Y43" s="24">
        <v>95</v>
      </c>
      <c r="Z43" s="24">
        <v>1062</v>
      </c>
      <c r="AA43" s="24">
        <v>1031</v>
      </c>
      <c r="AB43" s="31">
        <v>0</v>
      </c>
      <c r="AC43" s="31">
        <v>7626</v>
      </c>
    </row>
    <row r="44" spans="1:29" ht="18.95" customHeight="1" x14ac:dyDescent="0.2">
      <c r="A44" s="296"/>
      <c r="B44" s="406"/>
      <c r="C44" s="407"/>
      <c r="D44" s="165" t="s">
        <v>78</v>
      </c>
      <c r="E44" s="166"/>
      <c r="F44" s="166"/>
      <c r="G44" s="167"/>
      <c r="H44" s="98">
        <v>38</v>
      </c>
      <c r="I44" s="24">
        <v>393621</v>
      </c>
      <c r="J44" s="24">
        <v>2522</v>
      </c>
      <c r="K44" s="24">
        <v>1502</v>
      </c>
      <c r="L44" s="24">
        <v>377</v>
      </c>
      <c r="M44" s="24">
        <v>2</v>
      </c>
      <c r="N44" s="24">
        <v>352</v>
      </c>
      <c r="O44" s="24">
        <v>3</v>
      </c>
      <c r="P44" s="24">
        <v>3436</v>
      </c>
      <c r="Q44" s="24">
        <v>3293</v>
      </c>
      <c r="R44" s="24">
        <v>50</v>
      </c>
      <c r="S44" s="24">
        <v>76</v>
      </c>
      <c r="T44" s="24">
        <v>17</v>
      </c>
      <c r="U44" s="24">
        <v>3493</v>
      </c>
      <c r="V44" s="24">
        <v>810</v>
      </c>
      <c r="W44" s="24">
        <v>369</v>
      </c>
      <c r="X44" s="24">
        <v>335</v>
      </c>
      <c r="Y44" s="24">
        <v>143</v>
      </c>
      <c r="Z44" s="24">
        <v>11163</v>
      </c>
      <c r="AA44" s="24">
        <v>11082</v>
      </c>
      <c r="AB44" s="31">
        <v>0</v>
      </c>
      <c r="AC44" s="31">
        <v>388755</v>
      </c>
    </row>
    <row r="45" spans="1:29" ht="18.95" customHeight="1" x14ac:dyDescent="0.2">
      <c r="A45" s="296"/>
      <c r="B45" s="406"/>
      <c r="C45" s="407"/>
      <c r="D45" s="165" t="s">
        <v>79</v>
      </c>
      <c r="E45" s="166"/>
      <c r="F45" s="166"/>
      <c r="G45" s="167"/>
      <c r="H45" s="98">
        <v>39</v>
      </c>
      <c r="I45" s="24">
        <v>5100</v>
      </c>
      <c r="J45" s="24">
        <v>203</v>
      </c>
      <c r="K45" s="24">
        <v>1483</v>
      </c>
      <c r="L45" s="24">
        <v>10</v>
      </c>
      <c r="M45" s="24">
        <v>0</v>
      </c>
      <c r="N45" s="24">
        <v>10</v>
      </c>
      <c r="O45" s="24">
        <v>0</v>
      </c>
      <c r="P45" s="24">
        <v>5167</v>
      </c>
      <c r="Q45" s="24">
        <v>5073</v>
      </c>
      <c r="R45" s="24">
        <v>58</v>
      </c>
      <c r="S45" s="24">
        <v>31</v>
      </c>
      <c r="T45" s="24">
        <v>5</v>
      </c>
      <c r="U45" s="24">
        <v>0</v>
      </c>
      <c r="V45" s="24">
        <v>521</v>
      </c>
      <c r="W45" s="24">
        <v>1829</v>
      </c>
      <c r="X45" s="24">
        <v>67</v>
      </c>
      <c r="Y45" s="24">
        <v>73</v>
      </c>
      <c r="Z45" s="24">
        <v>10</v>
      </c>
      <c r="AA45" s="24">
        <v>6</v>
      </c>
      <c r="AB45" s="31">
        <v>0</v>
      </c>
      <c r="AC45" s="31">
        <v>121</v>
      </c>
    </row>
    <row r="46" spans="1:29" ht="18.95" customHeight="1" x14ac:dyDescent="0.2">
      <c r="A46" s="296"/>
      <c r="B46" s="406"/>
      <c r="C46" s="407"/>
      <c r="D46" s="165" t="s">
        <v>80</v>
      </c>
      <c r="E46" s="166"/>
      <c r="F46" s="166"/>
      <c r="G46" s="167"/>
      <c r="H46" s="98">
        <v>40</v>
      </c>
      <c r="I46" s="24">
        <v>846</v>
      </c>
      <c r="J46" s="24">
        <v>18</v>
      </c>
      <c r="K46" s="24">
        <v>25</v>
      </c>
      <c r="L46" s="24">
        <v>0</v>
      </c>
      <c r="M46" s="24">
        <v>0</v>
      </c>
      <c r="N46" s="24">
        <v>0</v>
      </c>
      <c r="O46" s="24">
        <v>0</v>
      </c>
      <c r="P46" s="24">
        <v>59</v>
      </c>
      <c r="Q46" s="24">
        <v>54</v>
      </c>
      <c r="R46" s="24">
        <v>2</v>
      </c>
      <c r="S46" s="24">
        <v>1</v>
      </c>
      <c r="T46" s="24">
        <v>2</v>
      </c>
      <c r="U46" s="24">
        <v>2</v>
      </c>
      <c r="V46" s="24">
        <v>11</v>
      </c>
      <c r="W46" s="24">
        <v>8</v>
      </c>
      <c r="X46" s="24">
        <v>8</v>
      </c>
      <c r="Y46" s="24">
        <v>2</v>
      </c>
      <c r="Z46" s="24">
        <v>54</v>
      </c>
      <c r="AA46" s="24">
        <v>51</v>
      </c>
      <c r="AB46" s="31">
        <v>0</v>
      </c>
      <c r="AC46" s="31">
        <v>800</v>
      </c>
    </row>
    <row r="47" spans="1:29" ht="18.95" customHeight="1" x14ac:dyDescent="0.2">
      <c r="A47" s="296"/>
      <c r="B47" s="406"/>
      <c r="C47" s="407"/>
      <c r="D47" s="165" t="s">
        <v>81</v>
      </c>
      <c r="E47" s="166"/>
      <c r="F47" s="166"/>
      <c r="G47" s="167"/>
      <c r="H47" s="98">
        <v>41</v>
      </c>
      <c r="I47" s="24">
        <v>126</v>
      </c>
      <c r="J47" s="24">
        <v>4</v>
      </c>
      <c r="K47" s="24">
        <v>58</v>
      </c>
      <c r="L47" s="24">
        <v>0</v>
      </c>
      <c r="M47" s="24">
        <v>0</v>
      </c>
      <c r="N47" s="24">
        <v>0</v>
      </c>
      <c r="O47" s="24">
        <v>0</v>
      </c>
      <c r="P47" s="24">
        <v>112</v>
      </c>
      <c r="Q47" s="24">
        <v>97</v>
      </c>
      <c r="R47" s="24">
        <v>0</v>
      </c>
      <c r="S47" s="24">
        <v>15</v>
      </c>
      <c r="T47" s="24">
        <v>0</v>
      </c>
      <c r="U47" s="24">
        <v>0</v>
      </c>
      <c r="V47" s="24">
        <v>17</v>
      </c>
      <c r="W47" s="24">
        <v>9</v>
      </c>
      <c r="X47" s="24">
        <v>11</v>
      </c>
      <c r="Y47" s="24">
        <v>1</v>
      </c>
      <c r="Z47" s="24">
        <v>2</v>
      </c>
      <c r="AA47" s="24">
        <v>0</v>
      </c>
      <c r="AB47" s="31">
        <v>0</v>
      </c>
      <c r="AC47" s="31">
        <v>16</v>
      </c>
    </row>
    <row r="48" spans="1:29" ht="25.35" customHeight="1" x14ac:dyDescent="0.2">
      <c r="A48" s="296"/>
      <c r="B48" s="406"/>
      <c r="C48" s="407"/>
      <c r="D48" s="165" t="s">
        <v>143</v>
      </c>
      <c r="E48" s="166"/>
      <c r="F48" s="166"/>
      <c r="G48" s="167"/>
      <c r="H48" s="98">
        <v>42</v>
      </c>
      <c r="I48" s="24">
        <v>54779</v>
      </c>
      <c r="J48" s="24">
        <v>55</v>
      </c>
      <c r="K48" s="24">
        <v>34</v>
      </c>
      <c r="L48" s="24">
        <v>29</v>
      </c>
      <c r="M48" s="24">
        <v>0</v>
      </c>
      <c r="N48" s="24">
        <v>29</v>
      </c>
      <c r="O48" s="24">
        <v>0</v>
      </c>
      <c r="P48" s="24">
        <v>117</v>
      </c>
      <c r="Q48" s="24">
        <v>115</v>
      </c>
      <c r="R48" s="24">
        <v>1</v>
      </c>
      <c r="S48" s="24">
        <v>1</v>
      </c>
      <c r="T48" s="24">
        <v>0</v>
      </c>
      <c r="U48" s="24">
        <v>0</v>
      </c>
      <c r="V48" s="24">
        <v>20</v>
      </c>
      <c r="W48" s="24">
        <v>24</v>
      </c>
      <c r="X48" s="24">
        <v>23</v>
      </c>
      <c r="Y48" s="24">
        <v>11</v>
      </c>
      <c r="Z48" s="24">
        <v>285</v>
      </c>
      <c r="AA48" s="24">
        <v>282</v>
      </c>
      <c r="AB48" s="31">
        <v>0</v>
      </c>
      <c r="AC48" s="31">
        <v>54685</v>
      </c>
    </row>
    <row r="49" spans="1:29" ht="26.1" customHeight="1" x14ac:dyDescent="0.2">
      <c r="A49" s="296"/>
      <c r="B49" s="406"/>
      <c r="C49" s="407"/>
      <c r="D49" s="165" t="s">
        <v>1134</v>
      </c>
      <c r="E49" s="166"/>
      <c r="F49" s="166"/>
      <c r="G49" s="167"/>
      <c r="H49" s="98">
        <v>43</v>
      </c>
      <c r="I49" s="24">
        <v>1584</v>
      </c>
      <c r="J49" s="24">
        <v>90</v>
      </c>
      <c r="K49" s="24">
        <v>1139</v>
      </c>
      <c r="L49" s="24">
        <v>4</v>
      </c>
      <c r="M49" s="24">
        <v>0</v>
      </c>
      <c r="N49" s="24">
        <v>3</v>
      </c>
      <c r="O49" s="24">
        <v>0</v>
      </c>
      <c r="P49" s="24">
        <v>1628</v>
      </c>
      <c r="Q49" s="24">
        <v>1201</v>
      </c>
      <c r="R49" s="24">
        <v>426</v>
      </c>
      <c r="S49" s="24">
        <v>1</v>
      </c>
      <c r="T49" s="24">
        <v>0</v>
      </c>
      <c r="U49" s="24">
        <v>0</v>
      </c>
      <c r="V49" s="24">
        <v>147</v>
      </c>
      <c r="W49" s="24">
        <v>65</v>
      </c>
      <c r="X49" s="24">
        <v>98</v>
      </c>
      <c r="Y49" s="24">
        <v>0</v>
      </c>
      <c r="Z49" s="24">
        <v>18</v>
      </c>
      <c r="AA49" s="24">
        <v>1</v>
      </c>
      <c r="AB49" s="31">
        <v>0</v>
      </c>
      <c r="AC49" s="31">
        <v>25</v>
      </c>
    </row>
    <row r="50" spans="1:29" ht="18.95" customHeight="1" x14ac:dyDescent="0.2">
      <c r="A50" s="296"/>
      <c r="B50" s="406"/>
      <c r="C50" s="407"/>
      <c r="D50" s="165" t="s">
        <v>84</v>
      </c>
      <c r="E50" s="166"/>
      <c r="F50" s="166"/>
      <c r="G50" s="167"/>
      <c r="H50" s="98">
        <v>44</v>
      </c>
      <c r="I50" s="24">
        <v>10565</v>
      </c>
      <c r="J50" s="24">
        <v>15</v>
      </c>
      <c r="K50" s="24">
        <v>14</v>
      </c>
      <c r="L50" s="24">
        <v>2</v>
      </c>
      <c r="M50" s="24">
        <v>0</v>
      </c>
      <c r="N50" s="24">
        <v>2</v>
      </c>
      <c r="O50" s="24">
        <v>0</v>
      </c>
      <c r="P50" s="24">
        <v>26</v>
      </c>
      <c r="Q50" s="24">
        <v>25</v>
      </c>
      <c r="R50" s="24">
        <v>1</v>
      </c>
      <c r="S50" s="24">
        <v>0</v>
      </c>
      <c r="T50" s="24">
        <v>0</v>
      </c>
      <c r="U50" s="24">
        <v>1</v>
      </c>
      <c r="V50" s="24">
        <v>3</v>
      </c>
      <c r="W50" s="24">
        <v>6</v>
      </c>
      <c r="X50" s="24">
        <v>5</v>
      </c>
      <c r="Y50" s="24">
        <v>2</v>
      </c>
      <c r="Z50" s="24">
        <v>42</v>
      </c>
      <c r="AA50" s="24">
        <v>41</v>
      </c>
      <c r="AB50" s="31">
        <v>0</v>
      </c>
      <c r="AC50" s="31">
        <v>10550</v>
      </c>
    </row>
    <row r="51" spans="1:29" ht="18.95" customHeight="1" x14ac:dyDescent="0.2">
      <c r="A51" s="296"/>
      <c r="B51" s="408"/>
      <c r="C51" s="409"/>
      <c r="D51" s="165" t="s">
        <v>85</v>
      </c>
      <c r="E51" s="166"/>
      <c r="F51" s="166"/>
      <c r="G51" s="167"/>
      <c r="H51" s="98">
        <v>45</v>
      </c>
      <c r="I51" s="24">
        <v>162</v>
      </c>
      <c r="J51" s="24">
        <v>24</v>
      </c>
      <c r="K51" s="24">
        <v>73</v>
      </c>
      <c r="L51" s="24">
        <v>1</v>
      </c>
      <c r="M51" s="24">
        <v>0</v>
      </c>
      <c r="N51" s="24">
        <v>1</v>
      </c>
      <c r="O51" s="24">
        <v>0</v>
      </c>
      <c r="P51" s="24">
        <v>181</v>
      </c>
      <c r="Q51" s="24">
        <v>175</v>
      </c>
      <c r="R51" s="24">
        <v>1</v>
      </c>
      <c r="S51" s="24">
        <v>4</v>
      </c>
      <c r="T51" s="24">
        <v>1</v>
      </c>
      <c r="U51" s="24">
        <v>0</v>
      </c>
      <c r="V51" s="24">
        <v>19</v>
      </c>
      <c r="W51" s="24">
        <v>31</v>
      </c>
      <c r="X51" s="24">
        <v>9</v>
      </c>
      <c r="Y51" s="24">
        <v>8</v>
      </c>
      <c r="Z51" s="24">
        <v>2</v>
      </c>
      <c r="AA51" s="24">
        <v>2</v>
      </c>
      <c r="AB51" s="31">
        <v>0</v>
      </c>
      <c r="AC51" s="31">
        <v>3</v>
      </c>
    </row>
    <row r="52" spans="1:29" ht="18.95" customHeight="1" x14ac:dyDescent="0.2">
      <c r="A52" s="296"/>
      <c r="B52" s="398" t="s">
        <v>86</v>
      </c>
      <c r="C52" s="399"/>
      <c r="D52" s="138" t="s">
        <v>87</v>
      </c>
      <c r="E52" s="139"/>
      <c r="F52" s="139"/>
      <c r="G52" s="140"/>
      <c r="H52" s="98">
        <v>46</v>
      </c>
      <c r="I52" s="24">
        <v>28672</v>
      </c>
      <c r="J52" s="24">
        <v>540</v>
      </c>
      <c r="K52" s="24">
        <v>359</v>
      </c>
      <c r="L52" s="24">
        <v>99</v>
      </c>
      <c r="M52" s="24">
        <v>2</v>
      </c>
      <c r="N52" s="24">
        <v>81</v>
      </c>
      <c r="O52" s="24">
        <v>11</v>
      </c>
      <c r="P52" s="24">
        <v>536</v>
      </c>
      <c r="Q52" s="24">
        <v>504</v>
      </c>
      <c r="R52" s="24">
        <v>29</v>
      </c>
      <c r="S52" s="24">
        <v>3</v>
      </c>
      <c r="T52" s="24">
        <v>0</v>
      </c>
      <c r="U52" s="24">
        <v>102</v>
      </c>
      <c r="V52" s="24">
        <v>45</v>
      </c>
      <c r="W52" s="24">
        <v>96</v>
      </c>
      <c r="X52" s="24">
        <v>4</v>
      </c>
      <c r="Y52" s="24">
        <v>1</v>
      </c>
      <c r="Z52" s="24">
        <v>1658</v>
      </c>
      <c r="AA52" s="24">
        <v>1656</v>
      </c>
      <c r="AB52" s="31">
        <v>0</v>
      </c>
      <c r="AC52" s="31">
        <v>28473</v>
      </c>
    </row>
    <row r="53" spans="1:29" ht="27" customHeight="1" x14ac:dyDescent="0.2">
      <c r="A53" s="296"/>
      <c r="B53" s="400"/>
      <c r="C53" s="401"/>
      <c r="D53" s="49" t="s">
        <v>34</v>
      </c>
      <c r="E53" s="138" t="s">
        <v>88</v>
      </c>
      <c r="F53" s="139"/>
      <c r="G53" s="140"/>
      <c r="H53" s="98">
        <v>47</v>
      </c>
      <c r="I53" s="24">
        <v>1784</v>
      </c>
      <c r="J53" s="24">
        <v>36</v>
      </c>
      <c r="K53" s="24">
        <v>54</v>
      </c>
      <c r="L53" s="24">
        <v>15</v>
      </c>
      <c r="M53" s="24">
        <v>0</v>
      </c>
      <c r="N53" s="24">
        <v>14</v>
      </c>
      <c r="O53" s="24">
        <v>0</v>
      </c>
      <c r="P53" s="24">
        <v>67</v>
      </c>
      <c r="Q53" s="24">
        <v>44</v>
      </c>
      <c r="R53" s="24">
        <v>23</v>
      </c>
      <c r="S53" s="24">
        <v>0</v>
      </c>
      <c r="T53" s="24">
        <v>0</v>
      </c>
      <c r="U53" s="24">
        <v>0</v>
      </c>
      <c r="V53" s="24">
        <v>2</v>
      </c>
      <c r="W53" s="24">
        <v>8</v>
      </c>
      <c r="X53" s="24">
        <v>0</v>
      </c>
      <c r="Y53" s="24">
        <v>0</v>
      </c>
      <c r="Z53" s="24">
        <v>93</v>
      </c>
      <c r="AA53" s="24">
        <v>92</v>
      </c>
      <c r="AB53" s="31">
        <v>0</v>
      </c>
      <c r="AC53" s="31">
        <v>1737</v>
      </c>
    </row>
    <row r="54" spans="1:29" ht="18.95" customHeight="1" x14ac:dyDescent="0.2">
      <c r="A54" s="296"/>
      <c r="B54" s="400"/>
      <c r="C54" s="401"/>
      <c r="D54" s="138" t="s">
        <v>89</v>
      </c>
      <c r="E54" s="139"/>
      <c r="F54" s="139"/>
      <c r="G54" s="140"/>
      <c r="H54" s="98">
        <v>48</v>
      </c>
      <c r="I54" s="24">
        <v>51139</v>
      </c>
      <c r="J54" s="24">
        <v>1776</v>
      </c>
      <c r="K54" s="24">
        <v>2508</v>
      </c>
      <c r="L54" s="24">
        <v>1151</v>
      </c>
      <c r="M54" s="24">
        <v>0</v>
      </c>
      <c r="N54" s="24">
        <v>1108</v>
      </c>
      <c r="O54" s="24">
        <v>9</v>
      </c>
      <c r="P54" s="24">
        <v>8791</v>
      </c>
      <c r="Q54" s="24">
        <v>8689</v>
      </c>
      <c r="R54" s="24">
        <v>46</v>
      </c>
      <c r="S54" s="24">
        <v>49</v>
      </c>
      <c r="T54" s="24">
        <v>7</v>
      </c>
      <c r="U54" s="24">
        <v>256</v>
      </c>
      <c r="V54" s="24">
        <v>1287</v>
      </c>
      <c r="W54" s="24">
        <v>2989</v>
      </c>
      <c r="X54" s="24">
        <v>125</v>
      </c>
      <c r="Y54" s="24">
        <v>89</v>
      </c>
      <c r="Z54" s="24">
        <v>2554</v>
      </c>
      <c r="AA54" s="24">
        <v>2505</v>
      </c>
      <c r="AB54" s="31">
        <v>0</v>
      </c>
      <c r="AC54" s="31">
        <v>42668</v>
      </c>
    </row>
    <row r="55" spans="1:29" ht="18.95" customHeight="1" x14ac:dyDescent="0.2">
      <c r="A55" s="296"/>
      <c r="B55" s="400"/>
      <c r="C55" s="401"/>
      <c r="D55" s="138" t="s">
        <v>90</v>
      </c>
      <c r="E55" s="139"/>
      <c r="F55" s="139"/>
      <c r="G55" s="140"/>
      <c r="H55" s="98">
        <v>49</v>
      </c>
      <c r="I55" s="24">
        <v>21722</v>
      </c>
      <c r="J55" s="24">
        <v>452</v>
      </c>
      <c r="K55" s="24">
        <v>1460</v>
      </c>
      <c r="L55" s="24">
        <v>376</v>
      </c>
      <c r="M55" s="24">
        <v>2</v>
      </c>
      <c r="N55" s="24">
        <v>332</v>
      </c>
      <c r="O55" s="24">
        <v>34</v>
      </c>
      <c r="P55" s="24">
        <v>2170</v>
      </c>
      <c r="Q55" s="24">
        <v>2135</v>
      </c>
      <c r="R55" s="24">
        <v>23</v>
      </c>
      <c r="S55" s="24">
        <v>9</v>
      </c>
      <c r="T55" s="24">
        <v>3</v>
      </c>
      <c r="U55" s="24">
        <v>19</v>
      </c>
      <c r="V55" s="24">
        <v>82</v>
      </c>
      <c r="W55" s="24">
        <v>380</v>
      </c>
      <c r="X55" s="24">
        <v>0</v>
      </c>
      <c r="Y55" s="24">
        <v>28</v>
      </c>
      <c r="Z55" s="24">
        <v>1018</v>
      </c>
      <c r="AA55" s="24">
        <v>1016</v>
      </c>
      <c r="AB55" s="31">
        <v>0</v>
      </c>
      <c r="AC55" s="31">
        <v>19607</v>
      </c>
    </row>
    <row r="56" spans="1:29" ht="24" customHeight="1" x14ac:dyDescent="0.2">
      <c r="A56" s="296"/>
      <c r="B56" s="400"/>
      <c r="C56" s="401"/>
      <c r="D56" s="138" t="s">
        <v>91</v>
      </c>
      <c r="E56" s="139"/>
      <c r="F56" s="139"/>
      <c r="G56" s="140"/>
      <c r="H56" s="98">
        <v>50</v>
      </c>
      <c r="I56" s="24">
        <v>1364</v>
      </c>
      <c r="J56" s="24">
        <v>74</v>
      </c>
      <c r="K56" s="24">
        <v>143</v>
      </c>
      <c r="L56" s="24">
        <v>65</v>
      </c>
      <c r="M56" s="24">
        <v>0</v>
      </c>
      <c r="N56" s="24">
        <v>1</v>
      </c>
      <c r="O56" s="24">
        <v>64</v>
      </c>
      <c r="P56" s="24">
        <v>122</v>
      </c>
      <c r="Q56" s="24">
        <v>69</v>
      </c>
      <c r="R56" s="24">
        <v>53</v>
      </c>
      <c r="S56" s="24">
        <v>0</v>
      </c>
      <c r="T56" s="24">
        <v>0</v>
      </c>
      <c r="U56" s="24">
        <v>1</v>
      </c>
      <c r="V56" s="24">
        <v>2</v>
      </c>
      <c r="W56" s="24">
        <v>7</v>
      </c>
      <c r="X56" s="24">
        <v>0</v>
      </c>
      <c r="Y56" s="24">
        <v>0</v>
      </c>
      <c r="Z56" s="24">
        <v>221</v>
      </c>
      <c r="AA56" s="24">
        <v>221</v>
      </c>
      <c r="AB56" s="31">
        <v>0</v>
      </c>
      <c r="AC56" s="31">
        <v>1250</v>
      </c>
    </row>
    <row r="57" spans="1:29" ht="18.95" customHeight="1" x14ac:dyDescent="0.2">
      <c r="A57" s="296"/>
      <c r="B57" s="400"/>
      <c r="C57" s="401"/>
      <c r="D57" s="138" t="s">
        <v>92</v>
      </c>
      <c r="E57" s="139"/>
      <c r="F57" s="139"/>
      <c r="G57" s="140"/>
      <c r="H57" s="98">
        <v>51</v>
      </c>
      <c r="I57" s="24">
        <v>6310</v>
      </c>
      <c r="J57" s="24">
        <v>217</v>
      </c>
      <c r="K57" s="24">
        <v>480</v>
      </c>
      <c r="L57" s="24">
        <v>173</v>
      </c>
      <c r="M57" s="24">
        <v>0</v>
      </c>
      <c r="N57" s="24">
        <v>155</v>
      </c>
      <c r="O57" s="24">
        <v>16</v>
      </c>
      <c r="P57" s="24">
        <v>695</v>
      </c>
      <c r="Q57" s="24">
        <v>474</v>
      </c>
      <c r="R57" s="24">
        <v>221</v>
      </c>
      <c r="S57" s="24">
        <v>0</v>
      </c>
      <c r="T57" s="24">
        <v>0</v>
      </c>
      <c r="U57" s="24">
        <v>3</v>
      </c>
      <c r="V57" s="24">
        <v>14</v>
      </c>
      <c r="W57" s="24">
        <v>142</v>
      </c>
      <c r="X57" s="24">
        <v>2</v>
      </c>
      <c r="Y57" s="24">
        <v>0</v>
      </c>
      <c r="Z57" s="24">
        <v>252</v>
      </c>
      <c r="AA57" s="24">
        <v>247</v>
      </c>
      <c r="AB57" s="31">
        <v>0</v>
      </c>
      <c r="AC57" s="31">
        <v>5651</v>
      </c>
    </row>
    <row r="58" spans="1:29" ht="27" customHeight="1" x14ac:dyDescent="0.2">
      <c r="A58" s="297"/>
      <c r="B58" s="402"/>
      <c r="C58" s="403"/>
      <c r="D58" s="138" t="s">
        <v>93</v>
      </c>
      <c r="E58" s="139"/>
      <c r="F58" s="139"/>
      <c r="G58" s="140"/>
      <c r="H58" s="98">
        <v>52</v>
      </c>
      <c r="I58" s="24">
        <v>617</v>
      </c>
      <c r="J58" s="24">
        <v>8</v>
      </c>
      <c r="K58" s="24">
        <v>41</v>
      </c>
      <c r="L58" s="24">
        <v>23</v>
      </c>
      <c r="M58" s="24">
        <v>0</v>
      </c>
      <c r="N58" s="24">
        <v>0</v>
      </c>
      <c r="O58" s="24">
        <v>22</v>
      </c>
      <c r="P58" s="24">
        <v>115</v>
      </c>
      <c r="Q58" s="24">
        <v>115</v>
      </c>
      <c r="R58" s="24">
        <v>0</v>
      </c>
      <c r="S58" s="24">
        <v>0</v>
      </c>
      <c r="T58" s="24">
        <v>0</v>
      </c>
      <c r="U58" s="24">
        <v>0</v>
      </c>
      <c r="V58" s="24">
        <v>5</v>
      </c>
      <c r="W58" s="24">
        <v>70</v>
      </c>
      <c r="X58" s="24">
        <v>0</v>
      </c>
      <c r="Y58" s="24">
        <v>0</v>
      </c>
      <c r="Z58" s="24">
        <v>27</v>
      </c>
      <c r="AA58" s="24">
        <v>27</v>
      </c>
      <c r="AB58" s="31">
        <v>0</v>
      </c>
      <c r="AC58" s="31">
        <v>487</v>
      </c>
    </row>
    <row r="59" spans="1:29" ht="26.45" customHeight="1" x14ac:dyDescent="0.2">
      <c r="A59" s="349" t="s">
        <v>1135</v>
      </c>
      <c r="B59" s="135" t="s">
        <v>95</v>
      </c>
      <c r="C59" s="136"/>
      <c r="D59" s="136"/>
      <c r="E59" s="136"/>
      <c r="F59" s="136"/>
      <c r="G59" s="137"/>
      <c r="H59" s="98">
        <v>53</v>
      </c>
      <c r="I59" s="24">
        <v>11066</v>
      </c>
      <c r="J59" s="24">
        <v>408</v>
      </c>
      <c r="K59" s="24">
        <v>1014</v>
      </c>
      <c r="L59" s="24">
        <v>326</v>
      </c>
      <c r="M59" s="24">
        <v>0</v>
      </c>
      <c r="N59" s="24">
        <v>300</v>
      </c>
      <c r="O59" s="24">
        <v>23</v>
      </c>
      <c r="P59" s="24">
        <v>1406</v>
      </c>
      <c r="Q59" s="24">
        <v>1397</v>
      </c>
      <c r="R59" s="24">
        <v>2</v>
      </c>
      <c r="S59" s="24">
        <v>3</v>
      </c>
      <c r="T59" s="24">
        <v>4</v>
      </c>
      <c r="U59" s="24">
        <v>0</v>
      </c>
      <c r="V59" s="24">
        <v>43</v>
      </c>
      <c r="W59" s="24">
        <v>155</v>
      </c>
      <c r="X59" s="24">
        <v>3</v>
      </c>
      <c r="Y59" s="24">
        <v>42</v>
      </c>
      <c r="Z59" s="24">
        <v>336</v>
      </c>
      <c r="AA59" s="24">
        <v>335</v>
      </c>
      <c r="AB59" s="31">
        <v>0</v>
      </c>
      <c r="AC59" s="31">
        <v>9741</v>
      </c>
    </row>
    <row r="60" spans="1:29" ht="18.600000000000001" customHeight="1" x14ac:dyDescent="0.2">
      <c r="A60" s="349"/>
      <c r="B60" s="393" t="s">
        <v>32</v>
      </c>
      <c r="C60" s="201" t="s">
        <v>1136</v>
      </c>
      <c r="D60" s="202"/>
      <c r="E60" s="202"/>
      <c r="F60" s="202"/>
      <c r="G60" s="203"/>
      <c r="H60" s="98">
        <v>54</v>
      </c>
      <c r="I60" s="24">
        <v>635</v>
      </c>
      <c r="J60" s="24">
        <v>13</v>
      </c>
      <c r="K60" s="24">
        <v>27</v>
      </c>
      <c r="L60" s="24">
        <v>18</v>
      </c>
      <c r="M60" s="24">
        <v>0</v>
      </c>
      <c r="N60" s="24">
        <v>18</v>
      </c>
      <c r="O60" s="24">
        <v>0</v>
      </c>
      <c r="P60" s="24">
        <v>21</v>
      </c>
      <c r="Q60" s="24">
        <v>21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48</v>
      </c>
      <c r="AA60" s="24">
        <v>47</v>
      </c>
      <c r="AB60" s="31">
        <v>0</v>
      </c>
      <c r="AC60" s="31">
        <v>608</v>
      </c>
    </row>
    <row r="61" spans="1:29" ht="18.600000000000001" customHeight="1" x14ac:dyDescent="0.2">
      <c r="A61" s="349"/>
      <c r="B61" s="394"/>
      <c r="C61" s="201" t="s">
        <v>1137</v>
      </c>
      <c r="D61" s="202"/>
      <c r="E61" s="202"/>
      <c r="F61" s="202"/>
      <c r="G61" s="203"/>
      <c r="H61" s="98">
        <v>55</v>
      </c>
      <c r="I61" s="24">
        <v>10431</v>
      </c>
      <c r="J61" s="24">
        <v>395</v>
      </c>
      <c r="K61" s="24">
        <v>987</v>
      </c>
      <c r="L61" s="24">
        <v>308</v>
      </c>
      <c r="M61" s="24">
        <v>0</v>
      </c>
      <c r="N61" s="24">
        <v>282</v>
      </c>
      <c r="O61" s="24">
        <v>23</v>
      </c>
      <c r="P61" s="24">
        <v>1385</v>
      </c>
      <c r="Q61" s="24">
        <v>1376</v>
      </c>
      <c r="R61" s="24">
        <v>2</v>
      </c>
      <c r="S61" s="24">
        <v>3</v>
      </c>
      <c r="T61" s="24">
        <v>4</v>
      </c>
      <c r="U61" s="24">
        <v>0</v>
      </c>
      <c r="V61" s="24">
        <v>43</v>
      </c>
      <c r="W61" s="24">
        <v>155</v>
      </c>
      <c r="X61" s="24">
        <v>3</v>
      </c>
      <c r="Y61" s="24">
        <v>42</v>
      </c>
      <c r="Z61" s="24">
        <v>288</v>
      </c>
      <c r="AA61" s="24">
        <v>288</v>
      </c>
      <c r="AB61" s="31">
        <v>0</v>
      </c>
      <c r="AC61" s="31">
        <v>9133</v>
      </c>
    </row>
    <row r="62" spans="1:29" ht="27" customHeight="1" x14ac:dyDescent="0.2">
      <c r="A62" s="349"/>
      <c r="B62" s="135" t="s">
        <v>96</v>
      </c>
      <c r="C62" s="136"/>
      <c r="D62" s="136"/>
      <c r="E62" s="136"/>
      <c r="F62" s="136"/>
      <c r="G62" s="137"/>
      <c r="H62" s="98">
        <v>56</v>
      </c>
      <c r="I62" s="31">
        <v>155996</v>
      </c>
      <c r="J62" s="31">
        <v>2370</v>
      </c>
      <c r="K62" s="31">
        <v>898</v>
      </c>
      <c r="L62" s="31">
        <v>105</v>
      </c>
      <c r="M62" s="31">
        <v>1</v>
      </c>
      <c r="N62" s="31">
        <v>94</v>
      </c>
      <c r="O62" s="31">
        <v>1</v>
      </c>
      <c r="P62" s="31">
        <v>1852</v>
      </c>
      <c r="Q62" s="31">
        <v>1760</v>
      </c>
      <c r="R62" s="31">
        <v>9</v>
      </c>
      <c r="S62" s="31">
        <v>60</v>
      </c>
      <c r="T62" s="31">
        <v>23</v>
      </c>
      <c r="U62" s="31">
        <v>101</v>
      </c>
      <c r="V62" s="31">
        <v>302</v>
      </c>
      <c r="W62" s="31">
        <v>56</v>
      </c>
      <c r="X62" s="31">
        <v>420</v>
      </c>
      <c r="Y62" s="31">
        <v>84</v>
      </c>
      <c r="Z62" s="31">
        <v>6809</v>
      </c>
      <c r="AA62" s="31">
        <v>6772</v>
      </c>
      <c r="AB62" s="31">
        <v>0</v>
      </c>
      <c r="AC62" s="31">
        <v>156271</v>
      </c>
    </row>
    <row r="63" spans="1:29" ht="18.600000000000001" customHeight="1" x14ac:dyDescent="0.2">
      <c r="A63" s="349"/>
      <c r="B63" s="393" t="s">
        <v>32</v>
      </c>
      <c r="C63" s="201" t="s">
        <v>1136</v>
      </c>
      <c r="D63" s="202"/>
      <c r="E63" s="202"/>
      <c r="F63" s="202"/>
      <c r="G63" s="203"/>
      <c r="H63" s="98">
        <v>57</v>
      </c>
      <c r="I63" s="31">
        <v>8194</v>
      </c>
      <c r="J63" s="31">
        <v>956</v>
      </c>
      <c r="K63" s="31">
        <v>501</v>
      </c>
      <c r="L63" s="31">
        <v>8</v>
      </c>
      <c r="M63" s="31">
        <v>0</v>
      </c>
      <c r="N63" s="31">
        <v>6</v>
      </c>
      <c r="O63" s="31">
        <v>0</v>
      </c>
      <c r="P63" s="31">
        <v>664</v>
      </c>
      <c r="Q63" s="31">
        <v>628</v>
      </c>
      <c r="R63" s="31">
        <v>4</v>
      </c>
      <c r="S63" s="31">
        <v>13</v>
      </c>
      <c r="T63" s="31">
        <v>19</v>
      </c>
      <c r="U63" s="31">
        <v>44</v>
      </c>
      <c r="V63" s="31">
        <v>72</v>
      </c>
      <c r="W63" s="31">
        <v>12</v>
      </c>
      <c r="X63" s="31">
        <v>87</v>
      </c>
      <c r="Y63" s="31">
        <v>40</v>
      </c>
      <c r="Z63" s="31">
        <v>2115</v>
      </c>
      <c r="AA63" s="31">
        <v>2103</v>
      </c>
      <c r="AB63" s="31">
        <v>0</v>
      </c>
      <c r="AC63" s="31">
        <v>8422</v>
      </c>
    </row>
    <row r="64" spans="1:29" ht="18.600000000000001" customHeight="1" x14ac:dyDescent="0.2">
      <c r="A64" s="349"/>
      <c r="B64" s="394"/>
      <c r="C64" s="201" t="s">
        <v>1137</v>
      </c>
      <c r="D64" s="202"/>
      <c r="E64" s="202"/>
      <c r="F64" s="202"/>
      <c r="G64" s="203"/>
      <c r="H64" s="98">
        <v>58</v>
      </c>
      <c r="I64" s="31">
        <v>147802</v>
      </c>
      <c r="J64" s="31">
        <v>1414</v>
      </c>
      <c r="K64" s="31">
        <v>397</v>
      </c>
      <c r="L64" s="31">
        <v>97</v>
      </c>
      <c r="M64" s="31">
        <v>1</v>
      </c>
      <c r="N64" s="31">
        <v>88</v>
      </c>
      <c r="O64" s="31">
        <v>1</v>
      </c>
      <c r="P64" s="31">
        <v>1188</v>
      </c>
      <c r="Q64" s="31">
        <v>1132</v>
      </c>
      <c r="R64" s="31">
        <v>5</v>
      </c>
      <c r="S64" s="31">
        <v>47</v>
      </c>
      <c r="T64" s="31">
        <v>4</v>
      </c>
      <c r="U64" s="31">
        <v>57</v>
      </c>
      <c r="V64" s="31">
        <v>230</v>
      </c>
      <c r="W64" s="31">
        <v>44</v>
      </c>
      <c r="X64" s="31">
        <v>333</v>
      </c>
      <c r="Y64" s="31">
        <v>44</v>
      </c>
      <c r="Z64" s="31">
        <v>4694</v>
      </c>
      <c r="AA64" s="31">
        <v>4669</v>
      </c>
      <c r="AB64" s="31">
        <v>0</v>
      </c>
      <c r="AC64" s="31">
        <v>147849</v>
      </c>
    </row>
    <row r="65" spans="1:29" ht="27" customHeight="1" x14ac:dyDescent="0.2">
      <c r="A65" s="349"/>
      <c r="B65" s="135" t="s">
        <v>97</v>
      </c>
      <c r="C65" s="136"/>
      <c r="D65" s="136"/>
      <c r="E65" s="136"/>
      <c r="F65" s="136"/>
      <c r="G65" s="137"/>
      <c r="H65" s="98">
        <v>59</v>
      </c>
      <c r="I65" s="31">
        <v>4211</v>
      </c>
      <c r="J65" s="31">
        <v>52</v>
      </c>
      <c r="K65" s="31">
        <v>14</v>
      </c>
      <c r="L65" s="31">
        <v>17</v>
      </c>
      <c r="M65" s="31">
        <v>0</v>
      </c>
      <c r="N65" s="31">
        <v>17</v>
      </c>
      <c r="O65" s="31">
        <v>0</v>
      </c>
      <c r="P65" s="31">
        <v>67</v>
      </c>
      <c r="Q65" s="31">
        <v>67</v>
      </c>
      <c r="R65" s="31">
        <v>0</v>
      </c>
      <c r="S65" s="31">
        <v>0</v>
      </c>
      <c r="T65" s="31">
        <v>0</v>
      </c>
      <c r="U65" s="31">
        <v>6</v>
      </c>
      <c r="V65" s="31">
        <v>7</v>
      </c>
      <c r="W65" s="31">
        <v>36</v>
      </c>
      <c r="X65" s="31">
        <v>2</v>
      </c>
      <c r="Y65" s="31">
        <v>0</v>
      </c>
      <c r="Z65" s="31">
        <v>96</v>
      </c>
      <c r="AA65" s="31">
        <v>96</v>
      </c>
      <c r="AB65" s="31">
        <v>0</v>
      </c>
      <c r="AC65" s="31">
        <v>4173</v>
      </c>
    </row>
    <row r="66" spans="1:29" ht="18.95" customHeight="1" x14ac:dyDescent="0.2">
      <c r="A66" s="349"/>
      <c r="B66" s="393" t="s">
        <v>32</v>
      </c>
      <c r="C66" s="201" t="s">
        <v>1136</v>
      </c>
      <c r="D66" s="202"/>
      <c r="E66" s="202"/>
      <c r="F66" s="202"/>
      <c r="G66" s="203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9"/>
      <c r="B67" s="394"/>
      <c r="C67" s="201" t="s">
        <v>1137</v>
      </c>
      <c r="D67" s="202"/>
      <c r="E67" s="202"/>
      <c r="F67" s="202"/>
      <c r="G67" s="203"/>
      <c r="H67" s="98">
        <v>61</v>
      </c>
      <c r="I67" s="31">
        <v>4210</v>
      </c>
      <c r="J67" s="31">
        <v>52</v>
      </c>
      <c r="K67" s="31">
        <v>14</v>
      </c>
      <c r="L67" s="31">
        <v>17</v>
      </c>
      <c r="M67" s="31">
        <v>0</v>
      </c>
      <c r="N67" s="31">
        <v>17</v>
      </c>
      <c r="O67" s="31">
        <v>0</v>
      </c>
      <c r="P67" s="31">
        <v>67</v>
      </c>
      <c r="Q67" s="31">
        <v>67</v>
      </c>
      <c r="R67" s="31">
        <v>0</v>
      </c>
      <c r="S67" s="31">
        <v>0</v>
      </c>
      <c r="T67" s="31">
        <v>0</v>
      </c>
      <c r="U67" s="31">
        <v>6</v>
      </c>
      <c r="V67" s="31">
        <v>7</v>
      </c>
      <c r="W67" s="31">
        <v>36</v>
      </c>
      <c r="X67" s="31">
        <v>2</v>
      </c>
      <c r="Y67" s="31">
        <v>0</v>
      </c>
      <c r="Z67" s="31">
        <v>96</v>
      </c>
      <c r="AA67" s="31">
        <v>96</v>
      </c>
      <c r="AB67" s="31">
        <v>0</v>
      </c>
      <c r="AC67" s="31">
        <v>4172</v>
      </c>
    </row>
    <row r="68" spans="1:29" ht="27" customHeight="1" x14ac:dyDescent="0.2">
      <c r="A68" s="349"/>
      <c r="B68" s="277" t="s">
        <v>98</v>
      </c>
      <c r="C68" s="256"/>
      <c r="D68" s="256"/>
      <c r="E68" s="256"/>
      <c r="F68" s="256"/>
      <c r="G68" s="257"/>
      <c r="H68" s="98">
        <v>62</v>
      </c>
      <c r="I68" s="31">
        <v>764</v>
      </c>
      <c r="J68" s="31">
        <v>42</v>
      </c>
      <c r="K68" s="31">
        <v>46</v>
      </c>
      <c r="L68" s="31">
        <v>12</v>
      </c>
      <c r="M68" s="31">
        <v>1</v>
      </c>
      <c r="N68" s="31">
        <v>10</v>
      </c>
      <c r="O68" s="31">
        <v>1</v>
      </c>
      <c r="P68" s="31">
        <v>180</v>
      </c>
      <c r="Q68" s="31">
        <v>178</v>
      </c>
      <c r="R68" s="31">
        <v>1</v>
      </c>
      <c r="S68" s="31">
        <v>0</v>
      </c>
      <c r="T68" s="31">
        <v>1</v>
      </c>
      <c r="U68" s="31">
        <v>4</v>
      </c>
      <c r="V68" s="31">
        <v>31</v>
      </c>
      <c r="W68" s="31">
        <v>3</v>
      </c>
      <c r="X68" s="31">
        <v>28</v>
      </c>
      <c r="Y68" s="31">
        <v>13</v>
      </c>
      <c r="Z68" s="31">
        <v>84</v>
      </c>
      <c r="AA68" s="31">
        <v>77</v>
      </c>
      <c r="AB68" s="31">
        <v>0</v>
      </c>
      <c r="AC68" s="31">
        <v>603</v>
      </c>
    </row>
    <row r="69" spans="1:29" ht="18.95" customHeight="1" x14ac:dyDescent="0.2">
      <c r="A69" s="349"/>
      <c r="B69" s="393" t="s">
        <v>32</v>
      </c>
      <c r="C69" s="201" t="s">
        <v>1136</v>
      </c>
      <c r="D69" s="202"/>
      <c r="E69" s="202"/>
      <c r="F69" s="202"/>
      <c r="G69" s="203"/>
      <c r="H69" s="98">
        <v>63</v>
      </c>
      <c r="I69" s="31">
        <v>5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1</v>
      </c>
      <c r="Q69" s="31">
        <v>1</v>
      </c>
      <c r="R69" s="31">
        <v>0</v>
      </c>
      <c r="S69" s="31">
        <v>0</v>
      </c>
      <c r="T69" s="31">
        <v>0</v>
      </c>
      <c r="U69" s="31">
        <v>0</v>
      </c>
      <c r="V69" s="31">
        <v>1</v>
      </c>
      <c r="W69" s="31">
        <v>0</v>
      </c>
      <c r="X69" s="31">
        <v>0</v>
      </c>
      <c r="Y69" s="31">
        <v>0</v>
      </c>
      <c r="Z69" s="31">
        <v>1</v>
      </c>
      <c r="AA69" s="31">
        <v>1</v>
      </c>
      <c r="AB69" s="31">
        <v>0</v>
      </c>
      <c r="AC69" s="31">
        <v>5</v>
      </c>
    </row>
    <row r="70" spans="1:29" ht="18.95" customHeight="1" x14ac:dyDescent="0.2">
      <c r="A70" s="349"/>
      <c r="B70" s="394"/>
      <c r="C70" s="201" t="s">
        <v>1137</v>
      </c>
      <c r="D70" s="202"/>
      <c r="E70" s="202"/>
      <c r="F70" s="202"/>
      <c r="G70" s="203"/>
      <c r="H70" s="98">
        <v>64</v>
      </c>
      <c r="I70" s="31">
        <v>759</v>
      </c>
      <c r="J70" s="31">
        <v>41</v>
      </c>
      <c r="K70" s="31">
        <v>46</v>
      </c>
      <c r="L70" s="31">
        <v>12</v>
      </c>
      <c r="M70" s="31">
        <v>1</v>
      </c>
      <c r="N70" s="31">
        <v>10</v>
      </c>
      <c r="O70" s="31">
        <v>1</v>
      </c>
      <c r="P70" s="31">
        <v>179</v>
      </c>
      <c r="Q70" s="31">
        <v>177</v>
      </c>
      <c r="R70" s="31">
        <v>1</v>
      </c>
      <c r="S70" s="31">
        <v>0</v>
      </c>
      <c r="T70" s="31">
        <v>1</v>
      </c>
      <c r="U70" s="31">
        <v>4</v>
      </c>
      <c r="V70" s="31">
        <v>30</v>
      </c>
      <c r="W70" s="31">
        <v>3</v>
      </c>
      <c r="X70" s="31">
        <v>28</v>
      </c>
      <c r="Y70" s="31">
        <v>13</v>
      </c>
      <c r="Z70" s="31">
        <v>83</v>
      </c>
      <c r="AA70" s="31">
        <v>76</v>
      </c>
      <c r="AB70" s="31">
        <v>0</v>
      </c>
      <c r="AC70" s="31">
        <v>598</v>
      </c>
    </row>
    <row r="71" spans="1:29" ht="27" customHeight="1" x14ac:dyDescent="0.2">
      <c r="A71" s="349"/>
      <c r="B71" s="277" t="s">
        <v>99</v>
      </c>
      <c r="C71" s="256"/>
      <c r="D71" s="256"/>
      <c r="E71" s="256"/>
      <c r="F71" s="256"/>
      <c r="G71" s="257"/>
      <c r="H71" s="98">
        <v>65</v>
      </c>
      <c r="I71" s="31">
        <v>7874</v>
      </c>
      <c r="J71" s="31">
        <v>312</v>
      </c>
      <c r="K71" s="31">
        <v>104</v>
      </c>
      <c r="L71" s="31">
        <v>26</v>
      </c>
      <c r="M71" s="31">
        <v>0</v>
      </c>
      <c r="N71" s="31">
        <v>24</v>
      </c>
      <c r="O71" s="31">
        <v>2</v>
      </c>
      <c r="P71" s="31">
        <v>203</v>
      </c>
      <c r="Q71" s="31">
        <v>194</v>
      </c>
      <c r="R71" s="31">
        <v>3</v>
      </c>
      <c r="S71" s="31">
        <v>6</v>
      </c>
      <c r="T71" s="31">
        <v>0</v>
      </c>
      <c r="U71" s="31">
        <v>158</v>
      </c>
      <c r="V71" s="31">
        <v>67</v>
      </c>
      <c r="W71" s="31">
        <v>8</v>
      </c>
      <c r="X71" s="31">
        <v>8</v>
      </c>
      <c r="Y71" s="31">
        <v>1</v>
      </c>
      <c r="Z71" s="31">
        <v>1033</v>
      </c>
      <c r="AA71" s="31">
        <v>1029</v>
      </c>
      <c r="AB71" s="31">
        <v>0</v>
      </c>
      <c r="AC71" s="31">
        <v>7795</v>
      </c>
    </row>
    <row r="72" spans="1:29" ht="18.95" customHeight="1" x14ac:dyDescent="0.2">
      <c r="A72" s="349"/>
      <c r="B72" s="393" t="s">
        <v>32</v>
      </c>
      <c r="C72" s="201" t="s">
        <v>1136</v>
      </c>
      <c r="D72" s="202"/>
      <c r="E72" s="202"/>
      <c r="F72" s="202"/>
      <c r="G72" s="203"/>
      <c r="H72" s="98">
        <v>66</v>
      </c>
      <c r="I72" s="31">
        <v>4843</v>
      </c>
      <c r="J72" s="31">
        <v>263</v>
      </c>
      <c r="K72" s="31">
        <v>74</v>
      </c>
      <c r="L72" s="31">
        <v>6</v>
      </c>
      <c r="M72" s="31">
        <v>0</v>
      </c>
      <c r="N72" s="31">
        <v>6</v>
      </c>
      <c r="O72" s="31">
        <v>0</v>
      </c>
      <c r="P72" s="31">
        <v>144</v>
      </c>
      <c r="Q72" s="31">
        <v>138</v>
      </c>
      <c r="R72" s="31">
        <v>1</v>
      </c>
      <c r="S72" s="31">
        <v>5</v>
      </c>
      <c r="T72" s="31">
        <v>0</v>
      </c>
      <c r="U72" s="31">
        <v>154</v>
      </c>
      <c r="V72" s="31">
        <v>55</v>
      </c>
      <c r="W72" s="31">
        <v>1</v>
      </c>
      <c r="X72" s="31">
        <v>6</v>
      </c>
      <c r="Y72" s="31">
        <v>1</v>
      </c>
      <c r="Z72" s="31">
        <v>893</v>
      </c>
      <c r="AA72" s="31">
        <v>889</v>
      </c>
      <c r="AB72" s="31">
        <v>0</v>
      </c>
      <c r="AC72" s="31">
        <v>4798</v>
      </c>
    </row>
    <row r="73" spans="1:29" ht="18.95" customHeight="1" x14ac:dyDescent="0.2">
      <c r="A73" s="350"/>
      <c r="B73" s="394"/>
      <c r="C73" s="201" t="s">
        <v>1137</v>
      </c>
      <c r="D73" s="202"/>
      <c r="E73" s="202"/>
      <c r="F73" s="202"/>
      <c r="G73" s="203"/>
      <c r="H73" s="98">
        <v>67</v>
      </c>
      <c r="I73" s="31">
        <v>3031</v>
      </c>
      <c r="J73" s="31">
        <v>49</v>
      </c>
      <c r="K73" s="31">
        <v>30</v>
      </c>
      <c r="L73" s="31">
        <v>20</v>
      </c>
      <c r="M73" s="31">
        <v>0</v>
      </c>
      <c r="N73" s="31">
        <v>18</v>
      </c>
      <c r="O73" s="31">
        <v>2</v>
      </c>
      <c r="P73" s="31">
        <v>59</v>
      </c>
      <c r="Q73" s="31">
        <v>56</v>
      </c>
      <c r="R73" s="31">
        <v>2</v>
      </c>
      <c r="S73" s="31">
        <v>1</v>
      </c>
      <c r="T73" s="31">
        <v>0</v>
      </c>
      <c r="U73" s="31">
        <v>4</v>
      </c>
      <c r="V73" s="31">
        <v>12</v>
      </c>
      <c r="W73" s="31">
        <v>7</v>
      </c>
      <c r="X73" s="31">
        <v>2</v>
      </c>
      <c r="Y73" s="31">
        <v>0</v>
      </c>
      <c r="Z73" s="31">
        <v>140</v>
      </c>
      <c r="AA73" s="31">
        <v>140</v>
      </c>
      <c r="AB73" s="31">
        <v>0</v>
      </c>
      <c r="AC73" s="31">
        <v>2997</v>
      </c>
    </row>
    <row r="74" spans="1:29" ht="12.75" customHeight="1" x14ac:dyDescent="0.2">
      <c r="A74" s="192" t="s">
        <v>41</v>
      </c>
      <c r="B74" s="193"/>
      <c r="C74" s="193"/>
      <c r="D74" s="193"/>
      <c r="E74" s="193"/>
      <c r="F74" s="193"/>
      <c r="G74" s="194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8" t="s">
        <v>1135</v>
      </c>
      <c r="B75" s="395" t="s">
        <v>100</v>
      </c>
      <c r="C75" s="396"/>
      <c r="D75" s="396"/>
      <c r="E75" s="396"/>
      <c r="F75" s="396"/>
      <c r="G75" s="397"/>
      <c r="H75" s="20">
        <v>68</v>
      </c>
      <c r="I75" s="31">
        <v>839871</v>
      </c>
      <c r="J75" s="31">
        <v>5648</v>
      </c>
      <c r="K75" s="31">
        <v>1828</v>
      </c>
      <c r="L75" s="31">
        <v>1335</v>
      </c>
      <c r="M75" s="31">
        <v>2</v>
      </c>
      <c r="N75" s="31">
        <v>1252</v>
      </c>
      <c r="O75" s="31">
        <v>42</v>
      </c>
      <c r="P75" s="31">
        <v>6085</v>
      </c>
      <c r="Q75" s="31">
        <v>5989</v>
      </c>
      <c r="R75" s="31">
        <v>17</v>
      </c>
      <c r="S75" s="31">
        <v>78</v>
      </c>
      <c r="T75" s="31">
        <v>1</v>
      </c>
      <c r="U75" s="31">
        <v>8292</v>
      </c>
      <c r="V75" s="31">
        <v>1498</v>
      </c>
      <c r="W75" s="31">
        <v>1491</v>
      </c>
      <c r="X75" s="31">
        <v>64</v>
      </c>
      <c r="Y75" s="31">
        <v>265</v>
      </c>
      <c r="Z75" s="31">
        <v>24772</v>
      </c>
      <c r="AA75" s="31">
        <v>24724</v>
      </c>
      <c r="AB75" s="31">
        <v>1</v>
      </c>
      <c r="AC75" s="31">
        <v>829752</v>
      </c>
    </row>
    <row r="76" spans="1:29" ht="18.95" customHeight="1" x14ac:dyDescent="0.2">
      <c r="A76" s="349"/>
      <c r="B76" s="393" t="s">
        <v>32</v>
      </c>
      <c r="C76" s="201" t="s">
        <v>1136</v>
      </c>
      <c r="D76" s="202"/>
      <c r="E76" s="202"/>
      <c r="F76" s="202"/>
      <c r="G76" s="203"/>
      <c r="H76" s="20">
        <v>69</v>
      </c>
      <c r="I76" s="31">
        <v>84818</v>
      </c>
      <c r="J76" s="31">
        <v>1311</v>
      </c>
      <c r="K76" s="31">
        <v>162</v>
      </c>
      <c r="L76" s="31">
        <v>21</v>
      </c>
      <c r="M76" s="31">
        <v>0</v>
      </c>
      <c r="N76" s="31">
        <v>18</v>
      </c>
      <c r="O76" s="31">
        <v>0</v>
      </c>
      <c r="P76" s="31">
        <v>220</v>
      </c>
      <c r="Q76" s="31">
        <v>215</v>
      </c>
      <c r="R76" s="31">
        <v>5</v>
      </c>
      <c r="S76" s="31">
        <v>0</v>
      </c>
      <c r="T76" s="31">
        <v>0</v>
      </c>
      <c r="U76" s="31">
        <v>1717</v>
      </c>
      <c r="V76" s="31">
        <v>15</v>
      </c>
      <c r="W76" s="31">
        <v>0</v>
      </c>
      <c r="X76" s="31">
        <v>0</v>
      </c>
      <c r="Y76" s="31">
        <v>5</v>
      </c>
      <c r="Z76" s="31">
        <v>5501</v>
      </c>
      <c r="AA76" s="31">
        <v>5496</v>
      </c>
      <c r="AB76" s="31">
        <v>0</v>
      </c>
      <c r="AC76" s="31">
        <v>84166</v>
      </c>
    </row>
    <row r="77" spans="1:29" ht="18.95" customHeight="1" x14ac:dyDescent="0.2">
      <c r="A77" s="349"/>
      <c r="B77" s="394"/>
      <c r="C77" s="201" t="s">
        <v>1137</v>
      </c>
      <c r="D77" s="202"/>
      <c r="E77" s="202"/>
      <c r="F77" s="202"/>
      <c r="G77" s="203"/>
      <c r="H77" s="20">
        <v>70</v>
      </c>
      <c r="I77" s="31">
        <v>755053</v>
      </c>
      <c r="J77" s="31">
        <v>4337</v>
      </c>
      <c r="K77" s="31">
        <v>1666</v>
      </c>
      <c r="L77" s="31">
        <v>1314</v>
      </c>
      <c r="M77" s="31">
        <v>2</v>
      </c>
      <c r="N77" s="31">
        <v>1234</v>
      </c>
      <c r="O77" s="31">
        <v>42</v>
      </c>
      <c r="P77" s="31">
        <v>5865</v>
      </c>
      <c r="Q77" s="31">
        <v>5774</v>
      </c>
      <c r="R77" s="31">
        <v>12</v>
      </c>
      <c r="S77" s="31">
        <v>78</v>
      </c>
      <c r="T77" s="31">
        <v>1</v>
      </c>
      <c r="U77" s="31">
        <v>6575</v>
      </c>
      <c r="V77" s="31">
        <v>1483</v>
      </c>
      <c r="W77" s="31">
        <v>1491</v>
      </c>
      <c r="X77" s="31">
        <v>64</v>
      </c>
      <c r="Y77" s="31">
        <v>260</v>
      </c>
      <c r="Z77" s="31">
        <v>19271</v>
      </c>
      <c r="AA77" s="31">
        <v>19228</v>
      </c>
      <c r="AB77" s="31">
        <v>1</v>
      </c>
      <c r="AC77" s="31">
        <v>745586</v>
      </c>
    </row>
    <row r="78" spans="1:29" ht="27" customHeight="1" x14ac:dyDescent="0.2">
      <c r="A78" s="349"/>
      <c r="B78" s="174" t="s">
        <v>101</v>
      </c>
      <c r="C78" s="175"/>
      <c r="D78" s="175"/>
      <c r="E78" s="175"/>
      <c r="F78" s="175"/>
      <c r="G78" s="176"/>
      <c r="H78" s="20">
        <v>71</v>
      </c>
      <c r="I78" s="31">
        <v>9566</v>
      </c>
      <c r="J78" s="31">
        <v>248</v>
      </c>
      <c r="K78" s="31">
        <v>471</v>
      </c>
      <c r="L78" s="31">
        <v>138</v>
      </c>
      <c r="M78" s="31">
        <v>0</v>
      </c>
      <c r="N78" s="31">
        <v>62</v>
      </c>
      <c r="O78" s="31">
        <v>74</v>
      </c>
      <c r="P78" s="31">
        <v>790</v>
      </c>
      <c r="Q78" s="31">
        <v>706</v>
      </c>
      <c r="R78" s="31">
        <v>84</v>
      </c>
      <c r="S78" s="31">
        <v>0</v>
      </c>
      <c r="T78" s="31">
        <v>0</v>
      </c>
      <c r="U78" s="31">
        <v>9</v>
      </c>
      <c r="V78" s="31">
        <v>52</v>
      </c>
      <c r="W78" s="31">
        <v>244</v>
      </c>
      <c r="X78" s="31">
        <v>0</v>
      </c>
      <c r="Y78" s="31">
        <v>1</v>
      </c>
      <c r="Z78" s="31">
        <v>899</v>
      </c>
      <c r="AA78" s="31">
        <v>897</v>
      </c>
      <c r="AB78" s="31">
        <v>0</v>
      </c>
      <c r="AC78" s="31">
        <v>8875</v>
      </c>
    </row>
    <row r="79" spans="1:29" ht="18.95" customHeight="1" x14ac:dyDescent="0.2">
      <c r="A79" s="349"/>
      <c r="B79" s="393" t="s">
        <v>32</v>
      </c>
      <c r="C79" s="201" t="s">
        <v>1136</v>
      </c>
      <c r="D79" s="202"/>
      <c r="E79" s="202"/>
      <c r="F79" s="202"/>
      <c r="G79" s="203"/>
      <c r="H79" s="20">
        <v>72</v>
      </c>
      <c r="I79" s="31">
        <v>60</v>
      </c>
      <c r="J79" s="31">
        <v>1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2</v>
      </c>
      <c r="V79" s="31">
        <v>0</v>
      </c>
      <c r="W79" s="31">
        <v>0</v>
      </c>
      <c r="X79" s="31">
        <v>0</v>
      </c>
      <c r="Y79" s="31">
        <v>0</v>
      </c>
      <c r="Z79" s="31">
        <v>7</v>
      </c>
      <c r="AA79" s="31">
        <v>7</v>
      </c>
      <c r="AB79" s="31">
        <v>0</v>
      </c>
      <c r="AC79" s="31">
        <v>59</v>
      </c>
    </row>
    <row r="80" spans="1:29" ht="18.95" customHeight="1" x14ac:dyDescent="0.2">
      <c r="A80" s="349"/>
      <c r="B80" s="394"/>
      <c r="C80" s="201" t="s">
        <v>1137</v>
      </c>
      <c r="D80" s="202"/>
      <c r="E80" s="202"/>
      <c r="F80" s="202"/>
      <c r="G80" s="203"/>
      <c r="H80" s="20">
        <v>73</v>
      </c>
      <c r="I80" s="31">
        <v>9506</v>
      </c>
      <c r="J80" s="31">
        <v>247</v>
      </c>
      <c r="K80" s="31">
        <v>471</v>
      </c>
      <c r="L80" s="31">
        <v>138</v>
      </c>
      <c r="M80" s="31">
        <v>0</v>
      </c>
      <c r="N80" s="31">
        <v>62</v>
      </c>
      <c r="O80" s="31">
        <v>74</v>
      </c>
      <c r="P80" s="31">
        <v>790</v>
      </c>
      <c r="Q80" s="31">
        <v>706</v>
      </c>
      <c r="R80" s="31">
        <v>84</v>
      </c>
      <c r="S80" s="31">
        <v>0</v>
      </c>
      <c r="T80" s="31">
        <v>0</v>
      </c>
      <c r="U80" s="31">
        <v>7</v>
      </c>
      <c r="V80" s="31">
        <v>52</v>
      </c>
      <c r="W80" s="31">
        <v>244</v>
      </c>
      <c r="X80" s="31">
        <v>0</v>
      </c>
      <c r="Y80" s="31">
        <v>1</v>
      </c>
      <c r="Z80" s="31">
        <v>892</v>
      </c>
      <c r="AA80" s="31">
        <v>890</v>
      </c>
      <c r="AB80" s="31">
        <v>0</v>
      </c>
      <c r="AC80" s="31">
        <v>8816</v>
      </c>
    </row>
    <row r="81" spans="1:29" ht="18.95" customHeight="1" x14ac:dyDescent="0.2">
      <c r="A81" s="349"/>
      <c r="B81" s="395" t="s">
        <v>102</v>
      </c>
      <c r="C81" s="396"/>
      <c r="D81" s="396"/>
      <c r="E81" s="396"/>
      <c r="F81" s="396"/>
      <c r="G81" s="397"/>
      <c r="H81" s="20">
        <v>74</v>
      </c>
      <c r="I81" s="31">
        <v>9030</v>
      </c>
      <c r="J81" s="31">
        <v>182</v>
      </c>
      <c r="K81" s="31">
        <v>363</v>
      </c>
      <c r="L81" s="31">
        <v>11</v>
      </c>
      <c r="M81" s="31">
        <v>0</v>
      </c>
      <c r="N81" s="31">
        <v>10</v>
      </c>
      <c r="O81" s="31">
        <v>1</v>
      </c>
      <c r="P81" s="31">
        <v>525</v>
      </c>
      <c r="Q81" s="31">
        <v>522</v>
      </c>
      <c r="R81" s="31">
        <v>1</v>
      </c>
      <c r="S81" s="31">
        <v>2</v>
      </c>
      <c r="T81" s="31">
        <v>0</v>
      </c>
      <c r="U81" s="31">
        <v>85</v>
      </c>
      <c r="V81" s="31">
        <v>50</v>
      </c>
      <c r="W81" s="31">
        <v>129</v>
      </c>
      <c r="X81" s="31">
        <v>0</v>
      </c>
      <c r="Y81" s="31">
        <v>0</v>
      </c>
      <c r="Z81" s="31">
        <v>690</v>
      </c>
      <c r="AA81" s="31">
        <v>690</v>
      </c>
      <c r="AB81" s="31">
        <v>0</v>
      </c>
      <c r="AC81" s="31">
        <v>8591</v>
      </c>
    </row>
    <row r="82" spans="1:29" ht="18.95" customHeight="1" x14ac:dyDescent="0.2">
      <c r="A82" s="349"/>
      <c r="B82" s="393" t="s">
        <v>32</v>
      </c>
      <c r="C82" s="201" t="s">
        <v>1136</v>
      </c>
      <c r="D82" s="202"/>
      <c r="E82" s="202"/>
      <c r="F82" s="202"/>
      <c r="G82" s="203"/>
      <c r="H82" s="20">
        <v>75</v>
      </c>
      <c r="I82" s="31">
        <v>810</v>
      </c>
      <c r="J82" s="31">
        <v>31</v>
      </c>
      <c r="K82" s="31">
        <v>95</v>
      </c>
      <c r="L82" s="31">
        <v>0</v>
      </c>
      <c r="M82" s="31">
        <v>0</v>
      </c>
      <c r="N82" s="31">
        <v>0</v>
      </c>
      <c r="O82" s="31">
        <v>0</v>
      </c>
      <c r="P82" s="31">
        <v>122</v>
      </c>
      <c r="Q82" s="31">
        <v>122</v>
      </c>
      <c r="R82" s="31">
        <v>0</v>
      </c>
      <c r="S82" s="31">
        <v>0</v>
      </c>
      <c r="T82" s="31">
        <v>0</v>
      </c>
      <c r="U82" s="31">
        <v>15</v>
      </c>
      <c r="V82" s="31">
        <v>14</v>
      </c>
      <c r="W82" s="31">
        <v>18</v>
      </c>
      <c r="X82" s="31">
        <v>0</v>
      </c>
      <c r="Y82" s="31">
        <v>0</v>
      </c>
      <c r="Z82" s="31">
        <v>140</v>
      </c>
      <c r="AA82" s="31">
        <v>140</v>
      </c>
      <c r="AB82" s="31">
        <v>0</v>
      </c>
      <c r="AC82" s="31">
        <v>704</v>
      </c>
    </row>
    <row r="83" spans="1:29" ht="18.95" customHeight="1" x14ac:dyDescent="0.2">
      <c r="A83" s="349"/>
      <c r="B83" s="394"/>
      <c r="C83" s="201" t="s">
        <v>1137</v>
      </c>
      <c r="D83" s="202"/>
      <c r="E83" s="202"/>
      <c r="F83" s="202"/>
      <c r="G83" s="203"/>
      <c r="H83" s="20">
        <v>76</v>
      </c>
      <c r="I83" s="31">
        <v>8220</v>
      </c>
      <c r="J83" s="31">
        <v>151</v>
      </c>
      <c r="K83" s="31">
        <v>268</v>
      </c>
      <c r="L83" s="31">
        <v>11</v>
      </c>
      <c r="M83" s="31">
        <v>0</v>
      </c>
      <c r="N83" s="31">
        <v>10</v>
      </c>
      <c r="O83" s="31">
        <v>1</v>
      </c>
      <c r="P83" s="31">
        <v>403</v>
      </c>
      <c r="Q83" s="31">
        <v>400</v>
      </c>
      <c r="R83" s="31">
        <v>1</v>
      </c>
      <c r="S83" s="31">
        <v>2</v>
      </c>
      <c r="T83" s="31">
        <v>0</v>
      </c>
      <c r="U83" s="31">
        <v>70</v>
      </c>
      <c r="V83" s="31">
        <v>36</v>
      </c>
      <c r="W83" s="31">
        <v>111</v>
      </c>
      <c r="X83" s="31">
        <v>0</v>
      </c>
      <c r="Y83" s="31">
        <v>0</v>
      </c>
      <c r="Z83" s="31">
        <v>550</v>
      </c>
      <c r="AA83" s="31">
        <v>550</v>
      </c>
      <c r="AB83" s="31">
        <v>0</v>
      </c>
      <c r="AC83" s="31">
        <v>7887</v>
      </c>
    </row>
    <row r="84" spans="1:29" ht="18.95" customHeight="1" x14ac:dyDescent="0.2">
      <c r="A84" s="349"/>
      <c r="B84" s="201" t="s">
        <v>103</v>
      </c>
      <c r="C84" s="202"/>
      <c r="D84" s="202"/>
      <c r="E84" s="202"/>
      <c r="F84" s="202"/>
      <c r="G84" s="203"/>
      <c r="H84" s="20">
        <v>77</v>
      </c>
      <c r="I84" s="31">
        <v>27685</v>
      </c>
      <c r="J84" s="31">
        <v>467</v>
      </c>
      <c r="K84" s="31">
        <v>269</v>
      </c>
      <c r="L84" s="31">
        <v>256</v>
      </c>
      <c r="M84" s="31">
        <v>2</v>
      </c>
      <c r="N84" s="31">
        <v>240</v>
      </c>
      <c r="O84" s="31">
        <v>2</v>
      </c>
      <c r="P84" s="31">
        <v>872</v>
      </c>
      <c r="Q84" s="31">
        <v>856</v>
      </c>
      <c r="R84" s="31">
        <v>2</v>
      </c>
      <c r="S84" s="31">
        <v>10</v>
      </c>
      <c r="T84" s="31">
        <v>4</v>
      </c>
      <c r="U84" s="31">
        <v>99</v>
      </c>
      <c r="V84" s="31">
        <v>102</v>
      </c>
      <c r="W84" s="31">
        <v>157</v>
      </c>
      <c r="X84" s="31">
        <v>24</v>
      </c>
      <c r="Y84" s="31">
        <v>15</v>
      </c>
      <c r="Z84" s="31">
        <v>408</v>
      </c>
      <c r="AA84" s="31">
        <v>397</v>
      </c>
      <c r="AB84" s="31">
        <v>0</v>
      </c>
      <c r="AC84" s="31">
        <v>26914</v>
      </c>
    </row>
    <row r="85" spans="1:29" ht="18.95" customHeight="1" x14ac:dyDescent="0.2">
      <c r="A85" s="349"/>
      <c r="B85" s="393" t="s">
        <v>32</v>
      </c>
      <c r="C85" s="201" t="s">
        <v>1136</v>
      </c>
      <c r="D85" s="202"/>
      <c r="E85" s="202"/>
      <c r="F85" s="202"/>
      <c r="G85" s="203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9"/>
      <c r="B86" s="394"/>
      <c r="C86" s="201" t="s">
        <v>1137</v>
      </c>
      <c r="D86" s="202"/>
      <c r="E86" s="202"/>
      <c r="F86" s="202"/>
      <c r="G86" s="203"/>
      <c r="H86" s="20">
        <v>79</v>
      </c>
      <c r="I86" s="31">
        <v>27685</v>
      </c>
      <c r="J86" s="31">
        <v>467</v>
      </c>
      <c r="K86" s="31">
        <v>269</v>
      </c>
      <c r="L86" s="31">
        <v>256</v>
      </c>
      <c r="M86" s="31">
        <v>2</v>
      </c>
      <c r="N86" s="31">
        <v>240</v>
      </c>
      <c r="O86" s="31">
        <v>2</v>
      </c>
      <c r="P86" s="31">
        <v>872</v>
      </c>
      <c r="Q86" s="31">
        <v>856</v>
      </c>
      <c r="R86" s="31">
        <v>2</v>
      </c>
      <c r="S86" s="31">
        <v>10</v>
      </c>
      <c r="T86" s="31">
        <v>4</v>
      </c>
      <c r="U86" s="31">
        <v>99</v>
      </c>
      <c r="V86" s="31">
        <v>102</v>
      </c>
      <c r="W86" s="31">
        <v>157</v>
      </c>
      <c r="X86" s="31">
        <v>24</v>
      </c>
      <c r="Y86" s="31">
        <v>15</v>
      </c>
      <c r="Z86" s="31">
        <v>408</v>
      </c>
      <c r="AA86" s="31">
        <v>397</v>
      </c>
      <c r="AB86" s="31">
        <v>0</v>
      </c>
      <c r="AC86" s="31">
        <v>26914</v>
      </c>
    </row>
    <row r="87" spans="1:29" ht="18.95" customHeight="1" x14ac:dyDescent="0.2">
      <c r="A87" s="349"/>
      <c r="B87" s="395" t="s">
        <v>104</v>
      </c>
      <c r="C87" s="396"/>
      <c r="D87" s="396"/>
      <c r="E87" s="396"/>
      <c r="F87" s="396"/>
      <c r="G87" s="397"/>
      <c r="H87" s="20">
        <v>80</v>
      </c>
      <c r="I87" s="31">
        <v>3739</v>
      </c>
      <c r="J87" s="31">
        <v>36</v>
      </c>
      <c r="K87" s="31">
        <v>67</v>
      </c>
      <c r="L87" s="31">
        <v>0</v>
      </c>
      <c r="M87" s="31">
        <v>0</v>
      </c>
      <c r="N87" s="31">
        <v>0</v>
      </c>
      <c r="O87" s="31">
        <v>0</v>
      </c>
      <c r="P87" s="31">
        <v>65</v>
      </c>
      <c r="Q87" s="31">
        <v>63</v>
      </c>
      <c r="R87" s="31">
        <v>2</v>
      </c>
      <c r="S87" s="31">
        <v>0</v>
      </c>
      <c r="T87" s="31">
        <v>0</v>
      </c>
      <c r="U87" s="31">
        <v>18</v>
      </c>
      <c r="V87" s="31">
        <v>0</v>
      </c>
      <c r="W87" s="31">
        <v>0</v>
      </c>
      <c r="X87" s="31">
        <v>0</v>
      </c>
      <c r="Y87" s="31">
        <v>0</v>
      </c>
      <c r="Z87" s="31">
        <v>258</v>
      </c>
      <c r="AA87" s="31">
        <v>258</v>
      </c>
      <c r="AB87" s="31">
        <v>0</v>
      </c>
      <c r="AC87" s="31">
        <v>3692</v>
      </c>
    </row>
    <row r="88" spans="1:29" ht="18.95" customHeight="1" x14ac:dyDescent="0.2">
      <c r="A88" s="349"/>
      <c r="B88" s="393" t="s">
        <v>32</v>
      </c>
      <c r="C88" s="201" t="s">
        <v>1136</v>
      </c>
      <c r="D88" s="202"/>
      <c r="E88" s="202"/>
      <c r="F88" s="202"/>
      <c r="G88" s="203"/>
      <c r="H88" s="20">
        <v>81</v>
      </c>
      <c r="I88" s="31">
        <v>1421</v>
      </c>
      <c r="J88" s="31">
        <v>12</v>
      </c>
      <c r="K88" s="31">
        <v>31</v>
      </c>
      <c r="L88" s="31">
        <v>0</v>
      </c>
      <c r="M88" s="31">
        <v>0</v>
      </c>
      <c r="N88" s="31">
        <v>0</v>
      </c>
      <c r="O88" s="31">
        <v>0</v>
      </c>
      <c r="P88" s="31">
        <v>33</v>
      </c>
      <c r="Q88" s="31">
        <v>31</v>
      </c>
      <c r="R88" s="31">
        <v>2</v>
      </c>
      <c r="S88" s="31">
        <v>0</v>
      </c>
      <c r="T88" s="31">
        <v>0</v>
      </c>
      <c r="U88" s="31">
        <v>17</v>
      </c>
      <c r="V88" s="31">
        <v>0</v>
      </c>
      <c r="W88" s="31">
        <v>0</v>
      </c>
      <c r="X88" s="31">
        <v>0</v>
      </c>
      <c r="Y88" s="31">
        <v>0</v>
      </c>
      <c r="Z88" s="31">
        <v>179</v>
      </c>
      <c r="AA88" s="31">
        <v>179</v>
      </c>
      <c r="AB88" s="31">
        <v>0</v>
      </c>
      <c r="AC88" s="31">
        <v>1383</v>
      </c>
    </row>
    <row r="89" spans="1:29" ht="18.95" customHeight="1" x14ac:dyDescent="0.2">
      <c r="A89" s="349"/>
      <c r="B89" s="394"/>
      <c r="C89" s="201" t="s">
        <v>1137</v>
      </c>
      <c r="D89" s="202"/>
      <c r="E89" s="202"/>
      <c r="F89" s="202"/>
      <c r="G89" s="203"/>
      <c r="H89" s="20">
        <v>82</v>
      </c>
      <c r="I89" s="31">
        <v>2318</v>
      </c>
      <c r="J89" s="31">
        <v>24</v>
      </c>
      <c r="K89" s="31">
        <v>36</v>
      </c>
      <c r="L89" s="31">
        <v>0</v>
      </c>
      <c r="M89" s="31">
        <v>0</v>
      </c>
      <c r="N89" s="31">
        <v>0</v>
      </c>
      <c r="O89" s="31">
        <v>0</v>
      </c>
      <c r="P89" s="31">
        <v>32</v>
      </c>
      <c r="Q89" s="31">
        <v>32</v>
      </c>
      <c r="R89" s="31">
        <v>0</v>
      </c>
      <c r="S89" s="31">
        <v>0</v>
      </c>
      <c r="T89" s="31">
        <v>0</v>
      </c>
      <c r="U89" s="31">
        <v>1</v>
      </c>
      <c r="V89" s="31">
        <v>0</v>
      </c>
      <c r="W89" s="31">
        <v>0</v>
      </c>
      <c r="X89" s="31">
        <v>0</v>
      </c>
      <c r="Y89" s="31">
        <v>0</v>
      </c>
      <c r="Z89" s="31">
        <v>79</v>
      </c>
      <c r="AA89" s="31">
        <v>79</v>
      </c>
      <c r="AB89" s="31">
        <v>0</v>
      </c>
      <c r="AC89" s="31">
        <v>2309</v>
      </c>
    </row>
    <row r="90" spans="1:29" ht="27" customHeight="1" x14ac:dyDescent="0.2">
      <c r="A90" s="349"/>
      <c r="B90" s="174" t="s">
        <v>105</v>
      </c>
      <c r="C90" s="175"/>
      <c r="D90" s="175"/>
      <c r="E90" s="175"/>
      <c r="F90" s="175"/>
      <c r="G90" s="176"/>
      <c r="H90" s="20">
        <v>83</v>
      </c>
      <c r="I90" s="31">
        <v>55446</v>
      </c>
      <c r="J90" s="31">
        <v>336</v>
      </c>
      <c r="K90" s="31">
        <v>1277</v>
      </c>
      <c r="L90" s="31">
        <v>110</v>
      </c>
      <c r="M90" s="31">
        <v>2</v>
      </c>
      <c r="N90" s="31">
        <v>101</v>
      </c>
      <c r="O90" s="31">
        <v>1</v>
      </c>
      <c r="P90" s="31">
        <v>1911</v>
      </c>
      <c r="Q90" s="31">
        <v>1801</v>
      </c>
      <c r="R90" s="31">
        <v>73</v>
      </c>
      <c r="S90" s="31">
        <v>10</v>
      </c>
      <c r="T90" s="31">
        <v>27</v>
      </c>
      <c r="U90" s="31">
        <v>848</v>
      </c>
      <c r="V90" s="31">
        <v>66</v>
      </c>
      <c r="W90" s="31">
        <v>30</v>
      </c>
      <c r="X90" s="31">
        <v>225</v>
      </c>
      <c r="Y90" s="31">
        <v>69</v>
      </c>
      <c r="Z90" s="31">
        <v>1616</v>
      </c>
      <c r="AA90" s="31">
        <v>1511</v>
      </c>
      <c r="AB90" s="31">
        <v>0</v>
      </c>
      <c r="AC90" s="31">
        <v>52808</v>
      </c>
    </row>
    <row r="91" spans="1:29" ht="18.95" customHeight="1" x14ac:dyDescent="0.2">
      <c r="A91" s="349"/>
      <c r="B91" s="393" t="s">
        <v>32</v>
      </c>
      <c r="C91" s="201" t="s">
        <v>1136</v>
      </c>
      <c r="D91" s="202"/>
      <c r="E91" s="202"/>
      <c r="F91" s="202"/>
      <c r="G91" s="203"/>
      <c r="H91" s="20">
        <v>84</v>
      </c>
      <c r="I91" s="31">
        <v>5240</v>
      </c>
      <c r="J91" s="31">
        <v>14</v>
      </c>
      <c r="K91" s="31">
        <v>2</v>
      </c>
      <c r="L91" s="31">
        <v>0</v>
      </c>
      <c r="M91" s="31">
        <v>0</v>
      </c>
      <c r="N91" s="31">
        <v>0</v>
      </c>
      <c r="O91" s="31">
        <v>0</v>
      </c>
      <c r="P91" s="31">
        <v>2</v>
      </c>
      <c r="Q91" s="31">
        <v>2</v>
      </c>
      <c r="R91" s="31">
        <v>0</v>
      </c>
      <c r="S91" s="31">
        <v>0</v>
      </c>
      <c r="T91" s="31">
        <v>0</v>
      </c>
      <c r="U91" s="31">
        <v>283</v>
      </c>
      <c r="V91" s="31">
        <v>0</v>
      </c>
      <c r="W91" s="31">
        <v>0</v>
      </c>
      <c r="X91" s="31">
        <v>0</v>
      </c>
      <c r="Y91" s="31">
        <v>0</v>
      </c>
      <c r="Z91" s="31">
        <v>240</v>
      </c>
      <c r="AA91" s="31">
        <v>240</v>
      </c>
      <c r="AB91" s="31">
        <v>0</v>
      </c>
      <c r="AC91" s="31">
        <v>4969</v>
      </c>
    </row>
    <row r="92" spans="1:29" ht="18.95" customHeight="1" x14ac:dyDescent="0.2">
      <c r="A92" s="349"/>
      <c r="B92" s="394"/>
      <c r="C92" s="201" t="s">
        <v>1137</v>
      </c>
      <c r="D92" s="202"/>
      <c r="E92" s="202"/>
      <c r="F92" s="202"/>
      <c r="G92" s="203"/>
      <c r="H92" s="20">
        <v>85</v>
      </c>
      <c r="I92" s="31">
        <v>50206</v>
      </c>
      <c r="J92" s="31">
        <v>322</v>
      </c>
      <c r="K92" s="31">
        <v>1275</v>
      </c>
      <c r="L92" s="31">
        <v>110</v>
      </c>
      <c r="M92" s="31">
        <v>2</v>
      </c>
      <c r="N92" s="31">
        <v>101</v>
      </c>
      <c r="O92" s="31">
        <v>1</v>
      </c>
      <c r="P92" s="31">
        <v>1909</v>
      </c>
      <c r="Q92" s="31">
        <v>1799</v>
      </c>
      <c r="R92" s="31">
        <v>73</v>
      </c>
      <c r="S92" s="31">
        <v>10</v>
      </c>
      <c r="T92" s="31">
        <v>27</v>
      </c>
      <c r="U92" s="31">
        <v>565</v>
      </c>
      <c r="V92" s="31">
        <v>66</v>
      </c>
      <c r="W92" s="31">
        <v>30</v>
      </c>
      <c r="X92" s="31">
        <v>225</v>
      </c>
      <c r="Y92" s="31">
        <v>69</v>
      </c>
      <c r="Z92" s="31">
        <v>1376</v>
      </c>
      <c r="AA92" s="31">
        <v>1271</v>
      </c>
      <c r="AB92" s="31">
        <v>0</v>
      </c>
      <c r="AC92" s="31">
        <v>47839</v>
      </c>
    </row>
    <row r="93" spans="1:29" ht="27" customHeight="1" x14ac:dyDescent="0.2">
      <c r="A93" s="349"/>
      <c r="B93" s="174" t="s">
        <v>106</v>
      </c>
      <c r="C93" s="175"/>
      <c r="D93" s="175"/>
      <c r="E93" s="175"/>
      <c r="F93" s="175"/>
      <c r="G93" s="176"/>
      <c r="H93" s="20">
        <v>86</v>
      </c>
      <c r="I93" s="31">
        <v>9712</v>
      </c>
      <c r="J93" s="31">
        <v>167</v>
      </c>
      <c r="K93" s="31">
        <v>163</v>
      </c>
      <c r="L93" s="31">
        <v>49</v>
      </c>
      <c r="M93" s="31">
        <v>0</v>
      </c>
      <c r="N93" s="31">
        <v>44</v>
      </c>
      <c r="O93" s="31">
        <v>0</v>
      </c>
      <c r="P93" s="31">
        <v>589</v>
      </c>
      <c r="Q93" s="31">
        <v>568</v>
      </c>
      <c r="R93" s="31">
        <v>1</v>
      </c>
      <c r="S93" s="31">
        <v>18</v>
      </c>
      <c r="T93" s="31">
        <v>2</v>
      </c>
      <c r="U93" s="31">
        <v>54</v>
      </c>
      <c r="V93" s="31">
        <v>35</v>
      </c>
      <c r="W93" s="31">
        <v>96</v>
      </c>
      <c r="X93" s="31">
        <v>34</v>
      </c>
      <c r="Y93" s="31">
        <v>7</v>
      </c>
      <c r="Z93" s="31">
        <v>274</v>
      </c>
      <c r="AA93" s="31">
        <v>274</v>
      </c>
      <c r="AB93" s="31">
        <v>0</v>
      </c>
      <c r="AC93" s="31">
        <v>9187</v>
      </c>
    </row>
    <row r="94" spans="1:29" ht="27" customHeight="1" x14ac:dyDescent="0.2">
      <c r="A94" s="349"/>
      <c r="B94" s="393" t="s">
        <v>32</v>
      </c>
      <c r="C94" s="201" t="s">
        <v>1136</v>
      </c>
      <c r="D94" s="202"/>
      <c r="E94" s="202"/>
      <c r="F94" s="202"/>
      <c r="G94" s="203"/>
      <c r="H94" s="20">
        <v>87</v>
      </c>
      <c r="I94" s="31">
        <v>605</v>
      </c>
      <c r="J94" s="31">
        <v>54</v>
      </c>
      <c r="K94" s="31">
        <v>26</v>
      </c>
      <c r="L94" s="31">
        <v>3</v>
      </c>
      <c r="M94" s="31">
        <v>0</v>
      </c>
      <c r="N94" s="31">
        <v>2</v>
      </c>
      <c r="O94" s="31">
        <v>0</v>
      </c>
      <c r="P94" s="31">
        <v>50</v>
      </c>
      <c r="Q94" s="31">
        <v>41</v>
      </c>
      <c r="R94" s="31">
        <v>1</v>
      </c>
      <c r="S94" s="31">
        <v>8</v>
      </c>
      <c r="T94" s="31">
        <v>0</v>
      </c>
      <c r="U94" s="31">
        <v>3</v>
      </c>
      <c r="V94" s="31">
        <v>4</v>
      </c>
      <c r="W94" s="31">
        <v>0</v>
      </c>
      <c r="X94" s="31">
        <v>9</v>
      </c>
      <c r="Y94" s="31">
        <v>0</v>
      </c>
      <c r="Z94" s="31">
        <v>58</v>
      </c>
      <c r="AA94" s="31">
        <v>58</v>
      </c>
      <c r="AB94" s="31">
        <v>0</v>
      </c>
      <c r="AC94" s="31">
        <v>603</v>
      </c>
    </row>
    <row r="95" spans="1:29" ht="27" customHeight="1" x14ac:dyDescent="0.2">
      <c r="A95" s="349"/>
      <c r="B95" s="394"/>
      <c r="C95" s="201" t="s">
        <v>1137</v>
      </c>
      <c r="D95" s="202"/>
      <c r="E95" s="202"/>
      <c r="F95" s="202"/>
      <c r="G95" s="203"/>
      <c r="H95" s="20">
        <v>88</v>
      </c>
      <c r="I95" s="31">
        <v>9107</v>
      </c>
      <c r="J95" s="31">
        <v>113</v>
      </c>
      <c r="K95" s="31">
        <v>137</v>
      </c>
      <c r="L95" s="31">
        <v>46</v>
      </c>
      <c r="M95" s="31">
        <v>0</v>
      </c>
      <c r="N95" s="31">
        <v>42</v>
      </c>
      <c r="O95" s="31">
        <v>0</v>
      </c>
      <c r="P95" s="31">
        <v>539</v>
      </c>
      <c r="Q95" s="31">
        <v>527</v>
      </c>
      <c r="R95" s="31">
        <v>0</v>
      </c>
      <c r="S95" s="31">
        <v>10</v>
      </c>
      <c r="T95" s="31">
        <v>2</v>
      </c>
      <c r="U95" s="31">
        <v>51</v>
      </c>
      <c r="V95" s="31">
        <v>31</v>
      </c>
      <c r="W95" s="31">
        <v>96</v>
      </c>
      <c r="X95" s="31">
        <v>25</v>
      </c>
      <c r="Y95" s="31">
        <v>7</v>
      </c>
      <c r="Z95" s="31">
        <v>216</v>
      </c>
      <c r="AA95" s="31">
        <v>216</v>
      </c>
      <c r="AB95" s="31">
        <v>0</v>
      </c>
      <c r="AC95" s="31">
        <v>8584</v>
      </c>
    </row>
    <row r="96" spans="1:29" ht="53.25" customHeight="1" x14ac:dyDescent="0.2">
      <c r="A96" s="349"/>
      <c r="B96" s="174" t="s">
        <v>1138</v>
      </c>
      <c r="C96" s="175"/>
      <c r="D96" s="175"/>
      <c r="E96" s="175"/>
      <c r="F96" s="175"/>
      <c r="G96" s="176"/>
      <c r="H96" s="20">
        <v>89</v>
      </c>
      <c r="I96" s="31">
        <v>27972</v>
      </c>
      <c r="J96" s="31">
        <v>394</v>
      </c>
      <c r="K96" s="31">
        <v>1697</v>
      </c>
      <c r="L96" s="31">
        <v>117</v>
      </c>
      <c r="M96" s="31">
        <v>1</v>
      </c>
      <c r="N96" s="31">
        <v>75</v>
      </c>
      <c r="O96" s="31">
        <v>1</v>
      </c>
      <c r="P96" s="31">
        <v>6341</v>
      </c>
      <c r="Q96" s="31">
        <v>6229</v>
      </c>
      <c r="R96" s="31">
        <v>7</v>
      </c>
      <c r="S96" s="31">
        <v>101</v>
      </c>
      <c r="T96" s="31">
        <v>4</v>
      </c>
      <c r="U96" s="31">
        <v>112</v>
      </c>
      <c r="V96" s="31">
        <v>1279</v>
      </c>
      <c r="W96" s="31">
        <v>1945</v>
      </c>
      <c r="X96" s="31">
        <v>3</v>
      </c>
      <c r="Y96" s="31">
        <v>44</v>
      </c>
      <c r="Z96" s="31">
        <v>1779</v>
      </c>
      <c r="AA96" s="31">
        <v>1744</v>
      </c>
      <c r="AB96" s="31">
        <v>0</v>
      </c>
      <c r="AC96" s="31">
        <v>21761</v>
      </c>
    </row>
    <row r="97" spans="1:29" ht="18.95" customHeight="1" x14ac:dyDescent="0.2">
      <c r="A97" s="349"/>
      <c r="B97" s="393" t="s">
        <v>32</v>
      </c>
      <c r="C97" s="201" t="s">
        <v>1136</v>
      </c>
      <c r="D97" s="202"/>
      <c r="E97" s="202"/>
      <c r="F97" s="202"/>
      <c r="G97" s="203"/>
      <c r="H97" s="20">
        <v>90</v>
      </c>
      <c r="I97" s="31">
        <v>7573</v>
      </c>
      <c r="J97" s="31">
        <v>70</v>
      </c>
      <c r="K97" s="31">
        <v>784</v>
      </c>
      <c r="L97" s="31">
        <v>19</v>
      </c>
      <c r="M97" s="31">
        <v>1</v>
      </c>
      <c r="N97" s="31">
        <v>11</v>
      </c>
      <c r="O97" s="31">
        <v>1</v>
      </c>
      <c r="P97" s="31">
        <v>1000</v>
      </c>
      <c r="Q97" s="31">
        <v>975</v>
      </c>
      <c r="R97" s="31">
        <v>4</v>
      </c>
      <c r="S97" s="31">
        <v>18</v>
      </c>
      <c r="T97" s="31">
        <v>3</v>
      </c>
      <c r="U97" s="31">
        <v>63</v>
      </c>
      <c r="V97" s="31">
        <v>161</v>
      </c>
      <c r="W97" s="31">
        <v>1</v>
      </c>
      <c r="X97" s="31">
        <v>3</v>
      </c>
      <c r="Y97" s="31">
        <v>6</v>
      </c>
      <c r="Z97" s="31">
        <v>1137</v>
      </c>
      <c r="AA97" s="31">
        <v>1128</v>
      </c>
      <c r="AB97" s="31">
        <v>0</v>
      </c>
      <c r="AC97" s="31">
        <v>6552</v>
      </c>
    </row>
    <row r="98" spans="1:29" ht="18.95" customHeight="1" x14ac:dyDescent="0.2">
      <c r="A98" s="349"/>
      <c r="B98" s="394"/>
      <c r="C98" s="201" t="s">
        <v>1137</v>
      </c>
      <c r="D98" s="202"/>
      <c r="E98" s="202"/>
      <c r="F98" s="202"/>
      <c r="G98" s="203"/>
      <c r="H98" s="20">
        <v>91</v>
      </c>
      <c r="I98" s="31">
        <v>20399</v>
      </c>
      <c r="J98" s="31">
        <v>324</v>
      </c>
      <c r="K98" s="31">
        <v>913</v>
      </c>
      <c r="L98" s="31">
        <v>98</v>
      </c>
      <c r="M98" s="31">
        <v>0</v>
      </c>
      <c r="N98" s="31">
        <v>64</v>
      </c>
      <c r="O98" s="31">
        <v>0</v>
      </c>
      <c r="P98" s="31">
        <v>5341</v>
      </c>
      <c r="Q98" s="31">
        <v>5254</v>
      </c>
      <c r="R98" s="31">
        <v>3</v>
      </c>
      <c r="S98" s="31">
        <v>83</v>
      </c>
      <c r="T98" s="31">
        <v>1</v>
      </c>
      <c r="U98" s="31">
        <v>49</v>
      </c>
      <c r="V98" s="31">
        <v>1118</v>
      </c>
      <c r="W98" s="31">
        <v>1944</v>
      </c>
      <c r="X98" s="31">
        <v>0</v>
      </c>
      <c r="Y98" s="31">
        <v>38</v>
      </c>
      <c r="Z98" s="31">
        <v>642</v>
      </c>
      <c r="AA98" s="31">
        <v>616</v>
      </c>
      <c r="AB98" s="31">
        <v>0</v>
      </c>
      <c r="AC98" s="31">
        <v>15209</v>
      </c>
    </row>
    <row r="99" spans="1:29" ht="40.5" customHeight="1" x14ac:dyDescent="0.2">
      <c r="A99" s="349"/>
      <c r="B99" s="174" t="s">
        <v>108</v>
      </c>
      <c r="C99" s="175"/>
      <c r="D99" s="175"/>
      <c r="E99" s="175"/>
      <c r="F99" s="175"/>
      <c r="G99" s="176"/>
      <c r="H99" s="20">
        <v>92</v>
      </c>
      <c r="I99" s="31">
        <v>6356</v>
      </c>
      <c r="J99" s="31">
        <v>173</v>
      </c>
      <c r="K99" s="31">
        <v>356</v>
      </c>
      <c r="L99" s="31">
        <v>104</v>
      </c>
      <c r="M99" s="31">
        <v>3</v>
      </c>
      <c r="N99" s="31">
        <v>95</v>
      </c>
      <c r="O99" s="31">
        <v>5</v>
      </c>
      <c r="P99" s="31">
        <v>1043</v>
      </c>
      <c r="Q99" s="31">
        <v>1037</v>
      </c>
      <c r="R99" s="31">
        <v>6</v>
      </c>
      <c r="S99" s="31">
        <v>0</v>
      </c>
      <c r="T99" s="31">
        <v>0</v>
      </c>
      <c r="U99" s="31">
        <v>2</v>
      </c>
      <c r="V99" s="31">
        <v>87</v>
      </c>
      <c r="W99" s="31">
        <v>247</v>
      </c>
      <c r="X99" s="31">
        <v>0</v>
      </c>
      <c r="Y99" s="31">
        <v>3</v>
      </c>
      <c r="Z99" s="31">
        <v>783</v>
      </c>
      <c r="AA99" s="31">
        <v>782</v>
      </c>
      <c r="AB99" s="31">
        <v>0</v>
      </c>
      <c r="AC99" s="31">
        <v>5379</v>
      </c>
    </row>
    <row r="100" spans="1:29" ht="18.95" customHeight="1" x14ac:dyDescent="0.2">
      <c r="A100" s="349"/>
      <c r="B100" s="393" t="s">
        <v>32</v>
      </c>
      <c r="C100" s="201" t="s">
        <v>1136</v>
      </c>
      <c r="D100" s="202"/>
      <c r="E100" s="202"/>
      <c r="F100" s="202"/>
      <c r="G100" s="203"/>
      <c r="H100" s="20">
        <v>93</v>
      </c>
      <c r="I100" s="31">
        <v>239</v>
      </c>
      <c r="J100" s="31">
        <v>3</v>
      </c>
      <c r="K100" s="31">
        <v>4</v>
      </c>
      <c r="L100" s="31">
        <v>0</v>
      </c>
      <c r="M100" s="31">
        <v>0</v>
      </c>
      <c r="N100" s="31">
        <v>0</v>
      </c>
      <c r="O100" s="31">
        <v>0</v>
      </c>
      <c r="P100" s="31">
        <v>7</v>
      </c>
      <c r="Q100" s="31">
        <v>5</v>
      </c>
      <c r="R100" s="31">
        <v>2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26</v>
      </c>
      <c r="AA100" s="31">
        <v>26</v>
      </c>
      <c r="AB100" s="31">
        <v>0</v>
      </c>
      <c r="AC100" s="31">
        <v>235</v>
      </c>
    </row>
    <row r="101" spans="1:29" ht="18.95" customHeight="1" x14ac:dyDescent="0.2">
      <c r="A101" s="349"/>
      <c r="B101" s="394"/>
      <c r="C101" s="201" t="s">
        <v>1137</v>
      </c>
      <c r="D101" s="202"/>
      <c r="E101" s="202"/>
      <c r="F101" s="202"/>
      <c r="G101" s="203"/>
      <c r="H101" s="20">
        <v>94</v>
      </c>
      <c r="I101" s="31">
        <v>6117</v>
      </c>
      <c r="J101" s="31">
        <v>170</v>
      </c>
      <c r="K101" s="31">
        <v>352</v>
      </c>
      <c r="L101" s="31">
        <v>104</v>
      </c>
      <c r="M101" s="31">
        <v>3</v>
      </c>
      <c r="N101" s="31">
        <v>95</v>
      </c>
      <c r="O101" s="31">
        <v>5</v>
      </c>
      <c r="P101" s="31">
        <v>1036</v>
      </c>
      <c r="Q101" s="31">
        <v>1032</v>
      </c>
      <c r="R101" s="31">
        <v>4</v>
      </c>
      <c r="S101" s="31">
        <v>0</v>
      </c>
      <c r="T101" s="31">
        <v>0</v>
      </c>
      <c r="U101" s="31">
        <v>2</v>
      </c>
      <c r="V101" s="31">
        <v>87</v>
      </c>
      <c r="W101" s="31">
        <v>247</v>
      </c>
      <c r="X101" s="31">
        <v>0</v>
      </c>
      <c r="Y101" s="31">
        <v>3</v>
      </c>
      <c r="Z101" s="31">
        <v>757</v>
      </c>
      <c r="AA101" s="31">
        <v>756</v>
      </c>
      <c r="AB101" s="31">
        <v>0</v>
      </c>
      <c r="AC101" s="31">
        <v>5144</v>
      </c>
    </row>
    <row r="102" spans="1:29" ht="54" customHeight="1" x14ac:dyDescent="0.2">
      <c r="A102" s="349"/>
      <c r="B102" s="174" t="s">
        <v>109</v>
      </c>
      <c r="C102" s="175"/>
      <c r="D102" s="175"/>
      <c r="E102" s="175"/>
      <c r="F102" s="175"/>
      <c r="G102" s="176"/>
      <c r="H102" s="20">
        <v>95</v>
      </c>
      <c r="I102" s="31">
        <v>43118</v>
      </c>
      <c r="J102" s="31">
        <v>1246</v>
      </c>
      <c r="K102" s="31">
        <v>467</v>
      </c>
      <c r="L102" s="31">
        <v>501</v>
      </c>
      <c r="M102" s="31">
        <v>1</v>
      </c>
      <c r="N102" s="31">
        <v>491</v>
      </c>
      <c r="O102" s="31">
        <v>7</v>
      </c>
      <c r="P102" s="31">
        <v>1114</v>
      </c>
      <c r="Q102" s="31">
        <v>1077</v>
      </c>
      <c r="R102" s="31">
        <v>11</v>
      </c>
      <c r="S102" s="31">
        <v>25</v>
      </c>
      <c r="T102" s="31">
        <v>1</v>
      </c>
      <c r="U102" s="31">
        <v>347</v>
      </c>
      <c r="V102" s="31">
        <v>97</v>
      </c>
      <c r="W102" s="31">
        <v>218</v>
      </c>
      <c r="X102" s="31">
        <v>37</v>
      </c>
      <c r="Y102" s="31">
        <v>5</v>
      </c>
      <c r="Z102" s="31">
        <v>2149</v>
      </c>
      <c r="AA102" s="31">
        <v>2135</v>
      </c>
      <c r="AB102" s="31">
        <v>0</v>
      </c>
      <c r="AC102" s="31">
        <v>42388</v>
      </c>
    </row>
    <row r="103" spans="1:29" ht="18.95" customHeight="1" x14ac:dyDescent="0.2">
      <c r="A103" s="349"/>
      <c r="B103" s="393" t="s">
        <v>32</v>
      </c>
      <c r="C103" s="201" t="s">
        <v>1136</v>
      </c>
      <c r="D103" s="202"/>
      <c r="E103" s="202"/>
      <c r="F103" s="202"/>
      <c r="G103" s="203"/>
      <c r="H103" s="20">
        <v>96</v>
      </c>
      <c r="I103" s="31">
        <v>26264</v>
      </c>
      <c r="J103" s="31">
        <v>854</v>
      </c>
      <c r="K103" s="31">
        <v>360</v>
      </c>
      <c r="L103" s="31">
        <v>220</v>
      </c>
      <c r="M103" s="31">
        <v>0</v>
      </c>
      <c r="N103" s="31">
        <v>212</v>
      </c>
      <c r="O103" s="31">
        <v>6</v>
      </c>
      <c r="P103" s="31">
        <v>660</v>
      </c>
      <c r="Q103" s="31">
        <v>646</v>
      </c>
      <c r="R103" s="31">
        <v>3</v>
      </c>
      <c r="S103" s="31">
        <v>10</v>
      </c>
      <c r="T103" s="31">
        <v>1</v>
      </c>
      <c r="U103" s="31">
        <v>300</v>
      </c>
      <c r="V103" s="31">
        <v>57</v>
      </c>
      <c r="W103" s="31">
        <v>56</v>
      </c>
      <c r="X103" s="31">
        <v>4</v>
      </c>
      <c r="Y103" s="31">
        <v>4</v>
      </c>
      <c r="Z103" s="31">
        <v>1548</v>
      </c>
      <c r="AA103" s="31">
        <v>1540</v>
      </c>
      <c r="AB103" s="31">
        <v>0</v>
      </c>
      <c r="AC103" s="31">
        <v>25930</v>
      </c>
    </row>
    <row r="104" spans="1:29" ht="18.95" customHeight="1" x14ac:dyDescent="0.2">
      <c r="A104" s="349"/>
      <c r="B104" s="394"/>
      <c r="C104" s="201" t="s">
        <v>1137</v>
      </c>
      <c r="D104" s="202"/>
      <c r="E104" s="202"/>
      <c r="F104" s="202"/>
      <c r="G104" s="203"/>
      <c r="H104" s="20">
        <v>97</v>
      </c>
      <c r="I104" s="31">
        <v>16854</v>
      </c>
      <c r="J104" s="31">
        <v>392</v>
      </c>
      <c r="K104" s="31">
        <v>107</v>
      </c>
      <c r="L104" s="31">
        <v>281</v>
      </c>
      <c r="M104" s="31">
        <v>1</v>
      </c>
      <c r="N104" s="31">
        <v>279</v>
      </c>
      <c r="O104" s="31">
        <v>1</v>
      </c>
      <c r="P104" s="31">
        <v>454</v>
      </c>
      <c r="Q104" s="31">
        <v>431</v>
      </c>
      <c r="R104" s="31">
        <v>8</v>
      </c>
      <c r="S104" s="31">
        <v>15</v>
      </c>
      <c r="T104" s="31">
        <v>0</v>
      </c>
      <c r="U104" s="31">
        <v>47</v>
      </c>
      <c r="V104" s="31">
        <v>40</v>
      </c>
      <c r="W104" s="31">
        <v>162</v>
      </c>
      <c r="X104" s="31">
        <v>33</v>
      </c>
      <c r="Y104" s="31">
        <v>1</v>
      </c>
      <c r="Z104" s="31">
        <v>601</v>
      </c>
      <c r="AA104" s="31">
        <v>595</v>
      </c>
      <c r="AB104" s="31">
        <v>0</v>
      </c>
      <c r="AC104" s="31">
        <v>16458</v>
      </c>
    </row>
    <row r="105" spans="1:29" ht="44.25" customHeight="1" x14ac:dyDescent="0.2">
      <c r="A105" s="349"/>
      <c r="B105" s="174" t="s">
        <v>110</v>
      </c>
      <c r="C105" s="175"/>
      <c r="D105" s="175"/>
      <c r="E105" s="175"/>
      <c r="F105" s="175"/>
      <c r="G105" s="176"/>
      <c r="H105" s="20">
        <v>98</v>
      </c>
      <c r="I105" s="31">
        <v>3946</v>
      </c>
      <c r="J105" s="31">
        <v>151</v>
      </c>
      <c r="K105" s="31">
        <v>112</v>
      </c>
      <c r="L105" s="31">
        <v>27</v>
      </c>
      <c r="M105" s="31">
        <v>0</v>
      </c>
      <c r="N105" s="31">
        <v>27</v>
      </c>
      <c r="O105" s="31">
        <v>0</v>
      </c>
      <c r="P105" s="31">
        <v>456</v>
      </c>
      <c r="Q105" s="31">
        <v>456</v>
      </c>
      <c r="R105" s="31">
        <v>0</v>
      </c>
      <c r="S105" s="31">
        <v>0</v>
      </c>
      <c r="T105" s="31">
        <v>0</v>
      </c>
      <c r="U105" s="31">
        <v>12</v>
      </c>
      <c r="V105" s="31">
        <v>19</v>
      </c>
      <c r="W105" s="31">
        <v>99</v>
      </c>
      <c r="X105" s="31">
        <v>0</v>
      </c>
      <c r="Y105" s="31">
        <v>5</v>
      </c>
      <c r="Z105" s="31">
        <v>175</v>
      </c>
      <c r="AA105" s="31">
        <v>173</v>
      </c>
      <c r="AB105" s="31">
        <v>0</v>
      </c>
      <c r="AC105" s="31">
        <v>3600</v>
      </c>
    </row>
    <row r="106" spans="1:29" ht="18.95" customHeight="1" x14ac:dyDescent="0.2">
      <c r="A106" s="349"/>
      <c r="B106" s="393" t="s">
        <v>32</v>
      </c>
      <c r="C106" s="201" t="s">
        <v>1136</v>
      </c>
      <c r="D106" s="202"/>
      <c r="E106" s="202"/>
      <c r="F106" s="202"/>
      <c r="G106" s="203"/>
      <c r="H106" s="20">
        <v>99</v>
      </c>
      <c r="I106" s="31">
        <v>411</v>
      </c>
      <c r="J106" s="31">
        <v>34</v>
      </c>
      <c r="K106" s="31">
        <v>2</v>
      </c>
      <c r="L106" s="31">
        <v>0</v>
      </c>
      <c r="M106" s="31">
        <v>0</v>
      </c>
      <c r="N106" s="31">
        <v>0</v>
      </c>
      <c r="O106" s="31">
        <v>0</v>
      </c>
      <c r="P106" s="31">
        <v>33</v>
      </c>
      <c r="Q106" s="31">
        <v>33</v>
      </c>
      <c r="R106" s="31">
        <v>0</v>
      </c>
      <c r="S106" s="31">
        <v>0</v>
      </c>
      <c r="T106" s="31">
        <v>0</v>
      </c>
      <c r="U106" s="31">
        <v>4</v>
      </c>
      <c r="V106" s="31">
        <v>5</v>
      </c>
      <c r="W106" s="31">
        <v>0</v>
      </c>
      <c r="X106" s="31">
        <v>0</v>
      </c>
      <c r="Y106" s="31">
        <v>1</v>
      </c>
      <c r="Z106" s="31">
        <v>30</v>
      </c>
      <c r="AA106" s="31">
        <v>30</v>
      </c>
      <c r="AB106" s="31">
        <v>0</v>
      </c>
      <c r="AC106" s="31">
        <v>408</v>
      </c>
    </row>
    <row r="107" spans="1:29" ht="18.95" customHeight="1" x14ac:dyDescent="0.2">
      <c r="A107" s="349"/>
      <c r="B107" s="394"/>
      <c r="C107" s="201" t="s">
        <v>1137</v>
      </c>
      <c r="D107" s="202"/>
      <c r="E107" s="202"/>
      <c r="F107" s="202"/>
      <c r="G107" s="203"/>
      <c r="H107" s="20">
        <v>100</v>
      </c>
      <c r="I107" s="31">
        <v>3535</v>
      </c>
      <c r="J107" s="31">
        <v>117</v>
      </c>
      <c r="K107" s="31">
        <v>110</v>
      </c>
      <c r="L107" s="31">
        <v>27</v>
      </c>
      <c r="M107" s="31">
        <v>0</v>
      </c>
      <c r="N107" s="31">
        <v>27</v>
      </c>
      <c r="O107" s="31">
        <v>0</v>
      </c>
      <c r="P107" s="31">
        <v>423</v>
      </c>
      <c r="Q107" s="31">
        <v>423</v>
      </c>
      <c r="R107" s="31">
        <v>0</v>
      </c>
      <c r="S107" s="31">
        <v>0</v>
      </c>
      <c r="T107" s="31">
        <v>0</v>
      </c>
      <c r="U107" s="31">
        <v>8</v>
      </c>
      <c r="V107" s="31">
        <v>14</v>
      </c>
      <c r="W107" s="31">
        <v>99</v>
      </c>
      <c r="X107" s="31">
        <v>0</v>
      </c>
      <c r="Y107" s="31">
        <v>4</v>
      </c>
      <c r="Z107" s="31">
        <v>145</v>
      </c>
      <c r="AA107" s="31">
        <v>143</v>
      </c>
      <c r="AB107" s="31">
        <v>0</v>
      </c>
      <c r="AC107" s="31">
        <v>3192</v>
      </c>
    </row>
    <row r="108" spans="1:29" ht="42.75" customHeight="1" x14ac:dyDescent="0.2">
      <c r="A108" s="349"/>
      <c r="B108" s="174" t="s">
        <v>111</v>
      </c>
      <c r="C108" s="175"/>
      <c r="D108" s="175"/>
      <c r="E108" s="175"/>
      <c r="F108" s="175"/>
      <c r="G108" s="176"/>
      <c r="H108" s="20">
        <v>101</v>
      </c>
      <c r="I108" s="31">
        <v>32700</v>
      </c>
      <c r="J108" s="31">
        <v>787</v>
      </c>
      <c r="K108" s="31">
        <v>881</v>
      </c>
      <c r="L108" s="31">
        <v>116</v>
      </c>
      <c r="M108" s="31">
        <v>1</v>
      </c>
      <c r="N108" s="31">
        <v>72</v>
      </c>
      <c r="O108" s="31">
        <v>40</v>
      </c>
      <c r="P108" s="31">
        <v>2348</v>
      </c>
      <c r="Q108" s="31">
        <v>2344</v>
      </c>
      <c r="R108" s="31">
        <v>4</v>
      </c>
      <c r="S108" s="31">
        <v>0</v>
      </c>
      <c r="T108" s="31">
        <v>0</v>
      </c>
      <c r="U108" s="31">
        <v>58</v>
      </c>
      <c r="V108" s="31">
        <v>88</v>
      </c>
      <c r="W108" s="31">
        <v>577</v>
      </c>
      <c r="X108" s="31">
        <v>72</v>
      </c>
      <c r="Y108" s="31">
        <v>0</v>
      </c>
      <c r="Z108" s="31">
        <v>3573</v>
      </c>
      <c r="AA108" s="31">
        <v>3569</v>
      </c>
      <c r="AB108" s="31">
        <v>0</v>
      </c>
      <c r="AC108" s="31">
        <v>30961</v>
      </c>
    </row>
    <row r="109" spans="1:29" ht="18.95" customHeight="1" x14ac:dyDescent="0.2">
      <c r="A109" s="349"/>
      <c r="B109" s="393" t="s">
        <v>32</v>
      </c>
      <c r="C109" s="201" t="s">
        <v>1136</v>
      </c>
      <c r="D109" s="202"/>
      <c r="E109" s="202"/>
      <c r="F109" s="202"/>
      <c r="G109" s="203"/>
      <c r="H109" s="20">
        <v>102</v>
      </c>
      <c r="I109" s="31">
        <v>30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4</v>
      </c>
      <c r="AA109" s="31">
        <v>4</v>
      </c>
      <c r="AB109" s="31">
        <v>0</v>
      </c>
      <c r="AC109" s="31">
        <v>30</v>
      </c>
    </row>
    <row r="110" spans="1:29" ht="18.95" customHeight="1" x14ac:dyDescent="0.2">
      <c r="A110" s="349"/>
      <c r="B110" s="394"/>
      <c r="C110" s="201" t="s">
        <v>1137</v>
      </c>
      <c r="D110" s="202"/>
      <c r="E110" s="202"/>
      <c r="F110" s="202"/>
      <c r="G110" s="203"/>
      <c r="H110" s="20">
        <v>103</v>
      </c>
      <c r="I110" s="31">
        <v>32670</v>
      </c>
      <c r="J110" s="31">
        <v>787</v>
      </c>
      <c r="K110" s="31">
        <v>881</v>
      </c>
      <c r="L110" s="31">
        <v>116</v>
      </c>
      <c r="M110" s="31">
        <v>1</v>
      </c>
      <c r="N110" s="31">
        <v>72</v>
      </c>
      <c r="O110" s="31">
        <v>40</v>
      </c>
      <c r="P110" s="31">
        <v>2348</v>
      </c>
      <c r="Q110" s="31">
        <v>2344</v>
      </c>
      <c r="R110" s="31">
        <v>4</v>
      </c>
      <c r="S110" s="31">
        <v>0</v>
      </c>
      <c r="T110" s="31">
        <v>0</v>
      </c>
      <c r="U110" s="31">
        <v>58</v>
      </c>
      <c r="V110" s="31">
        <v>88</v>
      </c>
      <c r="W110" s="31">
        <v>577</v>
      </c>
      <c r="X110" s="31">
        <v>72</v>
      </c>
      <c r="Y110" s="31">
        <v>0</v>
      </c>
      <c r="Z110" s="31">
        <v>3569</v>
      </c>
      <c r="AA110" s="31">
        <v>3565</v>
      </c>
      <c r="AB110" s="31">
        <v>0</v>
      </c>
      <c r="AC110" s="31">
        <v>30931</v>
      </c>
    </row>
    <row r="111" spans="1:29" ht="18.95" customHeight="1" x14ac:dyDescent="0.2">
      <c r="A111" s="349"/>
      <c r="B111" s="395" t="s">
        <v>112</v>
      </c>
      <c r="C111" s="396"/>
      <c r="D111" s="396"/>
      <c r="E111" s="396"/>
      <c r="F111" s="396"/>
      <c r="G111" s="397"/>
      <c r="H111" s="20">
        <v>104</v>
      </c>
      <c r="I111" s="31">
        <v>16108</v>
      </c>
      <c r="J111" s="31">
        <v>537</v>
      </c>
      <c r="K111" s="31">
        <v>161</v>
      </c>
      <c r="L111" s="31">
        <v>36</v>
      </c>
      <c r="M111" s="31">
        <v>0</v>
      </c>
      <c r="N111" s="31">
        <v>33</v>
      </c>
      <c r="O111" s="31">
        <v>2</v>
      </c>
      <c r="P111" s="31">
        <v>330</v>
      </c>
      <c r="Q111" s="31">
        <v>323</v>
      </c>
      <c r="R111" s="31">
        <v>0</v>
      </c>
      <c r="S111" s="31">
        <v>7</v>
      </c>
      <c r="T111" s="31">
        <v>0</v>
      </c>
      <c r="U111" s="31">
        <v>22</v>
      </c>
      <c r="V111" s="31">
        <v>125</v>
      </c>
      <c r="W111" s="31">
        <v>3</v>
      </c>
      <c r="X111" s="31">
        <v>25</v>
      </c>
      <c r="Y111" s="31">
        <v>0</v>
      </c>
      <c r="Z111" s="31">
        <v>1169</v>
      </c>
      <c r="AA111" s="31">
        <v>1169</v>
      </c>
      <c r="AB111" s="31">
        <v>0</v>
      </c>
      <c r="AC111" s="31">
        <v>16257</v>
      </c>
    </row>
    <row r="112" spans="1:29" ht="18.95" customHeight="1" x14ac:dyDescent="0.2">
      <c r="A112" s="349"/>
      <c r="B112" s="393" t="s">
        <v>32</v>
      </c>
      <c r="C112" s="201" t="s">
        <v>1136</v>
      </c>
      <c r="D112" s="202"/>
      <c r="E112" s="202"/>
      <c r="F112" s="202"/>
      <c r="G112" s="203"/>
      <c r="H112" s="20">
        <v>105</v>
      </c>
      <c r="I112" s="31">
        <v>2038</v>
      </c>
      <c r="J112" s="31">
        <v>88</v>
      </c>
      <c r="K112" s="31">
        <v>58</v>
      </c>
      <c r="L112" s="31">
        <v>6</v>
      </c>
      <c r="M112" s="31">
        <v>0</v>
      </c>
      <c r="N112" s="31">
        <v>6</v>
      </c>
      <c r="O112" s="31">
        <v>0</v>
      </c>
      <c r="P112" s="31">
        <v>74</v>
      </c>
      <c r="Q112" s="31">
        <v>72</v>
      </c>
      <c r="R112" s="31">
        <v>0</v>
      </c>
      <c r="S112" s="31">
        <v>2</v>
      </c>
      <c r="T112" s="31">
        <v>0</v>
      </c>
      <c r="U112" s="31">
        <v>6</v>
      </c>
      <c r="V112" s="31">
        <v>42</v>
      </c>
      <c r="W112" s="31">
        <v>0</v>
      </c>
      <c r="X112" s="31">
        <v>6</v>
      </c>
      <c r="Y112" s="31">
        <v>0</v>
      </c>
      <c r="Z112" s="31">
        <v>277</v>
      </c>
      <c r="AA112" s="31">
        <v>277</v>
      </c>
      <c r="AB112" s="31">
        <v>0</v>
      </c>
      <c r="AC112" s="31">
        <v>2040</v>
      </c>
    </row>
    <row r="113" spans="1:29" ht="18.95" customHeight="1" x14ac:dyDescent="0.2">
      <c r="A113" s="349"/>
      <c r="B113" s="394"/>
      <c r="C113" s="201" t="s">
        <v>1137</v>
      </c>
      <c r="D113" s="202"/>
      <c r="E113" s="202"/>
      <c r="F113" s="202"/>
      <c r="G113" s="203"/>
      <c r="H113" s="20">
        <v>106</v>
      </c>
      <c r="I113" s="31">
        <v>14070</v>
      </c>
      <c r="J113" s="31">
        <v>449</v>
      </c>
      <c r="K113" s="31">
        <v>103</v>
      </c>
      <c r="L113" s="31">
        <v>30</v>
      </c>
      <c r="M113" s="31">
        <v>0</v>
      </c>
      <c r="N113" s="31">
        <v>27</v>
      </c>
      <c r="O113" s="31">
        <v>2</v>
      </c>
      <c r="P113" s="31">
        <v>256</v>
      </c>
      <c r="Q113" s="31">
        <v>251</v>
      </c>
      <c r="R113" s="31">
        <v>0</v>
      </c>
      <c r="S113" s="31">
        <v>5</v>
      </c>
      <c r="T113" s="31">
        <v>0</v>
      </c>
      <c r="U113" s="31">
        <v>16</v>
      </c>
      <c r="V113" s="31">
        <v>83</v>
      </c>
      <c r="W113" s="31">
        <v>3</v>
      </c>
      <c r="X113" s="31">
        <v>19</v>
      </c>
      <c r="Y113" s="31">
        <v>0</v>
      </c>
      <c r="Z113" s="31">
        <v>892</v>
      </c>
      <c r="AA113" s="31">
        <v>892</v>
      </c>
      <c r="AB113" s="31">
        <v>0</v>
      </c>
      <c r="AC113" s="31">
        <v>14217</v>
      </c>
    </row>
    <row r="114" spans="1:29" ht="42.75" customHeight="1" x14ac:dyDescent="0.2">
      <c r="A114" s="349"/>
      <c r="B114" s="174" t="s">
        <v>1139</v>
      </c>
      <c r="C114" s="175"/>
      <c r="D114" s="175"/>
      <c r="E114" s="175"/>
      <c r="F114" s="175"/>
      <c r="G114" s="176"/>
      <c r="H114" s="20">
        <v>107</v>
      </c>
      <c r="I114" s="31">
        <v>111221</v>
      </c>
      <c r="J114" s="31">
        <v>759</v>
      </c>
      <c r="K114" s="31">
        <v>5322</v>
      </c>
      <c r="L114" s="31">
        <v>888</v>
      </c>
      <c r="M114" s="31">
        <v>2</v>
      </c>
      <c r="N114" s="31">
        <v>843</v>
      </c>
      <c r="O114" s="31">
        <v>0</v>
      </c>
      <c r="P114" s="31">
        <v>5653</v>
      </c>
      <c r="Q114" s="31">
        <v>2359</v>
      </c>
      <c r="R114" s="31">
        <v>3285</v>
      </c>
      <c r="S114" s="31">
        <v>8</v>
      </c>
      <c r="T114" s="31">
        <v>1</v>
      </c>
      <c r="U114" s="31">
        <v>0</v>
      </c>
      <c r="V114" s="31">
        <v>170</v>
      </c>
      <c r="W114" s="31">
        <v>14</v>
      </c>
      <c r="X114" s="31">
        <v>6</v>
      </c>
      <c r="Y114" s="31">
        <v>0</v>
      </c>
      <c r="Z114" s="31">
        <v>2577</v>
      </c>
      <c r="AA114" s="31">
        <v>2500</v>
      </c>
      <c r="AB114" s="31">
        <v>0</v>
      </c>
      <c r="AC114" s="31">
        <v>105362</v>
      </c>
    </row>
    <row r="115" spans="1:29" ht="18.95" customHeight="1" x14ac:dyDescent="0.2">
      <c r="A115" s="349"/>
      <c r="B115" s="393" t="s">
        <v>32</v>
      </c>
      <c r="C115" s="201" t="s">
        <v>1136</v>
      </c>
      <c r="D115" s="202"/>
      <c r="E115" s="202"/>
      <c r="F115" s="202"/>
      <c r="G115" s="203"/>
      <c r="H115" s="20">
        <v>108</v>
      </c>
      <c r="I115" s="31">
        <v>26</v>
      </c>
      <c r="J115" s="31">
        <v>0</v>
      </c>
      <c r="K115" s="31"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3</v>
      </c>
      <c r="AA115" s="31">
        <v>3</v>
      </c>
      <c r="AB115" s="31">
        <v>0</v>
      </c>
      <c r="AC115" s="31">
        <v>26</v>
      </c>
    </row>
    <row r="116" spans="1:29" ht="18.95" customHeight="1" x14ac:dyDescent="0.2">
      <c r="A116" s="349"/>
      <c r="B116" s="394"/>
      <c r="C116" s="201" t="s">
        <v>1137</v>
      </c>
      <c r="D116" s="202"/>
      <c r="E116" s="202"/>
      <c r="F116" s="202"/>
      <c r="G116" s="203"/>
      <c r="H116" s="20">
        <v>109</v>
      </c>
      <c r="I116" s="31">
        <v>111195</v>
      </c>
      <c r="J116" s="31">
        <v>759</v>
      </c>
      <c r="K116" s="31">
        <v>5322</v>
      </c>
      <c r="L116" s="31">
        <v>888</v>
      </c>
      <c r="M116" s="31">
        <v>2</v>
      </c>
      <c r="N116" s="31">
        <v>843</v>
      </c>
      <c r="O116" s="31">
        <v>0</v>
      </c>
      <c r="P116" s="31">
        <v>5653</v>
      </c>
      <c r="Q116" s="31">
        <v>2359</v>
      </c>
      <c r="R116" s="31">
        <v>3285</v>
      </c>
      <c r="S116" s="31">
        <v>8</v>
      </c>
      <c r="T116" s="31">
        <v>1</v>
      </c>
      <c r="U116" s="31">
        <v>0</v>
      </c>
      <c r="V116" s="31">
        <v>170</v>
      </c>
      <c r="W116" s="31">
        <v>14</v>
      </c>
      <c r="X116" s="31">
        <v>6</v>
      </c>
      <c r="Y116" s="31">
        <v>0</v>
      </c>
      <c r="Z116" s="31">
        <v>2574</v>
      </c>
      <c r="AA116" s="31">
        <v>2497</v>
      </c>
      <c r="AB116" s="31">
        <v>0</v>
      </c>
      <c r="AC116" s="31">
        <v>105336</v>
      </c>
    </row>
    <row r="117" spans="1:29" ht="28.5" customHeight="1" x14ac:dyDescent="0.2">
      <c r="A117" s="349"/>
      <c r="B117" s="174" t="s">
        <v>114</v>
      </c>
      <c r="C117" s="175"/>
      <c r="D117" s="175"/>
      <c r="E117" s="175"/>
      <c r="F117" s="175"/>
      <c r="G117" s="176"/>
      <c r="H117" s="20">
        <v>110</v>
      </c>
      <c r="I117" s="31">
        <v>149875</v>
      </c>
      <c r="J117" s="31">
        <v>321</v>
      </c>
      <c r="K117" s="31">
        <v>304</v>
      </c>
      <c r="L117" s="31">
        <v>322</v>
      </c>
      <c r="M117" s="31">
        <v>0</v>
      </c>
      <c r="N117" s="31">
        <v>321</v>
      </c>
      <c r="O117" s="31">
        <v>1</v>
      </c>
      <c r="P117" s="31">
        <v>313</v>
      </c>
      <c r="Q117" s="31">
        <v>305</v>
      </c>
      <c r="R117" s="31">
        <v>0</v>
      </c>
      <c r="S117" s="31">
        <v>8</v>
      </c>
      <c r="T117" s="31">
        <v>0</v>
      </c>
      <c r="U117" s="31">
        <v>0</v>
      </c>
      <c r="V117" s="31">
        <v>14</v>
      </c>
      <c r="W117" s="31">
        <v>39</v>
      </c>
      <c r="X117" s="31">
        <v>1</v>
      </c>
      <c r="Y117" s="31">
        <v>0</v>
      </c>
      <c r="Z117" s="31">
        <v>103</v>
      </c>
      <c r="AA117" s="31">
        <v>103</v>
      </c>
      <c r="AB117" s="31">
        <v>0</v>
      </c>
      <c r="AC117" s="31">
        <v>149561</v>
      </c>
    </row>
    <row r="118" spans="1:29" ht="18.95" customHeight="1" x14ac:dyDescent="0.2">
      <c r="A118" s="349"/>
      <c r="B118" s="393" t="s">
        <v>32</v>
      </c>
      <c r="C118" s="201" t="s">
        <v>1136</v>
      </c>
      <c r="D118" s="202"/>
      <c r="E118" s="202"/>
      <c r="F118" s="202"/>
      <c r="G118" s="203"/>
      <c r="H118" s="20">
        <v>111</v>
      </c>
      <c r="I118" s="31">
        <v>2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1</v>
      </c>
      <c r="Q118" s="31">
        <v>1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50"/>
      <c r="B119" s="394"/>
      <c r="C119" s="201" t="s">
        <v>1137</v>
      </c>
      <c r="D119" s="202"/>
      <c r="E119" s="202"/>
      <c r="F119" s="202"/>
      <c r="G119" s="203"/>
      <c r="H119" s="20">
        <v>112</v>
      </c>
      <c r="I119" s="31">
        <v>149873</v>
      </c>
      <c r="J119" s="31">
        <v>321</v>
      </c>
      <c r="K119" s="31">
        <v>304</v>
      </c>
      <c r="L119" s="31">
        <v>322</v>
      </c>
      <c r="M119" s="31">
        <v>0</v>
      </c>
      <c r="N119" s="31">
        <v>321</v>
      </c>
      <c r="O119" s="31">
        <v>1</v>
      </c>
      <c r="P119" s="31">
        <v>312</v>
      </c>
      <c r="Q119" s="31">
        <v>304</v>
      </c>
      <c r="R119" s="31">
        <v>0</v>
      </c>
      <c r="S119" s="31">
        <v>8</v>
      </c>
      <c r="T119" s="31">
        <v>0</v>
      </c>
      <c r="U119" s="31">
        <v>0</v>
      </c>
      <c r="V119" s="31">
        <v>14</v>
      </c>
      <c r="W119" s="31">
        <v>39</v>
      </c>
      <c r="X119" s="31">
        <v>1</v>
      </c>
      <c r="Y119" s="31">
        <v>0</v>
      </c>
      <c r="Z119" s="31">
        <v>103</v>
      </c>
      <c r="AA119" s="31">
        <v>103</v>
      </c>
      <c r="AB119" s="31">
        <v>0</v>
      </c>
      <c r="AC119" s="31">
        <v>149560</v>
      </c>
    </row>
    <row r="120" spans="1:29" ht="18.95" customHeight="1" x14ac:dyDescent="0.2">
      <c r="A120" s="390" t="s">
        <v>115</v>
      </c>
      <c r="B120" s="391"/>
      <c r="C120" s="391"/>
      <c r="D120" s="391"/>
      <c r="E120" s="391"/>
      <c r="F120" s="391"/>
      <c r="G120" s="392"/>
      <c r="H120" s="20">
        <v>113</v>
      </c>
      <c r="I120" s="31">
        <f t="shared" ref="I120:AC120" si="0">SUM(I75:I119,I7:I73)</f>
        <v>8816934</v>
      </c>
      <c r="J120" s="31">
        <f t="shared" si="0"/>
        <v>85568</v>
      </c>
      <c r="K120" s="31">
        <f t="shared" si="0"/>
        <v>96234</v>
      </c>
      <c r="L120" s="31">
        <f t="shared" si="0"/>
        <v>25751</v>
      </c>
      <c r="M120" s="31">
        <f t="shared" si="0"/>
        <v>91</v>
      </c>
      <c r="N120" s="31">
        <f t="shared" si="0"/>
        <v>23474</v>
      </c>
      <c r="O120" s="31">
        <f t="shared" si="0"/>
        <v>1222</v>
      </c>
      <c r="P120" s="31">
        <f t="shared" si="0"/>
        <v>201447</v>
      </c>
      <c r="Q120" s="31">
        <f t="shared" si="0"/>
        <v>179878</v>
      </c>
      <c r="R120" s="31">
        <f t="shared" si="0"/>
        <v>18966</v>
      </c>
      <c r="S120" s="31">
        <f t="shared" si="0"/>
        <v>2115</v>
      </c>
      <c r="T120" s="31">
        <f t="shared" si="0"/>
        <v>488</v>
      </c>
      <c r="U120" s="31">
        <f t="shared" si="0"/>
        <v>58221</v>
      </c>
      <c r="V120" s="31">
        <f t="shared" si="0"/>
        <v>26502</v>
      </c>
      <c r="W120" s="31">
        <f t="shared" si="0"/>
        <v>36921</v>
      </c>
      <c r="X120" s="31">
        <f t="shared" si="0"/>
        <v>6496</v>
      </c>
      <c r="Y120" s="31">
        <f t="shared" si="0"/>
        <v>3647</v>
      </c>
      <c r="Z120" s="31">
        <f t="shared" si="0"/>
        <v>285488</v>
      </c>
      <c r="AA120" s="31">
        <f t="shared" si="0"/>
        <v>283363</v>
      </c>
      <c r="AB120" s="31">
        <f t="shared" si="0"/>
        <v>6</v>
      </c>
      <c r="AC120" s="31">
        <f t="shared" si="0"/>
        <v>8614917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2025-07-03T09:34:31Z</cp:lastPrinted>
  <dcterms:created xsi:type="dcterms:W3CDTF">2019-05-27T14:47:42Z</dcterms:created>
  <dcterms:modified xsi:type="dcterms:W3CDTF">2025-07-07T14:19:45Z</dcterms:modified>
</cp:coreProperties>
</file>